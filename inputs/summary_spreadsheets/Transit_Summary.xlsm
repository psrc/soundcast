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4" defaultThemeVersion="124226"/>
  <bookViews>
    <workbookView xWindow="570" yWindow="1275" windowWidth="17715" windowHeight="11280" tabRatio="834" activeTab="1"/>
  </bookViews>
  <sheets>
    <sheet name="READ-ME" sheetId="20" r:id="rId1"/>
    <sheet name="AM_BoardingByRoute" sheetId="17" r:id="rId2"/>
    <sheet name="MD_BoardingByRoute" sheetId="19" r:id="rId3"/>
    <sheet name="SoundCast_Data" sheetId="15" r:id="rId4"/>
    <sheet name="RouteID_Conversion" sheetId="18" r:id="rId5"/>
    <sheet name="MD_Observed" sheetId="23" r:id="rId6"/>
  </sheets>
  <definedNames>
    <definedName name="import_error">SoundCast_Data!$B$1004</definedName>
  </definedNames>
  <calcPr calcId="145621"/>
</workbook>
</file>

<file path=xl/calcChain.xml><?xml version="1.0" encoding="utf-8"?>
<calcChain xmlns="http://schemas.openxmlformats.org/spreadsheetml/2006/main">
  <c r="H308" i="19" l="1"/>
  <c r="H306" i="19"/>
  <c r="H305" i="19"/>
  <c r="H289" i="19"/>
  <c r="H262" i="19"/>
  <c r="H233" i="19"/>
  <c r="H231" i="19"/>
  <c r="H227" i="19"/>
  <c r="H225" i="19"/>
  <c r="H217" i="19"/>
  <c r="H214" i="19"/>
  <c r="H213" i="19"/>
  <c r="H205" i="19"/>
  <c r="H195" i="19"/>
  <c r="H177" i="19"/>
  <c r="H174" i="19"/>
  <c r="H152" i="19"/>
  <c r="H131" i="19"/>
  <c r="H128" i="19"/>
  <c r="H126" i="19"/>
  <c r="H123" i="19"/>
  <c r="H121" i="19"/>
  <c r="H120" i="19"/>
  <c r="H119" i="19"/>
  <c r="H116" i="19"/>
  <c r="H85" i="19"/>
  <c r="H84" i="19"/>
  <c r="H83" i="19"/>
  <c r="H82" i="19"/>
  <c r="H81" i="19"/>
  <c r="Q818" i="18" l="1"/>
  <c r="Q884" i="18"/>
  <c r="Q883" i="18"/>
  <c r="Q877" i="18"/>
  <c r="Q876" i="18"/>
  <c r="Q892" i="18"/>
  <c r="Q963" i="18"/>
  <c r="Q983" i="18"/>
  <c r="Q952" i="18"/>
  <c r="Q897" i="18"/>
  <c r="Q896" i="18"/>
  <c r="Q886" i="18"/>
  <c r="Q794" i="18"/>
  <c r="Q793" i="18"/>
  <c r="Q992" i="18"/>
  <c r="Q990" i="18"/>
  <c r="Q987" i="18"/>
  <c r="Q981" i="18"/>
  <c r="Q924" i="18"/>
  <c r="Q923" i="18"/>
  <c r="Q916" i="18"/>
  <c r="Q915" i="18"/>
  <c r="Q912" i="18"/>
  <c r="Q909" i="18"/>
  <c r="Q908" i="18"/>
  <c r="Q907" i="18"/>
  <c r="Q965" i="18"/>
  <c r="Q959" i="18"/>
  <c r="Q901" i="18"/>
  <c r="Q982" i="18"/>
  <c r="Q836" i="18"/>
  <c r="Q845" i="18"/>
  <c r="Q799" i="18"/>
  <c r="Q798" i="18"/>
  <c r="Q797" i="18"/>
  <c r="Q796" i="18"/>
  <c r="Q795" i="18"/>
  <c r="Q864" i="18"/>
  <c r="Q863" i="18"/>
  <c r="Q856" i="18"/>
  <c r="Q855" i="18"/>
  <c r="Q872" i="18"/>
  <c r="Q866" i="18"/>
  <c r="Q865" i="18"/>
  <c r="Q867" i="18"/>
  <c r="Q895" i="18"/>
  <c r="Q858" i="18"/>
  <c r="Q857" i="18"/>
  <c r="Q854" i="18"/>
  <c r="Q853" i="18"/>
  <c r="Q885" i="18"/>
  <c r="Q879" i="18"/>
  <c r="Q878" i="18"/>
  <c r="Q844" i="18"/>
  <c r="Q894" i="18"/>
  <c r="Q893" i="18"/>
  <c r="Q875" i="18"/>
  <c r="Q996" i="18"/>
  <c r="Q997" i="18"/>
  <c r="Q976" i="18"/>
  <c r="Q975" i="18"/>
  <c r="Q900" i="18"/>
  <c r="Q806" i="18"/>
  <c r="Q985" i="18"/>
  <c r="Q986" i="18"/>
  <c r="Q920" i="18"/>
  <c r="Q919" i="18"/>
  <c r="Q769" i="18"/>
  <c r="Q812" i="18"/>
  <c r="Q811" i="18"/>
  <c r="Q768" i="18"/>
  <c r="Q846" i="18"/>
  <c r="Q816" i="18"/>
  <c r="Q977" i="18"/>
  <c r="Q815" i="18"/>
  <c r="Q808" i="18"/>
  <c r="Q760" i="18"/>
  <c r="Q980" i="18"/>
  <c r="Q979" i="18"/>
  <c r="Q978" i="18"/>
  <c r="Q972" i="18"/>
  <c r="Q954" i="18"/>
  <c r="Q946" i="18"/>
  <c r="Q936" i="18"/>
  <c r="Q935" i="18"/>
  <c r="Q918" i="18"/>
  <c r="Q917" i="18"/>
  <c r="Q914" i="18"/>
  <c r="Q913" i="18"/>
  <c r="Q906" i="18"/>
  <c r="Q905" i="18"/>
  <c r="Q904" i="18"/>
  <c r="Q998" i="18"/>
  <c r="Q869" i="18"/>
  <c r="Q868" i="18"/>
  <c r="Q847" i="18"/>
  <c r="Q843" i="18"/>
  <c r="Q835" i="18"/>
  <c r="Q834" i="18"/>
  <c r="Q833" i="18"/>
  <c r="Q832" i="18"/>
  <c r="Q831" i="18"/>
  <c r="Q829" i="18"/>
  <c r="Q828" i="18"/>
  <c r="Q826" i="18"/>
  <c r="Q825" i="18"/>
  <c r="Q822" i="18"/>
  <c r="Q805" i="18"/>
  <c r="Q800" i="18"/>
  <c r="Q780" i="18"/>
  <c r="Q779" i="18"/>
  <c r="Q775" i="18"/>
  <c r="Q762" i="18"/>
  <c r="Q761" i="18"/>
  <c r="Q753" i="18"/>
  <c r="Q746" i="18"/>
  <c r="Q759" i="18"/>
  <c r="Q995" i="18"/>
  <c r="Q993" i="18"/>
  <c r="Q973" i="18"/>
  <c r="Q953" i="18"/>
  <c r="Q945" i="18"/>
  <c r="Q939" i="18"/>
  <c r="Q938" i="18"/>
  <c r="Q937" i="18"/>
  <c r="Q932" i="18"/>
  <c r="Q931" i="18"/>
  <c r="Q930" i="18"/>
  <c r="Q926" i="18"/>
  <c r="Q922" i="18"/>
  <c r="Q921" i="18"/>
  <c r="Q999" i="18"/>
  <c r="Q874" i="18"/>
  <c r="Q873" i="18"/>
  <c r="Q871" i="18"/>
  <c r="Q870" i="18"/>
  <c r="Q840" i="18"/>
  <c r="Q839" i="18"/>
  <c r="Q838" i="18"/>
  <c r="Q837" i="18"/>
  <c r="Q830" i="18"/>
  <c r="Q827" i="18"/>
  <c r="Q821" i="18"/>
  <c r="Q814" i="18"/>
  <c r="Q813" i="18"/>
  <c r="Q804" i="18"/>
  <c r="Q803" i="18"/>
  <c r="Q802" i="18"/>
  <c r="Q801" i="18"/>
  <c r="Q792" i="18"/>
  <c r="Q791" i="18"/>
  <c r="Q786" i="18"/>
  <c r="Q785" i="18"/>
  <c r="Q776" i="18"/>
  <c r="Q772" i="18"/>
  <c r="Q771" i="18"/>
  <c r="Q766" i="18"/>
  <c r="Q763" i="18"/>
  <c r="Q751" i="18"/>
  <c r="Q962" i="18"/>
  <c r="Q991" i="18"/>
  <c r="Q989" i="18"/>
  <c r="Q988" i="18"/>
  <c r="Q984" i="18"/>
  <c r="Q971" i="18"/>
  <c r="Q970" i="18"/>
  <c r="Q969" i="18"/>
  <c r="Q964" i="18"/>
  <c r="Q961" i="18"/>
  <c r="Q960" i="18"/>
  <c r="Q958" i="18"/>
  <c r="Q957" i="18"/>
  <c r="Q956" i="18"/>
  <c r="Q955" i="18"/>
  <c r="Q951" i="18"/>
  <c r="Q950" i="18"/>
  <c r="Q949" i="18"/>
  <c r="Q944" i="18"/>
  <c r="Q943" i="18"/>
  <c r="Q942" i="18"/>
  <c r="Q941" i="18"/>
  <c r="Q940" i="18"/>
  <c r="Q929" i="18"/>
  <c r="Q928" i="18"/>
  <c r="Q925" i="18"/>
  <c r="Q911" i="18"/>
  <c r="Q910" i="18"/>
  <c r="Q890" i="18"/>
  <c r="Q887" i="18"/>
  <c r="Q880" i="18"/>
  <c r="Q765" i="18"/>
  <c r="Q764" i="18"/>
  <c r="Q948" i="18"/>
  <c r="Q947" i="18"/>
  <c r="Q934" i="18"/>
  <c r="Q933" i="18"/>
  <c r="Q994" i="18"/>
  <c r="Q974" i="18"/>
  <c r="Q966" i="18"/>
  <c r="Q927" i="18"/>
  <c r="Q862" i="18"/>
  <c r="Q861" i="18"/>
  <c r="Q968" i="18"/>
  <c r="Q967" i="18"/>
  <c r="Q903" i="18"/>
  <c r="Q902" i="18"/>
  <c r="Q788" i="18"/>
  <c r="Q787" i="18"/>
  <c r="Q842" i="18"/>
  <c r="Q841" i="18"/>
  <c r="Q778" i="18"/>
  <c r="Q777" i="18"/>
  <c r="Q754" i="18"/>
  <c r="Q899" i="18"/>
  <c r="Q898" i="18"/>
  <c r="Q891" i="18"/>
  <c r="Q889" i="18"/>
  <c r="Q888" i="18"/>
  <c r="Q852" i="18"/>
  <c r="Q851" i="18"/>
  <c r="Q860" i="18"/>
  <c r="Q859" i="18"/>
  <c r="Q850" i="18"/>
  <c r="Q849" i="18"/>
  <c r="Q848" i="18"/>
  <c r="Q882" i="18"/>
  <c r="Q881" i="18"/>
  <c r="Q807" i="18"/>
  <c r="Q824" i="18"/>
  <c r="Q823" i="18"/>
  <c r="Q820" i="18"/>
  <c r="Q819" i="18"/>
  <c r="Q817" i="18"/>
  <c r="Q810" i="18"/>
  <c r="Q809" i="18"/>
  <c r="Q790" i="18"/>
  <c r="Q789" i="18"/>
  <c r="Q784" i="18"/>
  <c r="Q783" i="18"/>
  <c r="Q782" i="18"/>
  <c r="Q781" i="18"/>
  <c r="Q774" i="18"/>
  <c r="Q773" i="18"/>
  <c r="Q770" i="18"/>
  <c r="Q767" i="18"/>
  <c r="Q752" i="18"/>
  <c r="Q750" i="18"/>
  <c r="Q749" i="18"/>
  <c r="Q748" i="18"/>
  <c r="Q747" i="18"/>
  <c r="P747" i="15"/>
  <c r="Q758" i="18" s="1"/>
  <c r="P746" i="15"/>
  <c r="Q757" i="18" s="1"/>
  <c r="P745" i="15"/>
  <c r="Q745" i="18" s="1"/>
  <c r="P744" i="15"/>
  <c r="Q744" i="18" s="1"/>
  <c r="P743" i="15"/>
  <c r="Q743" i="18" s="1"/>
  <c r="P742" i="15"/>
  <c r="Q742" i="18" s="1"/>
  <c r="H237" i="19" s="1"/>
  <c r="P741" i="15"/>
  <c r="Q741" i="18" s="1"/>
  <c r="H255" i="19" s="1"/>
  <c r="P740" i="15"/>
  <c r="Q740" i="18" s="1"/>
  <c r="H254" i="19" s="1"/>
  <c r="P739" i="15"/>
  <c r="Q739" i="18" s="1"/>
  <c r="H252" i="19" s="1"/>
  <c r="P738" i="15"/>
  <c r="Q738" i="18" s="1"/>
  <c r="P737" i="15"/>
  <c r="Q737" i="18" s="1"/>
  <c r="P736" i="15"/>
  <c r="Q736" i="18" s="1"/>
  <c r="H238" i="19" s="1"/>
  <c r="P735" i="15"/>
  <c r="Q735" i="18" s="1"/>
  <c r="P734" i="15"/>
  <c r="Q734" i="18" s="1"/>
  <c r="P733" i="15"/>
  <c r="Q733" i="18" s="1"/>
  <c r="P732" i="15"/>
  <c r="Q732" i="18" s="1"/>
  <c r="P731" i="15"/>
  <c r="Q731" i="18" s="1"/>
  <c r="P730" i="15"/>
  <c r="Q730" i="18" s="1"/>
  <c r="P729" i="15"/>
  <c r="Q729" i="18" s="1"/>
  <c r="H253" i="19" s="1"/>
  <c r="P728" i="15"/>
  <c r="Q728" i="18" s="1"/>
  <c r="P727" i="15"/>
  <c r="Q727" i="18" s="1"/>
  <c r="P726" i="15"/>
  <c r="Q726" i="18" s="1"/>
  <c r="P725" i="15"/>
  <c r="Q725" i="18" s="1"/>
  <c r="P724" i="15"/>
  <c r="Q724" i="18" s="1"/>
  <c r="P723" i="15"/>
  <c r="Q723" i="18" s="1"/>
  <c r="H260" i="19" s="1"/>
  <c r="P722" i="15"/>
  <c r="Q722" i="18" s="1"/>
  <c r="P721" i="15"/>
  <c r="Q721" i="18" s="1"/>
  <c r="H259" i="19" s="1"/>
  <c r="P720" i="15"/>
  <c r="Q720" i="18" s="1"/>
  <c r="P719" i="15"/>
  <c r="Q719" i="18" s="1"/>
  <c r="P718" i="15"/>
  <c r="Q718" i="18" s="1"/>
  <c r="P717" i="15"/>
  <c r="Q717" i="18" s="1"/>
  <c r="P716" i="15"/>
  <c r="Q716" i="18" s="1"/>
  <c r="P715" i="15"/>
  <c r="Q715" i="18" s="1"/>
  <c r="H261" i="19" s="1"/>
  <c r="P714" i="15"/>
  <c r="Q714" i="18" s="1"/>
  <c r="H251" i="19" s="1"/>
  <c r="P713" i="15"/>
  <c r="Q713" i="18" s="1"/>
  <c r="P712" i="15"/>
  <c r="Q712" i="18" s="1"/>
  <c r="P711" i="15"/>
  <c r="Q711" i="18" s="1"/>
  <c r="P710" i="15"/>
  <c r="Q710" i="18" s="1"/>
  <c r="H248" i="19" s="1"/>
  <c r="P709" i="15"/>
  <c r="Q709" i="18" s="1"/>
  <c r="P708" i="15"/>
  <c r="Q708" i="18" s="1"/>
  <c r="H247" i="19" s="1"/>
  <c r="P707" i="15"/>
  <c r="Q707" i="18" s="1"/>
  <c r="P706" i="15"/>
  <c r="Q706" i="18" s="1"/>
  <c r="P705" i="15"/>
  <c r="Q705" i="18" s="1"/>
  <c r="P704" i="15"/>
  <c r="Q704" i="18" s="1"/>
  <c r="P703" i="15"/>
  <c r="Q703" i="18" s="1"/>
  <c r="P702" i="15"/>
  <c r="Q702" i="18" s="1"/>
  <c r="H243" i="19" s="1"/>
  <c r="P701" i="15"/>
  <c r="Q701" i="18" s="1"/>
  <c r="P700" i="15"/>
  <c r="Q700" i="18" s="1"/>
  <c r="H242" i="19" s="1"/>
  <c r="P699" i="15"/>
  <c r="Q699" i="18" s="1"/>
  <c r="P698" i="15"/>
  <c r="Q698" i="18" s="1"/>
  <c r="P697" i="15"/>
  <c r="Q697" i="18" s="1"/>
  <c r="P696" i="15"/>
  <c r="Q696" i="18" s="1"/>
  <c r="P695" i="15"/>
  <c r="Q695" i="18" s="1"/>
  <c r="P694" i="15"/>
  <c r="Q694" i="18" s="1"/>
  <c r="H236" i="19" s="1"/>
  <c r="P693" i="15"/>
  <c r="Q693" i="18" s="1"/>
  <c r="H299" i="19" s="1"/>
  <c r="P692" i="15"/>
  <c r="Q692" i="18" s="1"/>
  <c r="H302" i="19" s="1"/>
  <c r="P691" i="15"/>
  <c r="Q691" i="18" s="1"/>
  <c r="P690" i="15"/>
  <c r="Q690" i="18" s="1"/>
  <c r="P689" i="15"/>
  <c r="Q689" i="18" s="1"/>
  <c r="P688" i="15"/>
  <c r="Q688" i="18" s="1"/>
  <c r="P687" i="15"/>
  <c r="Q687" i="18" s="1"/>
  <c r="P686" i="15"/>
  <c r="Q686" i="18" s="1"/>
  <c r="P685" i="15"/>
  <c r="Q685" i="18" s="1"/>
  <c r="P684" i="15"/>
  <c r="Q684" i="18" s="1"/>
  <c r="P683" i="15"/>
  <c r="Q683" i="18" s="1"/>
  <c r="P682" i="15"/>
  <c r="Q682" i="18" s="1"/>
  <c r="P681" i="15"/>
  <c r="Q681" i="18" s="1"/>
  <c r="P680" i="15"/>
  <c r="Q680" i="18" s="1"/>
  <c r="H293" i="19" s="1"/>
  <c r="P679" i="15"/>
  <c r="Q679" i="18" s="1"/>
  <c r="P678" i="15"/>
  <c r="Q678" i="18" s="1"/>
  <c r="H292" i="19" s="1"/>
  <c r="P677" i="15"/>
  <c r="Q677" i="18" s="1"/>
  <c r="P676" i="15"/>
  <c r="Q676" i="18" s="1"/>
  <c r="H304" i="19" s="1"/>
  <c r="P675" i="15"/>
  <c r="Q675" i="18" s="1"/>
  <c r="P674" i="15"/>
  <c r="Q674" i="18" s="1"/>
  <c r="P673" i="15"/>
  <c r="Q673" i="18" s="1"/>
  <c r="H291" i="19" s="1"/>
  <c r="P672" i="15"/>
  <c r="Q672" i="18" s="1"/>
  <c r="P671" i="15"/>
  <c r="Q671" i="18" s="1"/>
  <c r="P670" i="15"/>
  <c r="Q670" i="18" s="1"/>
  <c r="P669" i="15"/>
  <c r="Q669" i="18" s="1"/>
  <c r="P668" i="15"/>
  <c r="Q668" i="18" s="1"/>
  <c r="H298" i="19" s="1"/>
  <c r="P667" i="15"/>
  <c r="Q667" i="18" s="1"/>
  <c r="P666" i="15"/>
  <c r="Q666" i="18" s="1"/>
  <c r="P665" i="15"/>
  <c r="Q665" i="18" s="1"/>
  <c r="P664" i="15"/>
  <c r="Q664" i="18" s="1"/>
  <c r="P663" i="15"/>
  <c r="Q663" i="18" s="1"/>
  <c r="P662" i="15"/>
  <c r="Q662" i="18" s="1"/>
  <c r="H309" i="19" s="1"/>
  <c r="P661" i="15"/>
  <c r="Q661" i="18" s="1"/>
  <c r="P660" i="15"/>
  <c r="Q660" i="18" s="1"/>
  <c r="P659" i="15"/>
  <c r="Q659" i="18" s="1"/>
  <c r="P658" i="15"/>
  <c r="Q658" i="18" s="1"/>
  <c r="P657" i="15"/>
  <c r="Q657" i="18" s="1"/>
  <c r="P656" i="15"/>
  <c r="Q656" i="18" s="1"/>
  <c r="P655" i="15"/>
  <c r="Q655" i="18" s="1"/>
  <c r="P654" i="15"/>
  <c r="Q654" i="18" s="1"/>
  <c r="H265" i="19" s="1"/>
  <c r="P653" i="15"/>
  <c r="Q653" i="18" s="1"/>
  <c r="P652" i="15"/>
  <c r="Q652" i="18" s="1"/>
  <c r="H264" i="19" s="1"/>
  <c r="P651" i="15"/>
  <c r="Q651" i="18" s="1"/>
  <c r="P650" i="15"/>
  <c r="Q650" i="18" s="1"/>
  <c r="P649" i="15"/>
  <c r="Q649" i="18" s="1"/>
  <c r="P648" i="15"/>
  <c r="Q648" i="18" s="1"/>
  <c r="P647" i="15"/>
  <c r="Q647" i="18" s="1"/>
  <c r="P646" i="15"/>
  <c r="Q646" i="18" s="1"/>
  <c r="H267" i="19" s="1"/>
  <c r="P645" i="15"/>
  <c r="Q645" i="18" s="1"/>
  <c r="P644" i="15"/>
  <c r="Q644" i="18" s="1"/>
  <c r="P643" i="15"/>
  <c r="Q643" i="18" s="1"/>
  <c r="P642" i="15"/>
  <c r="Q642" i="18" s="1"/>
  <c r="P641" i="15"/>
  <c r="Q641" i="18" s="1"/>
  <c r="P640" i="15"/>
  <c r="Q640" i="18" s="1"/>
  <c r="P639" i="15"/>
  <c r="Q639" i="18" s="1"/>
  <c r="P638" i="15"/>
  <c r="Q638" i="18" s="1"/>
  <c r="P637" i="15"/>
  <c r="Q637" i="18" s="1"/>
  <c r="P636" i="15"/>
  <c r="Q636" i="18" s="1"/>
  <c r="P635" i="15"/>
  <c r="Q635" i="18" s="1"/>
  <c r="P634" i="15"/>
  <c r="Q634" i="18" s="1"/>
  <c r="P633" i="15"/>
  <c r="Q633" i="18" s="1"/>
  <c r="P632" i="15"/>
  <c r="Q632" i="18" s="1"/>
  <c r="P631" i="15"/>
  <c r="Q631" i="18" s="1"/>
  <c r="P630" i="15"/>
  <c r="Q630" i="18" s="1"/>
  <c r="P629" i="15"/>
  <c r="Q629" i="18" s="1"/>
  <c r="P628" i="15"/>
  <c r="Q628" i="18" s="1"/>
  <c r="P627" i="15"/>
  <c r="Q627" i="18" s="1"/>
  <c r="P626" i="15"/>
  <c r="Q626" i="18" s="1"/>
  <c r="P625" i="15"/>
  <c r="Q625" i="18" s="1"/>
  <c r="P624" i="15"/>
  <c r="Q624" i="18" s="1"/>
  <c r="P623" i="15"/>
  <c r="Q623" i="18" s="1"/>
  <c r="P622" i="15"/>
  <c r="Q622" i="18" s="1"/>
  <c r="P621" i="15"/>
  <c r="Q621" i="18" s="1"/>
  <c r="P620" i="15"/>
  <c r="Q620" i="18" s="1"/>
  <c r="P619" i="15"/>
  <c r="Q619" i="18" s="1"/>
  <c r="P618" i="15"/>
  <c r="Q618" i="18" s="1"/>
  <c r="P617" i="15"/>
  <c r="Q617" i="18" s="1"/>
  <c r="P616" i="15"/>
  <c r="Q616" i="18" s="1"/>
  <c r="P615" i="15"/>
  <c r="Q615" i="18" s="1"/>
  <c r="P614" i="15"/>
  <c r="Q614" i="18" s="1"/>
  <c r="P613" i="15"/>
  <c r="Q613" i="18" s="1"/>
  <c r="P612" i="15"/>
  <c r="Q612" i="18" s="1"/>
  <c r="H160" i="19" s="1"/>
  <c r="P611" i="15"/>
  <c r="Q611" i="18" s="1"/>
  <c r="P610" i="15"/>
  <c r="Q610" i="18" s="1"/>
  <c r="P609" i="15"/>
  <c r="Q609" i="18" s="1"/>
  <c r="P608" i="15"/>
  <c r="Q608" i="18" s="1"/>
  <c r="P607" i="15"/>
  <c r="Q607" i="18" s="1"/>
  <c r="P606" i="15"/>
  <c r="Q606" i="18" s="1"/>
  <c r="P605" i="15"/>
  <c r="Q605" i="18" s="1"/>
  <c r="P604" i="15"/>
  <c r="Q604" i="18" s="1"/>
  <c r="P603" i="15"/>
  <c r="Q603" i="18" s="1"/>
  <c r="P602" i="15"/>
  <c r="Q602" i="18" s="1"/>
  <c r="P601" i="15"/>
  <c r="Q601" i="18" s="1"/>
  <c r="P600" i="15"/>
  <c r="Q600" i="18" s="1"/>
  <c r="P599" i="15"/>
  <c r="Q599" i="18" s="1"/>
  <c r="P598" i="15"/>
  <c r="Q598" i="18" s="1"/>
  <c r="P597" i="15"/>
  <c r="Q597" i="18" s="1"/>
  <c r="P596" i="15"/>
  <c r="Q596" i="18" s="1"/>
  <c r="P595" i="15"/>
  <c r="Q595" i="18" s="1"/>
  <c r="P594" i="15"/>
  <c r="Q594" i="18" s="1"/>
  <c r="P593" i="15"/>
  <c r="Q593" i="18" s="1"/>
  <c r="P592" i="15"/>
  <c r="Q592" i="18" s="1"/>
  <c r="P591" i="15"/>
  <c r="Q591" i="18" s="1"/>
  <c r="P590" i="15"/>
  <c r="Q590" i="18" s="1"/>
  <c r="P589" i="15"/>
  <c r="Q589" i="18" s="1"/>
  <c r="P588" i="15"/>
  <c r="Q588" i="18" s="1"/>
  <c r="P587" i="15"/>
  <c r="Q587" i="18" s="1"/>
  <c r="P586" i="15"/>
  <c r="Q586" i="18" s="1"/>
  <c r="P585" i="15"/>
  <c r="Q585" i="18" s="1"/>
  <c r="P584" i="15"/>
  <c r="Q584" i="18" s="1"/>
  <c r="P583" i="15"/>
  <c r="Q583" i="18" s="1"/>
  <c r="P582" i="15"/>
  <c r="Q582" i="18" s="1"/>
  <c r="P581" i="15"/>
  <c r="Q581" i="18" s="1"/>
  <c r="P580" i="15"/>
  <c r="Q580" i="18" s="1"/>
  <c r="P579" i="15"/>
  <c r="Q579" i="18" s="1"/>
  <c r="P578" i="15"/>
  <c r="Q578" i="18" s="1"/>
  <c r="P577" i="15"/>
  <c r="Q577" i="18" s="1"/>
  <c r="P576" i="15"/>
  <c r="Q576" i="18" s="1"/>
  <c r="P575" i="15"/>
  <c r="Q575" i="18" s="1"/>
  <c r="P574" i="15"/>
  <c r="Q574" i="18" s="1"/>
  <c r="P573" i="15"/>
  <c r="Q573" i="18" s="1"/>
  <c r="P572" i="15"/>
  <c r="Q572" i="18" s="1"/>
  <c r="P571" i="15"/>
  <c r="Q571" i="18" s="1"/>
  <c r="H167" i="19" s="1"/>
  <c r="P570" i="15"/>
  <c r="Q570" i="18" s="1"/>
  <c r="P569" i="15"/>
  <c r="Q569" i="18" s="1"/>
  <c r="P568" i="15"/>
  <c r="Q568" i="18" s="1"/>
  <c r="P567" i="15"/>
  <c r="Q567" i="18" s="1"/>
  <c r="P566" i="15"/>
  <c r="Q566" i="18" s="1"/>
  <c r="P565" i="15"/>
  <c r="Q565" i="18" s="1"/>
  <c r="P564" i="15"/>
  <c r="Q564" i="18" s="1"/>
  <c r="P563" i="15"/>
  <c r="Q563" i="18" s="1"/>
  <c r="H170" i="19" s="1"/>
  <c r="P562" i="15"/>
  <c r="Q562" i="18" s="1"/>
  <c r="P561" i="15"/>
  <c r="Q561" i="18" s="1"/>
  <c r="P560" i="15"/>
  <c r="Q560" i="18" s="1"/>
  <c r="P559" i="15"/>
  <c r="Q559" i="18" s="1"/>
  <c r="P558" i="15"/>
  <c r="Q558" i="18" s="1"/>
  <c r="P557" i="15"/>
  <c r="Q557" i="18" s="1"/>
  <c r="P556" i="15"/>
  <c r="Q556" i="18" s="1"/>
  <c r="H284" i="19" s="1"/>
  <c r="P555" i="15"/>
  <c r="Q555" i="18" s="1"/>
  <c r="P554" i="15"/>
  <c r="Q554" i="18" s="1"/>
  <c r="P553" i="15"/>
  <c r="Q553" i="18" s="1"/>
  <c r="P552" i="15"/>
  <c r="Q552" i="18" s="1"/>
  <c r="P551" i="15"/>
  <c r="Q551" i="18" s="1"/>
  <c r="P550" i="15"/>
  <c r="Q550" i="18" s="1"/>
  <c r="P549" i="15"/>
  <c r="Q549" i="18" s="1"/>
  <c r="P548" i="15"/>
  <c r="Q548" i="18" s="1"/>
  <c r="P547" i="15"/>
  <c r="Q547" i="18" s="1"/>
  <c r="P546" i="15"/>
  <c r="Q546" i="18" s="1"/>
  <c r="P545" i="15"/>
  <c r="Q545" i="18" s="1"/>
  <c r="P544" i="15"/>
  <c r="Q544" i="18" s="1"/>
  <c r="P543" i="15"/>
  <c r="Q543" i="18" s="1"/>
  <c r="P542" i="15"/>
  <c r="Q542" i="18" s="1"/>
  <c r="P541" i="15"/>
  <c r="Q541" i="18" s="1"/>
  <c r="P540" i="15"/>
  <c r="Q540" i="18" s="1"/>
  <c r="P539" i="15"/>
  <c r="Q539" i="18" s="1"/>
  <c r="H199" i="19" s="1"/>
  <c r="P538" i="15"/>
  <c r="Q538" i="18" s="1"/>
  <c r="P537" i="15"/>
  <c r="Q537" i="18" s="1"/>
  <c r="P536" i="15"/>
  <c r="Q536" i="18" s="1"/>
  <c r="P535" i="15"/>
  <c r="Q535" i="18" s="1"/>
  <c r="P534" i="15"/>
  <c r="Q534" i="18" s="1"/>
  <c r="P533" i="15"/>
  <c r="Q533" i="18" s="1"/>
  <c r="P532" i="15"/>
  <c r="Q532" i="18" s="1"/>
  <c r="P531" i="15"/>
  <c r="Q531" i="18" s="1"/>
  <c r="H235" i="19" s="1"/>
  <c r="P530" i="15"/>
  <c r="Q530" i="18" s="1"/>
  <c r="P529" i="15"/>
  <c r="Q529" i="18" s="1"/>
  <c r="P528" i="15"/>
  <c r="Q528" i="18" s="1"/>
  <c r="P527" i="15"/>
  <c r="Q527" i="18" s="1"/>
  <c r="P526" i="15"/>
  <c r="Q526" i="18" s="1"/>
  <c r="P525" i="15"/>
  <c r="Q525" i="18" s="1"/>
  <c r="P524" i="15"/>
  <c r="Q524" i="18" s="1"/>
  <c r="P523" i="15"/>
  <c r="Q523" i="18" s="1"/>
  <c r="H207" i="19" s="1"/>
  <c r="P522" i="15"/>
  <c r="Q522" i="18" s="1"/>
  <c r="P521" i="15"/>
  <c r="Q521" i="18" s="1"/>
  <c r="P520" i="15"/>
  <c r="Q520" i="18" s="1"/>
  <c r="P519" i="15"/>
  <c r="Q519" i="18" s="1"/>
  <c r="P518" i="15"/>
  <c r="Q518" i="18" s="1"/>
  <c r="P517" i="15"/>
  <c r="Q517" i="18" s="1"/>
  <c r="P516" i="15"/>
  <c r="Q516" i="18" s="1"/>
  <c r="P515" i="15"/>
  <c r="Q515" i="18" s="1"/>
  <c r="H211" i="19" s="1"/>
  <c r="P514" i="15"/>
  <c r="Q514" i="18" s="1"/>
  <c r="P513" i="15"/>
  <c r="Q513" i="18" s="1"/>
  <c r="P512" i="15"/>
  <c r="Q512" i="18" s="1"/>
  <c r="P511" i="15"/>
  <c r="Q511" i="18" s="1"/>
  <c r="P510" i="15"/>
  <c r="Q510" i="18" s="1"/>
  <c r="P509" i="15"/>
  <c r="Q509" i="18" s="1"/>
  <c r="P508" i="15"/>
  <c r="Q508" i="18" s="1"/>
  <c r="P507" i="15"/>
  <c r="Q507" i="18" s="1"/>
  <c r="P506" i="15"/>
  <c r="Q506" i="18" s="1"/>
  <c r="P505" i="15"/>
  <c r="Q505" i="18" s="1"/>
  <c r="P504" i="15"/>
  <c r="Q504" i="18" s="1"/>
  <c r="P503" i="15"/>
  <c r="Q503" i="18" s="1"/>
  <c r="P502" i="15"/>
  <c r="Q502" i="18" s="1"/>
  <c r="H218" i="19" s="1"/>
  <c r="P501" i="15"/>
  <c r="Q501" i="18" s="1"/>
  <c r="P500" i="15"/>
  <c r="Q500" i="18" s="1"/>
  <c r="P499" i="15"/>
  <c r="Q499" i="18" s="1"/>
  <c r="P498" i="15"/>
  <c r="Q498" i="18" s="1"/>
  <c r="P497" i="15"/>
  <c r="Q497" i="18" s="1"/>
  <c r="P496" i="15"/>
  <c r="Q496" i="18" s="1"/>
  <c r="P495" i="15"/>
  <c r="Q495" i="18" s="1"/>
  <c r="P494" i="15"/>
  <c r="Q494" i="18" s="1"/>
  <c r="P493" i="15"/>
  <c r="Q493" i="18" s="1"/>
  <c r="P492" i="15"/>
  <c r="Q492" i="18" s="1"/>
  <c r="P491" i="15"/>
  <c r="Q491" i="18" s="1"/>
  <c r="H224" i="19" s="1"/>
  <c r="P490" i="15"/>
  <c r="Q490" i="18" s="1"/>
  <c r="P489" i="15"/>
  <c r="Q489" i="18" s="1"/>
  <c r="P488" i="15"/>
  <c r="Q488" i="18" s="1"/>
  <c r="P487" i="15"/>
  <c r="Q487" i="18" s="1"/>
  <c r="P486" i="15"/>
  <c r="Q486" i="18" s="1"/>
  <c r="P485" i="15"/>
  <c r="Q485" i="18" s="1"/>
  <c r="P484" i="15"/>
  <c r="Q484" i="18" s="1"/>
  <c r="P483" i="15"/>
  <c r="Q483" i="18" s="1"/>
  <c r="P482" i="15"/>
  <c r="Q482" i="18" s="1"/>
  <c r="P481" i="15"/>
  <c r="Q481" i="18" s="1"/>
  <c r="H229" i="19" s="1"/>
  <c r="P480" i="15"/>
  <c r="Q480" i="18" s="1"/>
  <c r="P479" i="15"/>
  <c r="Q479" i="18" s="1"/>
  <c r="P478" i="15"/>
  <c r="Q478" i="18" s="1"/>
  <c r="P477" i="15"/>
  <c r="Q477" i="18" s="1"/>
  <c r="P476" i="15"/>
  <c r="Q476" i="18" s="1"/>
  <c r="P475" i="15"/>
  <c r="Q475" i="18" s="1"/>
  <c r="H270" i="19" s="1"/>
  <c r="P474" i="15"/>
  <c r="Q474" i="18" s="1"/>
  <c r="H272" i="19" s="1"/>
  <c r="P473" i="15"/>
  <c r="Q473" i="18" s="1"/>
  <c r="P472" i="15"/>
  <c r="Q472" i="18" s="1"/>
  <c r="P471" i="15"/>
  <c r="Q471" i="18" s="1"/>
  <c r="P470" i="15"/>
  <c r="Q470" i="18" s="1"/>
  <c r="H230" i="19" s="1"/>
  <c r="P469" i="15"/>
  <c r="Q469" i="18" s="1"/>
  <c r="P468" i="15"/>
  <c r="Q468" i="18" s="1"/>
  <c r="P467" i="15"/>
  <c r="Q467" i="18" s="1"/>
  <c r="P466" i="15"/>
  <c r="Q466" i="18" s="1"/>
  <c r="H232" i="19" s="1"/>
  <c r="P465" i="15"/>
  <c r="Q465" i="18" s="1"/>
  <c r="P464" i="15"/>
  <c r="Q464" i="18" s="1"/>
  <c r="P463" i="15"/>
  <c r="Q463" i="18" s="1"/>
  <c r="P462" i="15"/>
  <c r="Q462" i="18" s="1"/>
  <c r="P461" i="15"/>
  <c r="Q461" i="18" s="1"/>
  <c r="H151" i="19" s="1"/>
  <c r="P460" i="15"/>
  <c r="Q460" i="18" s="1"/>
  <c r="P459" i="15"/>
  <c r="Q459" i="18" s="1"/>
  <c r="P458" i="15"/>
  <c r="Q458" i="18" s="1"/>
  <c r="P457" i="15"/>
  <c r="Q457" i="18" s="1"/>
  <c r="P456" i="15"/>
  <c r="Q456" i="18" s="1"/>
  <c r="P455" i="15"/>
  <c r="Q455" i="18" s="1"/>
  <c r="P454" i="15"/>
  <c r="Q454" i="18" s="1"/>
  <c r="P453" i="15"/>
  <c r="Q453" i="18" s="1"/>
  <c r="P452" i="15"/>
  <c r="Q452" i="18" s="1"/>
  <c r="P451" i="15"/>
  <c r="Q451" i="18" s="1"/>
  <c r="P450" i="15"/>
  <c r="Q450" i="18" s="1"/>
  <c r="P449" i="15"/>
  <c r="Q449" i="18" s="1"/>
  <c r="P448" i="15"/>
  <c r="Q448" i="18" s="1"/>
  <c r="P447" i="15"/>
  <c r="Q447" i="18" s="1"/>
  <c r="P446" i="15"/>
  <c r="Q446" i="18" s="1"/>
  <c r="P445" i="15"/>
  <c r="Q445" i="18" s="1"/>
  <c r="P444" i="15"/>
  <c r="Q444" i="18" s="1"/>
  <c r="P443" i="15"/>
  <c r="Q443" i="18" s="1"/>
  <c r="P442" i="15"/>
  <c r="Q442" i="18" s="1"/>
  <c r="P441" i="15"/>
  <c r="Q441" i="18" s="1"/>
  <c r="P440" i="15"/>
  <c r="Q440" i="18" s="1"/>
  <c r="P439" i="15"/>
  <c r="Q439" i="18" s="1"/>
  <c r="P438" i="15"/>
  <c r="Q438" i="18" s="1"/>
  <c r="P437" i="15"/>
  <c r="Q437" i="18" s="1"/>
  <c r="P436" i="15"/>
  <c r="Q436" i="18" s="1"/>
  <c r="P435" i="15"/>
  <c r="Q435" i="18" s="1"/>
  <c r="P434" i="15"/>
  <c r="Q434" i="18" s="1"/>
  <c r="P433" i="15"/>
  <c r="Q433" i="18" s="1"/>
  <c r="P432" i="15"/>
  <c r="Q432" i="18" s="1"/>
  <c r="P431" i="15"/>
  <c r="Q431" i="18" s="1"/>
  <c r="P430" i="15"/>
  <c r="Q430" i="18" s="1"/>
  <c r="P429" i="15"/>
  <c r="Q429" i="18" s="1"/>
  <c r="P428" i="15"/>
  <c r="Q428" i="18" s="1"/>
  <c r="P427" i="15"/>
  <c r="Q427" i="18" s="1"/>
  <c r="P426" i="15"/>
  <c r="Q426" i="18" s="1"/>
  <c r="P425" i="15"/>
  <c r="Q425" i="18" s="1"/>
  <c r="P424" i="15"/>
  <c r="Q424" i="18" s="1"/>
  <c r="P423" i="15"/>
  <c r="Q423" i="18" s="1"/>
  <c r="P422" i="15"/>
  <c r="Q422" i="18" s="1"/>
  <c r="P421" i="15"/>
  <c r="Q421" i="18" s="1"/>
  <c r="P420" i="15"/>
  <c r="Q420" i="18" s="1"/>
  <c r="P419" i="15"/>
  <c r="Q419" i="18" s="1"/>
  <c r="H148" i="19" s="1"/>
  <c r="P418" i="15"/>
  <c r="Q418" i="18" s="1"/>
  <c r="P417" i="15"/>
  <c r="Q417" i="18" s="1"/>
  <c r="P416" i="15"/>
  <c r="Q416" i="18" s="1"/>
  <c r="P415" i="15"/>
  <c r="Q415" i="18" s="1"/>
  <c r="P414" i="15"/>
  <c r="Q414" i="18" s="1"/>
  <c r="P413" i="15"/>
  <c r="Q413" i="18" s="1"/>
  <c r="H283" i="19" s="1"/>
  <c r="P412" i="15"/>
  <c r="Q412" i="18" s="1"/>
  <c r="P411" i="15"/>
  <c r="Q411" i="18" s="1"/>
  <c r="P410" i="15"/>
  <c r="Q410" i="18" s="1"/>
  <c r="P409" i="15"/>
  <c r="Q409" i="18" s="1"/>
  <c r="P408" i="15"/>
  <c r="Q408" i="18" s="1"/>
  <c r="P407" i="15"/>
  <c r="Q407" i="18" s="1"/>
  <c r="P406" i="15"/>
  <c r="Q406" i="18" s="1"/>
  <c r="P405" i="15"/>
  <c r="Q405" i="18" s="1"/>
  <c r="P404" i="15"/>
  <c r="Q404" i="18" s="1"/>
  <c r="P403" i="15"/>
  <c r="Q403" i="18" s="1"/>
  <c r="H279" i="19" s="1"/>
  <c r="P402" i="15"/>
  <c r="Q402" i="18" s="1"/>
  <c r="H278" i="19" s="1"/>
  <c r="P401" i="15"/>
  <c r="Q401" i="18" s="1"/>
  <c r="P400" i="15"/>
  <c r="Q400" i="18" s="1"/>
  <c r="P399" i="15"/>
  <c r="Q399" i="18" s="1"/>
  <c r="P398" i="15"/>
  <c r="Q398" i="18" s="1"/>
  <c r="P397" i="15"/>
  <c r="Q397" i="18" s="1"/>
  <c r="P396" i="15"/>
  <c r="Q396" i="18" s="1"/>
  <c r="P395" i="15"/>
  <c r="Q395" i="18" s="1"/>
  <c r="P394" i="15"/>
  <c r="Q394" i="18" s="1"/>
  <c r="P393" i="15"/>
  <c r="Q393" i="18" s="1"/>
  <c r="P392" i="15"/>
  <c r="Q392" i="18" s="1"/>
  <c r="P391" i="15"/>
  <c r="Q391" i="18" s="1"/>
  <c r="P390" i="15"/>
  <c r="Q390" i="18" s="1"/>
  <c r="P389" i="15"/>
  <c r="Q389" i="18" s="1"/>
  <c r="P388" i="15"/>
  <c r="Q388" i="18" s="1"/>
  <c r="P387" i="15"/>
  <c r="Q387" i="18" s="1"/>
  <c r="P386" i="15"/>
  <c r="Q386" i="18" s="1"/>
  <c r="P385" i="15"/>
  <c r="Q385" i="18" s="1"/>
  <c r="P384" i="15"/>
  <c r="Q384" i="18" s="1"/>
  <c r="P383" i="15"/>
  <c r="Q383" i="18" s="1"/>
  <c r="P382" i="15"/>
  <c r="Q382" i="18" s="1"/>
  <c r="P381" i="15"/>
  <c r="Q381" i="18" s="1"/>
  <c r="P380" i="15"/>
  <c r="Q380" i="18" s="1"/>
  <c r="P379" i="15"/>
  <c r="Q379" i="18" s="1"/>
  <c r="P378" i="15"/>
  <c r="Q378" i="18" s="1"/>
  <c r="P377" i="15"/>
  <c r="Q377" i="18" s="1"/>
  <c r="P376" i="15"/>
  <c r="Q376" i="18" s="1"/>
  <c r="P375" i="15"/>
  <c r="Q375" i="18" s="1"/>
  <c r="P374" i="15"/>
  <c r="Q374" i="18" s="1"/>
  <c r="P373" i="15"/>
  <c r="Q373" i="18" s="1"/>
  <c r="P372" i="15"/>
  <c r="Q372" i="18" s="1"/>
  <c r="P371" i="15"/>
  <c r="Q371" i="18" s="1"/>
  <c r="P370" i="15"/>
  <c r="Q370" i="18" s="1"/>
  <c r="P369" i="15"/>
  <c r="Q369" i="18" s="1"/>
  <c r="P368" i="15"/>
  <c r="Q368" i="18" s="1"/>
  <c r="P367" i="15"/>
  <c r="Q367" i="18" s="1"/>
  <c r="P366" i="15"/>
  <c r="Q366" i="18" s="1"/>
  <c r="P365" i="15"/>
  <c r="Q365" i="18" s="1"/>
  <c r="P364" i="15"/>
  <c r="Q364" i="18" s="1"/>
  <c r="P363" i="15"/>
  <c r="Q363" i="18" s="1"/>
  <c r="P362" i="15"/>
  <c r="Q362" i="18" s="1"/>
  <c r="P361" i="15"/>
  <c r="Q361" i="18" s="1"/>
  <c r="P360" i="15"/>
  <c r="Q360" i="18" s="1"/>
  <c r="H144" i="19" s="1"/>
  <c r="P359" i="15"/>
  <c r="Q359" i="18" s="1"/>
  <c r="P358" i="15"/>
  <c r="Q358" i="18" s="1"/>
  <c r="H143" i="19" s="1"/>
  <c r="P357" i="15"/>
  <c r="Q357" i="18" s="1"/>
  <c r="P356" i="15"/>
  <c r="Q356" i="18" s="1"/>
  <c r="P355" i="15"/>
  <c r="Q355" i="18" s="1"/>
  <c r="P354" i="15"/>
  <c r="Q354" i="18" s="1"/>
  <c r="P353" i="15"/>
  <c r="Q353" i="18" s="1"/>
  <c r="P352" i="15"/>
  <c r="Q352" i="18" s="1"/>
  <c r="P351" i="15"/>
  <c r="Q351" i="18" s="1"/>
  <c r="P350" i="15"/>
  <c r="Q350" i="18" s="1"/>
  <c r="P349" i="15"/>
  <c r="Q349" i="18" s="1"/>
  <c r="P348" i="15"/>
  <c r="Q348" i="18" s="1"/>
  <c r="P347" i="15"/>
  <c r="Q347" i="18" s="1"/>
  <c r="H138" i="19" s="1"/>
  <c r="P346" i="15"/>
  <c r="Q346" i="18" s="1"/>
  <c r="H137" i="19" s="1"/>
  <c r="P345" i="15"/>
  <c r="Q345" i="18" s="1"/>
  <c r="H136" i="19" s="1"/>
  <c r="P344" i="15"/>
  <c r="Q344" i="18" s="1"/>
  <c r="H135" i="19" s="1"/>
  <c r="P343" i="15"/>
  <c r="Q343" i="18" s="1"/>
  <c r="P342" i="15"/>
  <c r="Q342" i="18" s="1"/>
  <c r="H134" i="19" s="1"/>
  <c r="P341" i="15"/>
  <c r="Q341" i="18" s="1"/>
  <c r="P340" i="15"/>
  <c r="Q340" i="18" s="1"/>
  <c r="P339" i="15"/>
  <c r="Q339" i="18" s="1"/>
  <c r="P338" i="15"/>
  <c r="Q338" i="18" s="1"/>
  <c r="P337" i="15"/>
  <c r="Q337" i="18" s="1"/>
  <c r="P336" i="15"/>
  <c r="Q336" i="18" s="1"/>
  <c r="P335" i="15"/>
  <c r="Q335" i="18" s="1"/>
  <c r="P334" i="15"/>
  <c r="Q334" i="18" s="1"/>
  <c r="H130" i="19" s="1"/>
  <c r="P333" i="15"/>
  <c r="Q333" i="18" s="1"/>
  <c r="P332" i="15"/>
  <c r="Q332" i="18" s="1"/>
  <c r="P331" i="15"/>
  <c r="Q331" i="18" s="1"/>
  <c r="H129" i="19" s="1"/>
  <c r="P330" i="15"/>
  <c r="Q330" i="18" s="1"/>
  <c r="P329" i="15"/>
  <c r="Q329" i="18" s="1"/>
  <c r="P328" i="15"/>
  <c r="Q328" i="18" s="1"/>
  <c r="P327" i="15"/>
  <c r="Q327" i="18" s="1"/>
  <c r="P326" i="15"/>
  <c r="Q326" i="18" s="1"/>
  <c r="P325" i="15"/>
  <c r="Q325" i="18" s="1"/>
  <c r="P324" i="15"/>
  <c r="Q324" i="18" s="1"/>
  <c r="P323" i="15"/>
  <c r="Q323" i="18" s="1"/>
  <c r="H124" i="19" s="1"/>
  <c r="P322" i="15"/>
  <c r="Q322" i="18" s="1"/>
  <c r="P321" i="15"/>
  <c r="Q321" i="18" s="1"/>
  <c r="P320" i="15"/>
  <c r="Q320" i="18" s="1"/>
  <c r="P319" i="15"/>
  <c r="Q319" i="18" s="1"/>
  <c r="P318" i="15"/>
  <c r="Q318" i="18" s="1"/>
  <c r="P317" i="15"/>
  <c r="Q317" i="18" s="1"/>
  <c r="P316" i="15"/>
  <c r="Q316" i="18" s="1"/>
  <c r="P315" i="15"/>
  <c r="Q315" i="18" s="1"/>
  <c r="H117" i="19" s="1"/>
  <c r="P314" i="15"/>
  <c r="Q314" i="18" s="1"/>
  <c r="P313" i="15"/>
  <c r="Q313" i="18" s="1"/>
  <c r="P312" i="15"/>
  <c r="Q312" i="18" s="1"/>
  <c r="P311" i="15"/>
  <c r="Q311" i="18" s="1"/>
  <c r="P310" i="15"/>
  <c r="Q310" i="18" s="1"/>
  <c r="H114" i="19" s="1"/>
  <c r="P309" i="15"/>
  <c r="Q309" i="18" s="1"/>
  <c r="P308" i="15"/>
  <c r="Q308" i="18" s="1"/>
  <c r="P307" i="15"/>
  <c r="Q307" i="18" s="1"/>
  <c r="H112" i="19" s="1"/>
  <c r="P306" i="15"/>
  <c r="Q306" i="18" s="1"/>
  <c r="P305" i="15"/>
  <c r="Q305" i="18" s="1"/>
  <c r="P304" i="15"/>
  <c r="Q304" i="18" s="1"/>
  <c r="P303" i="15"/>
  <c r="Q303" i="18" s="1"/>
  <c r="P302" i="15"/>
  <c r="Q302" i="18" s="1"/>
  <c r="P301" i="15"/>
  <c r="Q301" i="18" s="1"/>
  <c r="P300" i="15"/>
  <c r="Q300" i="18" s="1"/>
  <c r="P299" i="15"/>
  <c r="Q299" i="18" s="1"/>
  <c r="P298" i="15"/>
  <c r="Q298" i="18" s="1"/>
  <c r="P297" i="15"/>
  <c r="Q297" i="18" s="1"/>
  <c r="P296" i="15"/>
  <c r="Q296" i="18" s="1"/>
  <c r="P295" i="15"/>
  <c r="Q295" i="18" s="1"/>
  <c r="P294" i="15"/>
  <c r="Q294" i="18" s="1"/>
  <c r="P293" i="15"/>
  <c r="Q293" i="18" s="1"/>
  <c r="H108" i="19" s="1"/>
  <c r="P292" i="15"/>
  <c r="Q292" i="18" s="1"/>
  <c r="P291" i="15"/>
  <c r="Q291" i="18" s="1"/>
  <c r="H107" i="19" s="1"/>
  <c r="P290" i="15"/>
  <c r="Q290" i="18" s="1"/>
  <c r="H106" i="19" s="1"/>
  <c r="P289" i="15"/>
  <c r="Q289" i="18" s="1"/>
  <c r="P288" i="15"/>
  <c r="Q288" i="18" s="1"/>
  <c r="P287" i="15"/>
  <c r="Q287" i="18" s="1"/>
  <c r="H104" i="19" s="1"/>
  <c r="P286" i="15"/>
  <c r="Q286" i="18" s="1"/>
  <c r="H103" i="19" s="1"/>
  <c r="P285" i="15"/>
  <c r="Q285" i="18" s="1"/>
  <c r="H102" i="19" s="1"/>
  <c r="P284" i="15"/>
  <c r="Q284" i="18" s="1"/>
  <c r="H101" i="19" s="1"/>
  <c r="P283" i="15"/>
  <c r="Q283" i="18" s="1"/>
  <c r="P282" i="15"/>
  <c r="Q282" i="18" s="1"/>
  <c r="P281" i="15"/>
  <c r="Q281" i="18" s="1"/>
  <c r="P280" i="15"/>
  <c r="Q280" i="18" s="1"/>
  <c r="P279" i="15"/>
  <c r="Q279" i="18" s="1"/>
  <c r="P278" i="15"/>
  <c r="Q278" i="18" s="1"/>
  <c r="H98" i="19" s="1"/>
  <c r="P277" i="15"/>
  <c r="Q277" i="18" s="1"/>
  <c r="H97" i="19" s="1"/>
  <c r="P276" i="15"/>
  <c r="Q276" i="18" s="1"/>
  <c r="P275" i="15"/>
  <c r="Q275" i="18" s="1"/>
  <c r="H96" i="19" s="1"/>
  <c r="P274" i="15"/>
  <c r="Q274" i="18" s="1"/>
  <c r="P273" i="15"/>
  <c r="Q273" i="18" s="1"/>
  <c r="P272" i="15"/>
  <c r="Q272" i="18" s="1"/>
  <c r="P271" i="15"/>
  <c r="Q271" i="18" s="1"/>
  <c r="P270" i="15"/>
  <c r="Q270" i="18" s="1"/>
  <c r="P269" i="15"/>
  <c r="Q269" i="18" s="1"/>
  <c r="P268" i="15"/>
  <c r="Q268" i="18" s="1"/>
  <c r="P267" i="15"/>
  <c r="Q267" i="18" s="1"/>
  <c r="P266" i="15"/>
  <c r="Q266" i="18" s="1"/>
  <c r="P265" i="15"/>
  <c r="Q265" i="18" s="1"/>
  <c r="P264" i="15"/>
  <c r="Q264" i="18" s="1"/>
  <c r="P263" i="15"/>
  <c r="Q263" i="18" s="1"/>
  <c r="P262" i="15"/>
  <c r="Q262" i="18" s="1"/>
  <c r="P261" i="15"/>
  <c r="Q261" i="18" s="1"/>
  <c r="P260" i="15"/>
  <c r="Q260" i="18" s="1"/>
  <c r="P259" i="15"/>
  <c r="Q259" i="18" s="1"/>
  <c r="H89" i="19" s="1"/>
  <c r="P258" i="15"/>
  <c r="Q258" i="18" s="1"/>
  <c r="H88" i="19" s="1"/>
  <c r="P257" i="15"/>
  <c r="Q257" i="18" s="1"/>
  <c r="P256" i="15"/>
  <c r="Q256" i="18" s="1"/>
  <c r="P255" i="15"/>
  <c r="Q255" i="18" s="1"/>
  <c r="P254" i="15"/>
  <c r="Q254" i="18" s="1"/>
  <c r="H86" i="19" s="1"/>
  <c r="P253" i="15"/>
  <c r="Q253" i="18" s="1"/>
  <c r="P252" i="15"/>
  <c r="Q252" i="18" s="1"/>
  <c r="P251" i="15"/>
  <c r="Q251" i="18" s="1"/>
  <c r="P250" i="15"/>
  <c r="Q250" i="18" s="1"/>
  <c r="P249" i="15"/>
  <c r="Q249" i="18" s="1"/>
  <c r="P248" i="15"/>
  <c r="Q248" i="18" s="1"/>
  <c r="P247" i="15"/>
  <c r="Q247" i="18" s="1"/>
  <c r="P246" i="15"/>
  <c r="Q246" i="18" s="1"/>
  <c r="H78" i="19" s="1"/>
  <c r="P245" i="15"/>
  <c r="Q245" i="18" s="1"/>
  <c r="P244" i="15"/>
  <c r="Q244" i="18" s="1"/>
  <c r="P243" i="15"/>
  <c r="Q243" i="18" s="1"/>
  <c r="P242" i="15"/>
  <c r="Q242" i="18" s="1"/>
  <c r="P241" i="15"/>
  <c r="Q241" i="18" s="1"/>
  <c r="P240" i="15"/>
  <c r="Q240" i="18" s="1"/>
  <c r="P239" i="15"/>
  <c r="Q239" i="18" s="1"/>
  <c r="P238" i="15"/>
  <c r="Q238" i="18" s="1"/>
  <c r="H75" i="19" s="1"/>
  <c r="P237" i="15"/>
  <c r="Q237" i="18" s="1"/>
  <c r="P236" i="15"/>
  <c r="Q236" i="18" s="1"/>
  <c r="P235" i="15"/>
  <c r="Q235" i="18" s="1"/>
  <c r="P234" i="15"/>
  <c r="Q234" i="18" s="1"/>
  <c r="P233" i="15"/>
  <c r="Q233" i="18" s="1"/>
  <c r="P232" i="15"/>
  <c r="Q232" i="18" s="1"/>
  <c r="P231" i="15"/>
  <c r="Q231" i="18" s="1"/>
  <c r="P230" i="15"/>
  <c r="Q230" i="18" s="1"/>
  <c r="P229" i="15"/>
  <c r="Q229" i="18" s="1"/>
  <c r="P228" i="15"/>
  <c r="Q228" i="18" s="1"/>
  <c r="P227" i="15"/>
  <c r="Q227" i="18" s="1"/>
  <c r="P226" i="15"/>
  <c r="Q226" i="18" s="1"/>
  <c r="P225" i="15"/>
  <c r="Q225" i="18" s="1"/>
  <c r="P224" i="15"/>
  <c r="Q224" i="18" s="1"/>
  <c r="P223" i="15"/>
  <c r="Q223" i="18" s="1"/>
  <c r="P222" i="15"/>
  <c r="Q222" i="18" s="1"/>
  <c r="P221" i="15"/>
  <c r="Q221" i="18" s="1"/>
  <c r="P220" i="15"/>
  <c r="Q220" i="18" s="1"/>
  <c r="P219" i="15"/>
  <c r="Q219" i="18" s="1"/>
  <c r="P218" i="15"/>
  <c r="Q218" i="18" s="1"/>
  <c r="P217" i="15"/>
  <c r="Q217" i="18" s="1"/>
  <c r="P216" i="15"/>
  <c r="Q216" i="18" s="1"/>
  <c r="P215" i="15"/>
  <c r="Q215" i="18" s="1"/>
  <c r="P214" i="15"/>
  <c r="Q214" i="18" s="1"/>
  <c r="H67" i="19" s="1"/>
  <c r="P213" i="15"/>
  <c r="Q213" i="18" s="1"/>
  <c r="P212" i="15"/>
  <c r="Q212" i="18" s="1"/>
  <c r="P211" i="15"/>
  <c r="Q211" i="18" s="1"/>
  <c r="P210" i="15"/>
  <c r="Q210" i="18" s="1"/>
  <c r="H65" i="19" s="1"/>
  <c r="P209" i="15"/>
  <c r="Q209" i="18" s="1"/>
  <c r="P208" i="15"/>
  <c r="Q208" i="18" s="1"/>
  <c r="P207" i="15"/>
  <c r="Q207" i="18" s="1"/>
  <c r="P206" i="15"/>
  <c r="Q206" i="18" s="1"/>
  <c r="P205" i="15"/>
  <c r="Q205" i="18" s="1"/>
  <c r="P204" i="15"/>
  <c r="Q204" i="18" s="1"/>
  <c r="P203" i="15"/>
  <c r="Q203" i="18" s="1"/>
  <c r="H62" i="19" s="1"/>
  <c r="P202" i="15"/>
  <c r="Q202" i="18" s="1"/>
  <c r="P201" i="15"/>
  <c r="Q201" i="18" s="1"/>
  <c r="P200" i="15"/>
  <c r="Q200" i="18" s="1"/>
  <c r="P199" i="15"/>
  <c r="Q199" i="18" s="1"/>
  <c r="P198" i="15"/>
  <c r="Q198" i="18" s="1"/>
  <c r="P197" i="15"/>
  <c r="Q197" i="18" s="1"/>
  <c r="P196" i="15"/>
  <c r="Q196" i="18" s="1"/>
  <c r="P195" i="15"/>
  <c r="Q195" i="18" s="1"/>
  <c r="P194" i="15"/>
  <c r="Q194" i="18" s="1"/>
  <c r="P193" i="15"/>
  <c r="Q193" i="18" s="1"/>
  <c r="P192" i="15"/>
  <c r="Q192" i="18" s="1"/>
  <c r="P191" i="15"/>
  <c r="Q191" i="18" s="1"/>
  <c r="P190" i="15"/>
  <c r="Q190" i="18" s="1"/>
  <c r="P189" i="15"/>
  <c r="Q189" i="18" s="1"/>
  <c r="P188" i="15"/>
  <c r="Q188" i="18" s="1"/>
  <c r="P187" i="15"/>
  <c r="Q187" i="18" s="1"/>
  <c r="P186" i="15"/>
  <c r="Q186" i="18" s="1"/>
  <c r="P185" i="15"/>
  <c r="Q185" i="18" s="1"/>
  <c r="P184" i="15"/>
  <c r="Q184" i="18" s="1"/>
  <c r="P183" i="15"/>
  <c r="Q183" i="18" s="1"/>
  <c r="P182" i="15"/>
  <c r="Q182" i="18" s="1"/>
  <c r="P181" i="15"/>
  <c r="Q181" i="18" s="1"/>
  <c r="P180" i="15"/>
  <c r="Q180" i="18" s="1"/>
  <c r="P179" i="15"/>
  <c r="Q179" i="18" s="1"/>
  <c r="P178" i="15"/>
  <c r="Q178" i="18" s="1"/>
  <c r="P177" i="15"/>
  <c r="Q177" i="18" s="1"/>
  <c r="P176" i="15"/>
  <c r="Q176" i="18" s="1"/>
  <c r="P175" i="15"/>
  <c r="Q175" i="18" s="1"/>
  <c r="P174" i="15"/>
  <c r="Q174" i="18" s="1"/>
  <c r="P173" i="15"/>
  <c r="Q173" i="18" s="1"/>
  <c r="P172" i="15"/>
  <c r="Q172" i="18" s="1"/>
  <c r="P171" i="15"/>
  <c r="Q171" i="18" s="1"/>
  <c r="P170" i="15"/>
  <c r="Q170" i="18" s="1"/>
  <c r="P169" i="15"/>
  <c r="Q169" i="18" s="1"/>
  <c r="P168" i="15"/>
  <c r="Q168" i="18" s="1"/>
  <c r="P167" i="15"/>
  <c r="Q167" i="18" s="1"/>
  <c r="P166" i="15"/>
  <c r="Q166" i="18" s="1"/>
  <c r="P165" i="15"/>
  <c r="Q165" i="18" s="1"/>
  <c r="P164" i="15"/>
  <c r="Q164" i="18" s="1"/>
  <c r="P163" i="15"/>
  <c r="Q163" i="18" s="1"/>
  <c r="P162" i="15"/>
  <c r="Q162" i="18" s="1"/>
  <c r="P161" i="15"/>
  <c r="Q161" i="18" s="1"/>
  <c r="P160" i="15"/>
  <c r="Q160" i="18" s="1"/>
  <c r="P159" i="15"/>
  <c r="Q159" i="18" s="1"/>
  <c r="P158" i="15"/>
  <c r="Q158" i="18" s="1"/>
  <c r="P157" i="15"/>
  <c r="Q157" i="18" s="1"/>
  <c r="P156" i="15"/>
  <c r="Q156" i="18" s="1"/>
  <c r="P155" i="15"/>
  <c r="Q155" i="18" s="1"/>
  <c r="P154" i="15"/>
  <c r="Q154" i="18" s="1"/>
  <c r="P153" i="15"/>
  <c r="Q153" i="18" s="1"/>
  <c r="P152" i="15"/>
  <c r="Q152" i="18" s="1"/>
  <c r="P151" i="15"/>
  <c r="Q151" i="18" s="1"/>
  <c r="P150" i="15"/>
  <c r="Q150" i="18" s="1"/>
  <c r="P149" i="15"/>
  <c r="Q149" i="18" s="1"/>
  <c r="P148" i="15"/>
  <c r="Q148" i="18" s="1"/>
  <c r="P147" i="15"/>
  <c r="Q147" i="18" s="1"/>
  <c r="H48" i="19" s="1"/>
  <c r="P146" i="15"/>
  <c r="Q146" i="18" s="1"/>
  <c r="P145" i="15"/>
  <c r="Q145" i="18" s="1"/>
  <c r="P144" i="15"/>
  <c r="Q144" i="18" s="1"/>
  <c r="P143" i="15"/>
  <c r="Q143" i="18" s="1"/>
  <c r="P142" i="15"/>
  <c r="Q142" i="18" s="1"/>
  <c r="P141" i="15"/>
  <c r="Q141" i="18" s="1"/>
  <c r="P140" i="15"/>
  <c r="Q140" i="18" s="1"/>
  <c r="P139" i="15"/>
  <c r="Q139" i="18" s="1"/>
  <c r="P138" i="15"/>
  <c r="Q138" i="18" s="1"/>
  <c r="P137" i="15"/>
  <c r="Q137" i="18" s="1"/>
  <c r="P136" i="15"/>
  <c r="Q136" i="18" s="1"/>
  <c r="P135" i="15"/>
  <c r="Q135" i="18" s="1"/>
  <c r="P134" i="15"/>
  <c r="Q134" i="18" s="1"/>
  <c r="P133" i="15"/>
  <c r="Q133" i="18" s="1"/>
  <c r="P132" i="15"/>
  <c r="Q132" i="18" s="1"/>
  <c r="P131" i="15"/>
  <c r="Q131" i="18" s="1"/>
  <c r="H41" i="19" s="1"/>
  <c r="P130" i="15"/>
  <c r="Q130" i="18" s="1"/>
  <c r="P129" i="15"/>
  <c r="Q129" i="18" s="1"/>
  <c r="P128" i="15"/>
  <c r="Q128" i="18" s="1"/>
  <c r="P127" i="15"/>
  <c r="Q127" i="18" s="1"/>
  <c r="P126" i="15"/>
  <c r="Q126" i="18" s="1"/>
  <c r="P125" i="15"/>
  <c r="Q125" i="18" s="1"/>
  <c r="P124" i="15"/>
  <c r="Q124" i="18" s="1"/>
  <c r="P123" i="15"/>
  <c r="Q123" i="18" s="1"/>
  <c r="P122" i="15"/>
  <c r="Q122" i="18" s="1"/>
  <c r="P121" i="15"/>
  <c r="Q121" i="18" s="1"/>
  <c r="P120" i="15"/>
  <c r="Q120" i="18" s="1"/>
  <c r="P119" i="15"/>
  <c r="Q119" i="18" s="1"/>
  <c r="P118" i="15"/>
  <c r="Q118" i="18" s="1"/>
  <c r="P117" i="15"/>
  <c r="Q117" i="18" s="1"/>
  <c r="P116" i="15"/>
  <c r="Q116" i="18" s="1"/>
  <c r="P115" i="15"/>
  <c r="Q115" i="18" s="1"/>
  <c r="P114" i="15"/>
  <c r="Q114" i="18" s="1"/>
  <c r="P113" i="15"/>
  <c r="Q113" i="18" s="1"/>
  <c r="P112" i="15"/>
  <c r="Q112" i="18" s="1"/>
  <c r="P111" i="15"/>
  <c r="Q111" i="18" s="1"/>
  <c r="P110" i="15"/>
  <c r="Q110" i="18" s="1"/>
  <c r="P109" i="15"/>
  <c r="Q109" i="18" s="1"/>
  <c r="P108" i="15"/>
  <c r="Q108" i="18" s="1"/>
  <c r="P107" i="15"/>
  <c r="Q107" i="18" s="1"/>
  <c r="P106" i="15"/>
  <c r="Q106" i="18" s="1"/>
  <c r="P105" i="15"/>
  <c r="Q105" i="18" s="1"/>
  <c r="P104" i="15"/>
  <c r="Q104" i="18" s="1"/>
  <c r="P103" i="15"/>
  <c r="Q103" i="18" s="1"/>
  <c r="P102" i="15"/>
  <c r="Q102" i="18" s="1"/>
  <c r="H32" i="19" s="1"/>
  <c r="P101" i="15"/>
  <c r="Q101" i="18" s="1"/>
  <c r="H31" i="19" s="1"/>
  <c r="P100" i="15"/>
  <c r="Q100" i="18" s="1"/>
  <c r="P99" i="15"/>
  <c r="Q99" i="18" s="1"/>
  <c r="P98" i="15"/>
  <c r="Q98" i="18" s="1"/>
  <c r="P97" i="15"/>
  <c r="Q97" i="18" s="1"/>
  <c r="P96" i="15"/>
  <c r="Q96" i="18" s="1"/>
  <c r="P95" i="15"/>
  <c r="Q95" i="18" s="1"/>
  <c r="P94" i="15"/>
  <c r="Q94" i="18" s="1"/>
  <c r="P93" i="15"/>
  <c r="Q93" i="18" s="1"/>
  <c r="P92" i="15"/>
  <c r="Q92" i="18" s="1"/>
  <c r="P91" i="15"/>
  <c r="Q91" i="18" s="1"/>
  <c r="P90" i="15"/>
  <c r="Q90" i="18" s="1"/>
  <c r="P89" i="15"/>
  <c r="Q89" i="18" s="1"/>
  <c r="P88" i="15"/>
  <c r="Q88" i="18" s="1"/>
  <c r="P87" i="15"/>
  <c r="Q87" i="18" s="1"/>
  <c r="P86" i="15"/>
  <c r="Q86" i="18" s="1"/>
  <c r="P85" i="15"/>
  <c r="Q85" i="18" s="1"/>
  <c r="P84" i="15"/>
  <c r="Q84" i="18" s="1"/>
  <c r="P83" i="15"/>
  <c r="Q83" i="18" s="1"/>
  <c r="H25" i="19" s="1"/>
  <c r="P82" i="15"/>
  <c r="Q82" i="18" s="1"/>
  <c r="P81" i="15"/>
  <c r="Q81" i="18" s="1"/>
  <c r="P80" i="15"/>
  <c r="Q80" i="18" s="1"/>
  <c r="P79" i="15"/>
  <c r="Q79" i="18" s="1"/>
  <c r="P78" i="15"/>
  <c r="Q78" i="18" s="1"/>
  <c r="P77" i="15"/>
  <c r="Q77" i="18" s="1"/>
  <c r="P76" i="15"/>
  <c r="Q76" i="18" s="1"/>
  <c r="P75" i="15"/>
  <c r="Q75" i="18" s="1"/>
  <c r="P74" i="15"/>
  <c r="Q74" i="18" s="1"/>
  <c r="P73" i="15"/>
  <c r="Q73" i="18" s="1"/>
  <c r="P72" i="15"/>
  <c r="Q72" i="18" s="1"/>
  <c r="P71" i="15"/>
  <c r="Q71" i="18" s="1"/>
  <c r="P70" i="15"/>
  <c r="Q70" i="18" s="1"/>
  <c r="P69" i="15"/>
  <c r="Q69" i="18" s="1"/>
  <c r="P68" i="15"/>
  <c r="Q68" i="18" s="1"/>
  <c r="P67" i="15"/>
  <c r="Q67" i="18" s="1"/>
  <c r="P66" i="15"/>
  <c r="Q66" i="18" s="1"/>
  <c r="P65" i="15"/>
  <c r="Q65" i="18" s="1"/>
  <c r="P64" i="15"/>
  <c r="Q64" i="18" s="1"/>
  <c r="P63" i="15"/>
  <c r="Q63" i="18" s="1"/>
  <c r="P62" i="15"/>
  <c r="Q62" i="18" s="1"/>
  <c r="P61" i="15"/>
  <c r="Q61" i="18" s="1"/>
  <c r="P60" i="15"/>
  <c r="Q60" i="18" s="1"/>
  <c r="P59" i="15"/>
  <c r="Q59" i="18" s="1"/>
  <c r="H17" i="19" s="1"/>
  <c r="P58" i="15"/>
  <c r="Q58" i="18" s="1"/>
  <c r="P57" i="15"/>
  <c r="Q57" i="18" s="1"/>
  <c r="P56" i="15"/>
  <c r="Q56" i="18" s="1"/>
  <c r="P55" i="15"/>
  <c r="Q55" i="18" s="1"/>
  <c r="P54" i="15"/>
  <c r="Q54" i="18" s="1"/>
  <c r="P53" i="15"/>
  <c r="Q53" i="18" s="1"/>
  <c r="P52" i="15"/>
  <c r="Q52" i="18" s="1"/>
  <c r="P51" i="15"/>
  <c r="Q51" i="18" s="1"/>
  <c r="P50" i="15"/>
  <c r="Q50" i="18" s="1"/>
  <c r="P49" i="15"/>
  <c r="Q49" i="18" s="1"/>
  <c r="P48" i="15"/>
  <c r="Q48" i="18" s="1"/>
  <c r="P47" i="15"/>
  <c r="Q47" i="18" s="1"/>
  <c r="P46" i="15"/>
  <c r="Q46" i="18" s="1"/>
  <c r="P45" i="15"/>
  <c r="Q45" i="18" s="1"/>
  <c r="P44" i="15"/>
  <c r="Q44" i="18" s="1"/>
  <c r="P43" i="15"/>
  <c r="Q43" i="18" s="1"/>
  <c r="P42" i="15"/>
  <c r="Q42" i="18" s="1"/>
  <c r="P41" i="15"/>
  <c r="Q41" i="18" s="1"/>
  <c r="P40" i="15"/>
  <c r="Q40" i="18" s="1"/>
  <c r="P39" i="15"/>
  <c r="Q39" i="18" s="1"/>
  <c r="P38" i="15"/>
  <c r="Q38" i="18" s="1"/>
  <c r="P37" i="15"/>
  <c r="Q37" i="18" s="1"/>
  <c r="P36" i="15"/>
  <c r="Q36" i="18" s="1"/>
  <c r="P35" i="15"/>
  <c r="Q35" i="18" s="1"/>
  <c r="P34" i="15"/>
  <c r="Q34" i="18" s="1"/>
  <c r="P33" i="15"/>
  <c r="Q33" i="18" s="1"/>
  <c r="P32" i="15"/>
  <c r="Q32" i="18" s="1"/>
  <c r="P31" i="15"/>
  <c r="Q31" i="18" s="1"/>
  <c r="P30" i="15"/>
  <c r="Q30" i="18" s="1"/>
  <c r="H9" i="19" s="1"/>
  <c r="P29" i="15"/>
  <c r="Q29" i="18" s="1"/>
  <c r="P28" i="15"/>
  <c r="Q28" i="18" s="1"/>
  <c r="P27" i="15"/>
  <c r="Q27" i="18" s="1"/>
  <c r="P26" i="15"/>
  <c r="Q26" i="18" s="1"/>
  <c r="P25" i="15"/>
  <c r="Q25" i="18" s="1"/>
  <c r="P24" i="15"/>
  <c r="Q24" i="18" s="1"/>
  <c r="P23" i="15"/>
  <c r="Q23" i="18" s="1"/>
  <c r="P22" i="15"/>
  <c r="Q22" i="18" s="1"/>
  <c r="P21" i="15"/>
  <c r="Q21" i="18" s="1"/>
  <c r="P20" i="15"/>
  <c r="Q20" i="18" s="1"/>
  <c r="P19" i="15"/>
  <c r="Q19" i="18" s="1"/>
  <c r="P18" i="15"/>
  <c r="Q18" i="18" s="1"/>
  <c r="P17" i="15"/>
  <c r="Q17" i="18" s="1"/>
  <c r="P16" i="15"/>
  <c r="Q16" i="18" s="1"/>
  <c r="P15" i="15"/>
  <c r="Q15" i="18" s="1"/>
  <c r="P14" i="15"/>
  <c r="Q14" i="18" s="1"/>
  <c r="P13" i="15"/>
  <c r="Q13" i="18" s="1"/>
  <c r="P12" i="15"/>
  <c r="Q12" i="18" s="1"/>
  <c r="P11" i="15"/>
  <c r="Q11" i="18" s="1"/>
  <c r="P10" i="15"/>
  <c r="Q10" i="18" s="1"/>
  <c r="P9" i="15"/>
  <c r="Q9" i="18" s="1"/>
  <c r="P8" i="15"/>
  <c r="Q8" i="18" s="1"/>
  <c r="P7" i="15"/>
  <c r="Q7" i="18" s="1"/>
  <c r="P6" i="15"/>
  <c r="Q6" i="18" s="1"/>
  <c r="P5" i="15"/>
  <c r="Q5" i="18" s="1"/>
  <c r="P4" i="15"/>
  <c r="Q4" i="18" s="1"/>
  <c r="P3" i="15"/>
  <c r="Q3" i="18" s="1"/>
  <c r="P2" i="15"/>
  <c r="Q2" i="18" s="1"/>
  <c r="H155" i="19" l="1"/>
  <c r="H263" i="19"/>
  <c r="H266" i="19"/>
  <c r="H268" i="19"/>
  <c r="H296" i="19"/>
  <c r="H239" i="19"/>
  <c r="H244" i="19"/>
  <c r="H249" i="19"/>
  <c r="H166" i="19"/>
  <c r="H165" i="19"/>
  <c r="H193" i="19"/>
  <c r="H190" i="19"/>
  <c r="H179" i="19"/>
  <c r="H59" i="19"/>
  <c r="H66" i="19"/>
  <c r="H146" i="19"/>
  <c r="H178" i="19"/>
  <c r="H153" i="19"/>
  <c r="H295" i="19"/>
  <c r="H6" i="19"/>
  <c r="H11" i="19"/>
  <c r="H13" i="19"/>
  <c r="H15" i="19"/>
  <c r="H3" i="19"/>
  <c r="H8" i="19"/>
  <c r="H29" i="19"/>
  <c r="H45" i="19"/>
  <c r="H52" i="19"/>
  <c r="H55" i="19"/>
  <c r="H74" i="19"/>
  <c r="H77" i="19"/>
  <c r="H113" i="19"/>
  <c r="H142" i="19"/>
  <c r="H219" i="19"/>
  <c r="H286" i="19"/>
  <c r="H240" i="19"/>
  <c r="H2" i="19"/>
  <c r="H34" i="19"/>
  <c r="H36" i="19"/>
  <c r="H38" i="19"/>
  <c r="H44" i="19"/>
  <c r="H69" i="19"/>
  <c r="H80" i="19"/>
  <c r="H92" i="19"/>
  <c r="H100" i="19"/>
  <c r="H110" i="19"/>
  <c r="H133" i="19"/>
  <c r="H275" i="19"/>
  <c r="H228" i="19"/>
  <c r="H216" i="19"/>
  <c r="H285" i="19"/>
  <c r="H161" i="19"/>
  <c r="H198" i="19"/>
  <c r="H303" i="19"/>
  <c r="H297" i="19"/>
  <c r="H241" i="19"/>
  <c r="H245" i="19"/>
  <c r="H246" i="19"/>
  <c r="H277" i="19"/>
  <c r="H39" i="19"/>
  <c r="H280" i="19"/>
  <c r="Q755" i="18"/>
  <c r="H109" i="19"/>
  <c r="H274" i="19"/>
  <c r="H269" i="19"/>
  <c r="H226" i="19"/>
  <c r="H206" i="19"/>
  <c r="H23" i="19"/>
  <c r="H46" i="19"/>
  <c r="H21" i="19"/>
  <c r="H27" i="19"/>
  <c r="H37" i="19"/>
  <c r="H43" i="19"/>
  <c r="H50" i="19"/>
  <c r="H57" i="19"/>
  <c r="H72" i="19"/>
  <c r="H94" i="19"/>
  <c r="H140" i="19"/>
  <c r="H147" i="19"/>
  <c r="H149" i="19"/>
  <c r="H222" i="19"/>
  <c r="H209" i="19"/>
  <c r="H54" i="19"/>
  <c r="H111" i="19"/>
  <c r="H18" i="19"/>
  <c r="H20" i="19"/>
  <c r="H26" i="19"/>
  <c r="H42" i="19"/>
  <c r="H49" i="19"/>
  <c r="H61" i="19"/>
  <c r="H63" i="19"/>
  <c r="H71" i="19"/>
  <c r="H90" i="19"/>
  <c r="H93" i="19"/>
  <c r="H118" i="19"/>
  <c r="H125" i="19"/>
  <c r="H139" i="19"/>
  <c r="H220" i="19"/>
  <c r="H223" i="19"/>
  <c r="H210" i="19"/>
  <c r="H202" i="19"/>
  <c r="H175" i="19"/>
  <c r="H282" i="19"/>
  <c r="H169" i="19"/>
  <c r="H197" i="19"/>
  <c r="H164" i="19"/>
  <c r="H192" i="19"/>
  <c r="H189" i="19"/>
  <c r="H186" i="19"/>
  <c r="H185" i="19"/>
  <c r="H182" i="19"/>
  <c r="H154" i="19"/>
  <c r="H157" i="19"/>
  <c r="H300" i="19"/>
  <c r="H307" i="19"/>
  <c r="H258" i="19"/>
  <c r="H257" i="19"/>
  <c r="H14" i="19"/>
  <c r="H56" i="19"/>
  <c r="H290" i="19"/>
  <c r="H203" i="19"/>
  <c r="H12" i="19"/>
  <c r="H64" i="19"/>
  <c r="H79" i="19"/>
  <c r="H91" i="19"/>
  <c r="H122" i="19"/>
  <c r="H200" i="19"/>
  <c r="H288" i="19"/>
  <c r="H172" i="19"/>
  <c r="H168" i="19"/>
  <c r="H194" i="19"/>
  <c r="H162" i="19"/>
  <c r="H188" i="19"/>
  <c r="H184" i="19"/>
  <c r="H181" i="19"/>
  <c r="H159" i="19"/>
  <c r="H176" i="19"/>
  <c r="H301" i="19"/>
  <c r="H256" i="19"/>
  <c r="Q756" i="18"/>
  <c r="H5" i="19"/>
  <c r="H4" i="19"/>
  <c r="H7" i="19"/>
  <c r="H10" i="19"/>
  <c r="H16" i="19"/>
  <c r="H33" i="19"/>
  <c r="H35" i="19"/>
  <c r="H53" i="19"/>
  <c r="H60" i="19"/>
  <c r="H68" i="19"/>
  <c r="H70" i="19"/>
  <c r="H76" i="19"/>
  <c r="H87" i="19"/>
  <c r="H99" i="19"/>
  <c r="H105" i="19"/>
  <c r="H115" i="19"/>
  <c r="H127" i="19"/>
  <c r="H132" i="19"/>
  <c r="H150" i="19"/>
  <c r="H273" i="19"/>
  <c r="H173" i="19"/>
  <c r="H276" i="19"/>
  <c r="H30" i="19"/>
  <c r="H234" i="19"/>
  <c r="H19" i="19"/>
  <c r="H22" i="19"/>
  <c r="H24" i="19"/>
  <c r="H28" i="19"/>
  <c r="H40" i="19"/>
  <c r="H47" i="19"/>
  <c r="H51" i="19"/>
  <c r="H58" i="19"/>
  <c r="H73" i="19"/>
  <c r="H95" i="19"/>
  <c r="H141" i="19"/>
  <c r="H145" i="19"/>
  <c r="H271" i="19"/>
  <c r="H281" i="19"/>
  <c r="H221" i="19"/>
  <c r="H215" i="19"/>
  <c r="H212" i="19"/>
  <c r="H208" i="19"/>
  <c r="H204" i="19"/>
  <c r="H201" i="19"/>
  <c r="H287" i="19"/>
  <c r="H171" i="19"/>
  <c r="H196" i="19"/>
  <c r="H163" i="19"/>
  <c r="H191" i="19"/>
  <c r="H187" i="19"/>
  <c r="H183" i="19"/>
  <c r="H180" i="19"/>
  <c r="H158" i="19"/>
  <c r="H156" i="19"/>
  <c r="H294" i="19"/>
  <c r="H250" i="19"/>
  <c r="M12" i="17"/>
  <c r="M11" i="17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2" i="15"/>
  <c r="P377" i="19"/>
  <c r="O377" i="19"/>
  <c r="N377" i="19"/>
  <c r="J377" i="19"/>
  <c r="R373" i="19"/>
  <c r="P372" i="19"/>
  <c r="R371" i="19"/>
  <c r="R369" i="19"/>
  <c r="R368" i="19"/>
  <c r="R367" i="19"/>
  <c r="R366" i="19"/>
  <c r="R365" i="19"/>
  <c r="R364" i="19"/>
  <c r="P363" i="19"/>
  <c r="P362" i="19"/>
  <c r="R361" i="19"/>
  <c r="P360" i="19"/>
  <c r="P359" i="19"/>
  <c r="P358" i="19"/>
  <c r="P331" i="19"/>
  <c r="Q331" i="19" s="1"/>
  <c r="N324" i="19"/>
  <c r="O321" i="19"/>
  <c r="P321" i="19" s="1"/>
  <c r="O320" i="19"/>
  <c r="P320" i="19" s="1"/>
  <c r="O319" i="19"/>
  <c r="P319" i="19" s="1"/>
  <c r="F266" i="19"/>
  <c r="AM306" i="19"/>
  <c r="AL306" i="19"/>
  <c r="V265" i="19"/>
  <c r="U265" i="19"/>
  <c r="F265" i="19"/>
  <c r="F264" i="19"/>
  <c r="F263" i="19"/>
  <c r="F262" i="19"/>
  <c r="F261" i="19"/>
  <c r="F152" i="19"/>
  <c r="F309" i="19"/>
  <c r="N268" i="19"/>
  <c r="F308" i="19"/>
  <c r="F307" i="19"/>
  <c r="F306" i="19"/>
  <c r="F305" i="19"/>
  <c r="F304" i="19"/>
  <c r="F303" i="19"/>
  <c r="F302" i="19"/>
  <c r="F301" i="19"/>
  <c r="F300" i="19"/>
  <c r="F299" i="19"/>
  <c r="F298" i="19"/>
  <c r="F297" i="19"/>
  <c r="F296" i="19"/>
  <c r="F295" i="19"/>
  <c r="F294" i="19"/>
  <c r="F293" i="19"/>
  <c r="F292" i="19"/>
  <c r="F291" i="19"/>
  <c r="O290" i="19"/>
  <c r="F290" i="19"/>
  <c r="O289" i="19"/>
  <c r="F289" i="19"/>
  <c r="P289" i="19" s="1"/>
  <c r="O288" i="19"/>
  <c r="F288" i="19"/>
  <c r="O287" i="19"/>
  <c r="F287" i="19"/>
  <c r="O286" i="19"/>
  <c r="F286" i="19"/>
  <c r="O285" i="19"/>
  <c r="F285" i="19"/>
  <c r="O284" i="19"/>
  <c r="F284" i="19"/>
  <c r="F283" i="19"/>
  <c r="O282" i="19"/>
  <c r="F282" i="19"/>
  <c r="F281" i="19"/>
  <c r="F280" i="19"/>
  <c r="F279" i="19"/>
  <c r="F278" i="19"/>
  <c r="F277" i="19"/>
  <c r="F276" i="19"/>
  <c r="F275" i="19"/>
  <c r="F274" i="19"/>
  <c r="O273" i="19"/>
  <c r="F273" i="19"/>
  <c r="O272" i="19"/>
  <c r="F272" i="19"/>
  <c r="F271" i="19"/>
  <c r="O270" i="19"/>
  <c r="F270" i="19"/>
  <c r="O269" i="19"/>
  <c r="F269" i="19"/>
  <c r="AH260" i="19"/>
  <c r="AH259" i="19"/>
  <c r="F260" i="19"/>
  <c r="P260" i="19" s="1"/>
  <c r="AH258" i="19"/>
  <c r="F259" i="19"/>
  <c r="P259" i="19" s="1"/>
  <c r="AH257" i="19"/>
  <c r="F258" i="19"/>
  <c r="P258" i="19" s="1"/>
  <c r="F257" i="19"/>
  <c r="P257" i="19" s="1"/>
  <c r="AH256" i="19"/>
  <c r="AH255" i="19"/>
  <c r="F256" i="19"/>
  <c r="P256" i="19" s="1"/>
  <c r="AH254" i="19"/>
  <c r="F255" i="19"/>
  <c r="P255" i="19" s="1"/>
  <c r="AH253" i="19"/>
  <c r="F254" i="19"/>
  <c r="P254" i="19" s="1"/>
  <c r="AH252" i="19"/>
  <c r="F253" i="19"/>
  <c r="P253" i="19" s="1"/>
  <c r="AH251" i="19"/>
  <c r="F252" i="19"/>
  <c r="P252" i="19" s="1"/>
  <c r="F251" i="19"/>
  <c r="P251" i="19" s="1"/>
  <c r="AH250" i="19"/>
  <c r="AH249" i="19"/>
  <c r="F250" i="19"/>
  <c r="P250" i="19" s="1"/>
  <c r="AH248" i="19"/>
  <c r="F249" i="19"/>
  <c r="P249" i="19" s="1"/>
  <c r="AH247" i="19"/>
  <c r="F248" i="19"/>
  <c r="P248" i="19" s="1"/>
  <c r="AH246" i="19"/>
  <c r="F247" i="19"/>
  <c r="P247" i="19" s="1"/>
  <c r="AH245" i="19"/>
  <c r="F246" i="19"/>
  <c r="P246" i="19" s="1"/>
  <c r="F245" i="19"/>
  <c r="P245" i="19" s="1"/>
  <c r="AH244" i="19"/>
  <c r="AH243" i="19"/>
  <c r="F244" i="19"/>
  <c r="P244" i="19" s="1"/>
  <c r="F243" i="19"/>
  <c r="P243" i="19" s="1"/>
  <c r="AH242" i="19"/>
  <c r="F242" i="19"/>
  <c r="P242" i="19" s="1"/>
  <c r="AH241" i="19"/>
  <c r="AH240" i="19"/>
  <c r="F241" i="19"/>
  <c r="P241" i="19" s="1"/>
  <c r="AH239" i="19"/>
  <c r="F240" i="19"/>
  <c r="P240" i="19" s="1"/>
  <c r="AH238" i="19"/>
  <c r="F239" i="19"/>
  <c r="P239" i="19" s="1"/>
  <c r="AH237" i="19"/>
  <c r="F238" i="19"/>
  <c r="AH236" i="19"/>
  <c r="F237" i="19"/>
  <c r="F236" i="19"/>
  <c r="AH235" i="19"/>
  <c r="AH234" i="19"/>
  <c r="F235" i="19"/>
  <c r="AH233" i="19"/>
  <c r="F234" i="19"/>
  <c r="AH232" i="19"/>
  <c r="F233" i="19"/>
  <c r="AH231" i="19"/>
  <c r="F232" i="19"/>
  <c r="F231" i="19"/>
  <c r="AH230" i="19"/>
  <c r="F230" i="19"/>
  <c r="AH229" i="19"/>
  <c r="F229" i="19"/>
  <c r="AH228" i="19"/>
  <c r="F228" i="19"/>
  <c r="AH227" i="19"/>
  <c r="AH226" i="19"/>
  <c r="F227" i="19"/>
  <c r="AH225" i="19"/>
  <c r="F226" i="19"/>
  <c r="AH224" i="19"/>
  <c r="F225" i="19"/>
  <c r="F224" i="19"/>
  <c r="AH223" i="19"/>
  <c r="AH222" i="19"/>
  <c r="F223" i="19"/>
  <c r="AH221" i="19"/>
  <c r="F222" i="19"/>
  <c r="F221" i="19"/>
  <c r="AH220" i="19"/>
  <c r="AH219" i="19"/>
  <c r="F220" i="19"/>
  <c r="AH218" i="19"/>
  <c r="F219" i="19"/>
  <c r="AH217" i="19"/>
  <c r="F218" i="19"/>
  <c r="AH216" i="19"/>
  <c r="F217" i="19"/>
  <c r="AH215" i="19"/>
  <c r="F216" i="19"/>
  <c r="AH214" i="19"/>
  <c r="F215" i="19"/>
  <c r="AH213" i="19"/>
  <c r="F214" i="19"/>
  <c r="AH212" i="19"/>
  <c r="F213" i="19"/>
  <c r="AH211" i="19"/>
  <c r="F212" i="19"/>
  <c r="AH210" i="19"/>
  <c r="F211" i="19"/>
  <c r="AH209" i="19"/>
  <c r="F210" i="19"/>
  <c r="AH208" i="19"/>
  <c r="F209" i="19"/>
  <c r="AH207" i="19"/>
  <c r="F208" i="19"/>
  <c r="AH206" i="19"/>
  <c r="F207" i="19"/>
  <c r="AH205" i="19"/>
  <c r="F206" i="19"/>
  <c r="AH204" i="19"/>
  <c r="F205" i="19"/>
  <c r="AH203" i="19"/>
  <c r="F204" i="19"/>
  <c r="AH202" i="19"/>
  <c r="F203" i="19"/>
  <c r="AH201" i="19"/>
  <c r="F202" i="19"/>
  <c r="AH200" i="19"/>
  <c r="F201" i="19"/>
  <c r="AH199" i="19"/>
  <c r="F200" i="19"/>
  <c r="AH198" i="19"/>
  <c r="F199" i="19"/>
  <c r="F198" i="19"/>
  <c r="AH197" i="19"/>
  <c r="AH196" i="19"/>
  <c r="F197" i="19"/>
  <c r="F196" i="19"/>
  <c r="AH195" i="19"/>
  <c r="AH194" i="19"/>
  <c r="F195" i="19"/>
  <c r="AH193" i="19"/>
  <c r="F194" i="19"/>
  <c r="AH192" i="19"/>
  <c r="F193" i="19"/>
  <c r="AH191" i="19"/>
  <c r="F192" i="19"/>
  <c r="AH190" i="19"/>
  <c r="F191" i="19"/>
  <c r="AH189" i="19"/>
  <c r="F190" i="19"/>
  <c r="AH188" i="19"/>
  <c r="F189" i="19"/>
  <c r="AH187" i="19"/>
  <c r="F188" i="19"/>
  <c r="AH186" i="19"/>
  <c r="F187" i="19"/>
  <c r="AH185" i="19"/>
  <c r="F186" i="19"/>
  <c r="AH184" i="19"/>
  <c r="F185" i="19"/>
  <c r="AH183" i="19"/>
  <c r="F184" i="19"/>
  <c r="AH182" i="19"/>
  <c r="F183" i="19"/>
  <c r="AH181" i="19"/>
  <c r="F182" i="19"/>
  <c r="AH180" i="19"/>
  <c r="F181" i="19"/>
  <c r="AH179" i="19"/>
  <c r="F180" i="19"/>
  <c r="AH178" i="19"/>
  <c r="F179" i="19"/>
  <c r="AH177" i="19"/>
  <c r="F178" i="19"/>
  <c r="AH176" i="19"/>
  <c r="F177" i="19"/>
  <c r="AH175" i="19"/>
  <c r="F176" i="19"/>
  <c r="AH174" i="19"/>
  <c r="F175" i="19"/>
  <c r="AH173" i="19"/>
  <c r="F174" i="19"/>
  <c r="AH172" i="19"/>
  <c r="F173" i="19"/>
  <c r="AH171" i="19"/>
  <c r="F172" i="19"/>
  <c r="AH170" i="19"/>
  <c r="F171" i="19"/>
  <c r="AH169" i="19"/>
  <c r="F170" i="19"/>
  <c r="AH168" i="19"/>
  <c r="F169" i="19"/>
  <c r="AH167" i="19"/>
  <c r="F168" i="19"/>
  <c r="AH166" i="19"/>
  <c r="F167" i="19"/>
  <c r="AH165" i="19"/>
  <c r="F166" i="19"/>
  <c r="AH164" i="19"/>
  <c r="F165" i="19"/>
  <c r="AH163" i="19"/>
  <c r="F164" i="19"/>
  <c r="AH162" i="19"/>
  <c r="F163" i="19"/>
  <c r="AH161" i="19"/>
  <c r="F162" i="19"/>
  <c r="AH160" i="19"/>
  <c r="F161" i="19"/>
  <c r="AH159" i="19"/>
  <c r="F160" i="19"/>
  <c r="AH158" i="19"/>
  <c r="F159" i="19"/>
  <c r="AH157" i="19"/>
  <c r="F158" i="19"/>
  <c r="AH156" i="19"/>
  <c r="F157" i="19"/>
  <c r="AH155" i="19"/>
  <c r="F156" i="19"/>
  <c r="AH154" i="19"/>
  <c r="F155" i="19"/>
  <c r="AH153" i="19"/>
  <c r="F154" i="19"/>
  <c r="AH152" i="19"/>
  <c r="F153" i="19"/>
  <c r="AH151" i="19"/>
  <c r="F151" i="19"/>
  <c r="AH150" i="19"/>
  <c r="F150" i="19"/>
  <c r="AH149" i="19"/>
  <c r="F149" i="19"/>
  <c r="AH148" i="19"/>
  <c r="F148" i="19"/>
  <c r="AH147" i="19"/>
  <c r="F147" i="19"/>
  <c r="AH146" i="19"/>
  <c r="F146" i="19"/>
  <c r="AH145" i="19"/>
  <c r="F145" i="19"/>
  <c r="AH144" i="19"/>
  <c r="F144" i="19"/>
  <c r="AH143" i="19"/>
  <c r="F143" i="19"/>
  <c r="AH142" i="19"/>
  <c r="F142" i="19"/>
  <c r="AH141" i="19"/>
  <c r="F141" i="19"/>
  <c r="AH140" i="19"/>
  <c r="F140" i="19"/>
  <c r="AH139" i="19"/>
  <c r="F139" i="19"/>
  <c r="AH138" i="19"/>
  <c r="F138" i="19"/>
  <c r="AH137" i="19"/>
  <c r="F137" i="19"/>
  <c r="AH136" i="19"/>
  <c r="F136" i="19"/>
  <c r="AH135" i="19"/>
  <c r="F135" i="19"/>
  <c r="AH134" i="19"/>
  <c r="F134" i="19"/>
  <c r="AH133" i="19"/>
  <c r="F133" i="19"/>
  <c r="AH132" i="19"/>
  <c r="F132" i="19"/>
  <c r="AH131" i="19"/>
  <c r="F131" i="19"/>
  <c r="AH130" i="19"/>
  <c r="F130" i="19"/>
  <c r="AH129" i="19"/>
  <c r="F129" i="19"/>
  <c r="AH128" i="19"/>
  <c r="F128" i="19"/>
  <c r="AH127" i="19"/>
  <c r="F127" i="19"/>
  <c r="AH126" i="19"/>
  <c r="F126" i="19"/>
  <c r="AH125" i="19"/>
  <c r="F125" i="19"/>
  <c r="AH124" i="19"/>
  <c r="F124" i="19"/>
  <c r="AH123" i="19"/>
  <c r="F123" i="19"/>
  <c r="AH122" i="19"/>
  <c r="F122" i="19"/>
  <c r="AH121" i="19"/>
  <c r="F121" i="19"/>
  <c r="AH120" i="19"/>
  <c r="F120" i="19"/>
  <c r="AH119" i="19"/>
  <c r="F119" i="19"/>
  <c r="AH118" i="19"/>
  <c r="F118" i="19"/>
  <c r="AH117" i="19"/>
  <c r="F117" i="19"/>
  <c r="AH116" i="19"/>
  <c r="F116" i="19"/>
  <c r="AH115" i="19"/>
  <c r="F115" i="19"/>
  <c r="AH114" i="19"/>
  <c r="F114" i="19"/>
  <c r="AH113" i="19"/>
  <c r="F113" i="19"/>
  <c r="AH112" i="19"/>
  <c r="F112" i="19"/>
  <c r="AH111" i="19"/>
  <c r="F111" i="19"/>
  <c r="AH110" i="19"/>
  <c r="F110" i="19"/>
  <c r="AH109" i="19"/>
  <c r="F109" i="19"/>
  <c r="AH108" i="19"/>
  <c r="F108" i="19"/>
  <c r="AH107" i="19"/>
  <c r="F107" i="19"/>
  <c r="AH106" i="19"/>
  <c r="F106" i="19"/>
  <c r="AH105" i="19"/>
  <c r="F105" i="19"/>
  <c r="AH104" i="19"/>
  <c r="F104" i="19"/>
  <c r="AH103" i="19"/>
  <c r="F103" i="19"/>
  <c r="AH102" i="19"/>
  <c r="F102" i="19"/>
  <c r="AH101" i="19"/>
  <c r="F101" i="19"/>
  <c r="AH100" i="19"/>
  <c r="F100" i="19"/>
  <c r="AH99" i="19"/>
  <c r="F99" i="19"/>
  <c r="AH98" i="19"/>
  <c r="F98" i="19"/>
  <c r="AH97" i="19"/>
  <c r="F97" i="19"/>
  <c r="AH96" i="19"/>
  <c r="F96" i="19"/>
  <c r="AH95" i="19"/>
  <c r="F95" i="19"/>
  <c r="AH94" i="19"/>
  <c r="F94" i="19"/>
  <c r="AH93" i="19"/>
  <c r="F93" i="19"/>
  <c r="AH92" i="19"/>
  <c r="F92" i="19"/>
  <c r="AH91" i="19"/>
  <c r="F91" i="19"/>
  <c r="AH90" i="19"/>
  <c r="F90" i="19"/>
  <c r="AH89" i="19"/>
  <c r="F89" i="19"/>
  <c r="AH88" i="19"/>
  <c r="F88" i="19"/>
  <c r="AH87" i="19"/>
  <c r="F87" i="19"/>
  <c r="AH86" i="19"/>
  <c r="F86" i="19"/>
  <c r="AH85" i="19"/>
  <c r="F85" i="19"/>
  <c r="AH84" i="19"/>
  <c r="F84" i="19"/>
  <c r="AH83" i="19"/>
  <c r="F83" i="19"/>
  <c r="AH82" i="19"/>
  <c r="F82" i="19"/>
  <c r="AH81" i="19"/>
  <c r="F81" i="19"/>
  <c r="AH80" i="19"/>
  <c r="F80" i="19"/>
  <c r="AH79" i="19"/>
  <c r="F79" i="19"/>
  <c r="AH78" i="19"/>
  <c r="F78" i="19"/>
  <c r="AH77" i="19"/>
  <c r="F77" i="19"/>
  <c r="AH76" i="19"/>
  <c r="F76" i="19"/>
  <c r="AH75" i="19"/>
  <c r="F75" i="19"/>
  <c r="AH74" i="19"/>
  <c r="F74" i="19"/>
  <c r="AH73" i="19"/>
  <c r="F73" i="19"/>
  <c r="AH72" i="19"/>
  <c r="F72" i="19"/>
  <c r="AH71" i="19"/>
  <c r="F71" i="19"/>
  <c r="AH70" i="19"/>
  <c r="F70" i="19"/>
  <c r="AH69" i="19"/>
  <c r="F69" i="19"/>
  <c r="AH68" i="19"/>
  <c r="F68" i="19"/>
  <c r="AH67" i="19"/>
  <c r="F67" i="19"/>
  <c r="AH66" i="19"/>
  <c r="F66" i="19"/>
  <c r="AH65" i="19"/>
  <c r="F65" i="19"/>
  <c r="AH64" i="19"/>
  <c r="F64" i="19"/>
  <c r="AH63" i="19"/>
  <c r="F63" i="19"/>
  <c r="AH62" i="19"/>
  <c r="F62" i="19"/>
  <c r="AH61" i="19"/>
  <c r="F61" i="19"/>
  <c r="AH60" i="19"/>
  <c r="F60" i="19"/>
  <c r="AH59" i="19"/>
  <c r="F59" i="19"/>
  <c r="AH58" i="19"/>
  <c r="F58" i="19"/>
  <c r="AH57" i="19"/>
  <c r="F57" i="19"/>
  <c r="AH56" i="19"/>
  <c r="F56" i="19"/>
  <c r="AH55" i="19"/>
  <c r="F55" i="19"/>
  <c r="AH54" i="19"/>
  <c r="F54" i="19"/>
  <c r="AH53" i="19"/>
  <c r="F53" i="19"/>
  <c r="AH52" i="19"/>
  <c r="F52" i="19"/>
  <c r="AH51" i="19"/>
  <c r="F51" i="19"/>
  <c r="AH50" i="19"/>
  <c r="F50" i="19"/>
  <c r="AH49" i="19"/>
  <c r="F49" i="19"/>
  <c r="AH48" i="19"/>
  <c r="F48" i="19"/>
  <c r="AH47" i="19"/>
  <c r="F47" i="19"/>
  <c r="AH46" i="19"/>
  <c r="F46" i="19"/>
  <c r="AH45" i="19"/>
  <c r="F45" i="19"/>
  <c r="AH44" i="19"/>
  <c r="F44" i="19"/>
  <c r="AH43" i="19"/>
  <c r="F43" i="19"/>
  <c r="AH42" i="19"/>
  <c r="F42" i="19"/>
  <c r="AH41" i="19"/>
  <c r="F41" i="19"/>
  <c r="AH40" i="19"/>
  <c r="F40" i="19"/>
  <c r="AH39" i="19"/>
  <c r="F39" i="19"/>
  <c r="AH38" i="19"/>
  <c r="F38" i="19"/>
  <c r="AH37" i="19"/>
  <c r="F37" i="19"/>
  <c r="AH36" i="19"/>
  <c r="F36" i="19"/>
  <c r="AH35" i="19"/>
  <c r="F35" i="19"/>
  <c r="AH34" i="19"/>
  <c r="F34" i="19"/>
  <c r="AH33" i="19"/>
  <c r="F33" i="19"/>
  <c r="AH32" i="19"/>
  <c r="F32" i="19"/>
  <c r="AH31" i="19"/>
  <c r="F31" i="19"/>
  <c r="AH30" i="19"/>
  <c r="F30" i="19"/>
  <c r="AH29" i="19"/>
  <c r="F29" i="19"/>
  <c r="AH28" i="19"/>
  <c r="F28" i="19"/>
  <c r="AH27" i="19"/>
  <c r="F27" i="19"/>
  <c r="AH26" i="19"/>
  <c r="F26" i="19"/>
  <c r="AH25" i="19"/>
  <c r="F25" i="19"/>
  <c r="AH24" i="19"/>
  <c r="F24" i="19"/>
  <c r="AH23" i="19"/>
  <c r="F23" i="19"/>
  <c r="AH22" i="19"/>
  <c r="F22" i="19"/>
  <c r="AH21" i="19"/>
  <c r="F21" i="19"/>
  <c r="AH20" i="19"/>
  <c r="F20" i="19"/>
  <c r="AH19" i="19"/>
  <c r="F19" i="19"/>
  <c r="AH18" i="19"/>
  <c r="F18" i="19"/>
  <c r="AH17" i="19"/>
  <c r="F17" i="19"/>
  <c r="AH16" i="19"/>
  <c r="F16" i="19"/>
  <c r="AH15" i="19"/>
  <c r="F15" i="19"/>
  <c r="AH14" i="19"/>
  <c r="F14" i="19"/>
  <c r="AH13" i="19"/>
  <c r="F13" i="19"/>
  <c r="AH12" i="19"/>
  <c r="F12" i="19"/>
  <c r="AH11" i="19"/>
  <c r="F11" i="19"/>
  <c r="AH10" i="19"/>
  <c r="F10" i="19"/>
  <c r="AH9" i="19"/>
  <c r="F9" i="19"/>
  <c r="AH8" i="19"/>
  <c r="F8" i="19"/>
  <c r="AH7" i="19"/>
  <c r="F7" i="19"/>
  <c r="AH6" i="19"/>
  <c r="F6" i="19"/>
  <c r="AH5" i="19"/>
  <c r="F5" i="19"/>
  <c r="AH4" i="19"/>
  <c r="F4" i="19"/>
  <c r="AH3" i="19"/>
  <c r="F3" i="19"/>
  <c r="AH2" i="19"/>
  <c r="F2" i="19"/>
  <c r="AH1" i="19"/>
  <c r="K317" i="18" l="1"/>
  <c r="AY13" i="19"/>
  <c r="AY12" i="19"/>
  <c r="AZ7" i="19"/>
  <c r="AZ10" i="19"/>
  <c r="AZ5" i="19"/>
  <c r="AZ6" i="19"/>
  <c r="AZ13" i="19"/>
  <c r="AZ12" i="19"/>
  <c r="AZ9" i="19"/>
  <c r="AZ8" i="19"/>
  <c r="AY5" i="19"/>
  <c r="BA5" i="19" s="1"/>
  <c r="AY10" i="19"/>
  <c r="BA10" i="19" s="1"/>
  <c r="BB10" i="19" s="1"/>
  <c r="AY6" i="19"/>
  <c r="AY9" i="19"/>
  <c r="AY7" i="19"/>
  <c r="AY8" i="19"/>
  <c r="N378" i="19"/>
  <c r="N358" i="19" s="1"/>
  <c r="O378" i="19"/>
  <c r="O358" i="19" s="1"/>
  <c r="O318" i="19"/>
  <c r="P318" i="19" s="1"/>
  <c r="S319" i="19"/>
  <c r="P374" i="19"/>
  <c r="O268" i="19"/>
  <c r="O323" i="19" s="1"/>
  <c r="Q320" i="19"/>
  <c r="S320" i="19"/>
  <c r="O324" i="19"/>
  <c r="P324" i="19" s="1"/>
  <c r="R331" i="19"/>
  <c r="S331" i="19"/>
  <c r="Q321" i="19"/>
  <c r="T331" i="19"/>
  <c r="Q319" i="19"/>
  <c r="U331" i="19"/>
  <c r="J378" i="19"/>
  <c r="J359" i="19" s="1"/>
  <c r="S321" i="19"/>
  <c r="B1004" i="15"/>
  <c r="L3" i="20" s="1"/>
  <c r="R319" i="19"/>
  <c r="R320" i="19"/>
  <c r="R321" i="19"/>
  <c r="AZ15" i="19" l="1"/>
  <c r="BA7" i="19"/>
  <c r="BB7" i="19" s="1"/>
  <c r="BA12" i="19"/>
  <c r="BB12" i="19" s="1"/>
  <c r="BA9" i="19"/>
  <c r="BB9" i="19" s="1"/>
  <c r="BA8" i="19"/>
  <c r="BB8" i="19" s="1"/>
  <c r="AY15" i="19"/>
  <c r="BA6" i="19"/>
  <c r="BB6" i="19"/>
  <c r="BA13" i="19"/>
  <c r="BB13" i="19" s="1"/>
  <c r="BB5" i="19"/>
  <c r="N372" i="19"/>
  <c r="N285" i="19"/>
  <c r="N360" i="19"/>
  <c r="N290" i="19"/>
  <c r="O362" i="19"/>
  <c r="N362" i="19"/>
  <c r="N287" i="19"/>
  <c r="P287" i="19" s="1"/>
  <c r="O372" i="19"/>
  <c r="N359" i="19"/>
  <c r="N272" i="19"/>
  <c r="P272" i="19" s="1"/>
  <c r="N363" i="19"/>
  <c r="N284" i="19"/>
  <c r="P284" i="19" s="1"/>
  <c r="R318" i="19"/>
  <c r="N288" i="19"/>
  <c r="P288" i="19" s="1"/>
  <c r="N270" i="19"/>
  <c r="O360" i="19"/>
  <c r="N282" i="19"/>
  <c r="N286" i="19"/>
  <c r="P286" i="19" s="1"/>
  <c r="N269" i="19"/>
  <c r="O359" i="19"/>
  <c r="N273" i="19"/>
  <c r="P273" i="19" s="1"/>
  <c r="O363" i="19"/>
  <c r="Q318" i="19"/>
  <c r="S318" i="19"/>
  <c r="P282" i="19"/>
  <c r="P285" i="19"/>
  <c r="O329" i="19"/>
  <c r="Q329" i="19" s="1"/>
  <c r="O322" i="19"/>
  <c r="O328" i="19" s="1"/>
  <c r="N320" i="19"/>
  <c r="T320" i="19" s="1"/>
  <c r="V320" i="19" s="1"/>
  <c r="N322" i="19"/>
  <c r="Q324" i="19"/>
  <c r="J362" i="19"/>
  <c r="J358" i="19"/>
  <c r="S324" i="19"/>
  <c r="P378" i="19"/>
  <c r="P380" i="19" s="1"/>
  <c r="R324" i="19"/>
  <c r="T324" i="19"/>
  <c r="V318" i="19"/>
  <c r="J360" i="19"/>
  <c r="W331" i="19"/>
  <c r="J363" i="19"/>
  <c r="J372" i="19"/>
  <c r="V321" i="19"/>
  <c r="V319" i="19"/>
  <c r="P323" i="19"/>
  <c r="S323" i="19"/>
  <c r="R323" i="19"/>
  <c r="Q323" i="19"/>
  <c r="BA15" i="19" l="1"/>
  <c r="BB15" i="19" s="1"/>
  <c r="P290" i="19"/>
  <c r="N319" i="19"/>
  <c r="T319" i="19" s="1"/>
  <c r="N321" i="19"/>
  <c r="T321" i="19" s="1"/>
  <c r="R359" i="19"/>
  <c r="N382" i="19"/>
  <c r="N323" i="19"/>
  <c r="T323" i="19" s="1"/>
  <c r="V323" i="19" s="1"/>
  <c r="R362" i="19"/>
  <c r="N374" i="19"/>
  <c r="R372" i="19"/>
  <c r="N329" i="19"/>
  <c r="T329" i="19" s="1"/>
  <c r="O382" i="19"/>
  <c r="N318" i="19"/>
  <c r="T318" i="19" s="1"/>
  <c r="P269" i="19"/>
  <c r="P270" i="19"/>
  <c r="O374" i="19"/>
  <c r="R363" i="19"/>
  <c r="R360" i="19"/>
  <c r="P329" i="19"/>
  <c r="V329" i="19" s="1"/>
  <c r="S329" i="19"/>
  <c r="R329" i="19"/>
  <c r="P322" i="19"/>
  <c r="Q322" i="19"/>
  <c r="S322" i="19"/>
  <c r="R322" i="19"/>
  <c r="T322" i="19"/>
  <c r="J374" i="19"/>
  <c r="R358" i="19"/>
  <c r="V324" i="19"/>
  <c r="O380" i="19"/>
  <c r="J380" i="19"/>
  <c r="N380" i="19"/>
  <c r="J382" i="19"/>
  <c r="P328" i="19"/>
  <c r="S328" i="19"/>
  <c r="R328" i="19"/>
  <c r="Q328" i="19"/>
  <c r="N328" i="19" l="1"/>
  <c r="T328" i="19" s="1"/>
  <c r="P382" i="19"/>
  <c r="R374" i="19"/>
  <c r="V322" i="19"/>
  <c r="V328" i="19"/>
  <c r="H420" i="17"/>
  <c r="F417" i="17"/>
  <c r="F418" i="17"/>
  <c r="F419" i="17"/>
  <c r="F420" i="17"/>
  <c r="F421" i="17"/>
  <c r="F422" i="17"/>
  <c r="F423" i="17"/>
  <c r="F424" i="17"/>
  <c r="F425" i="17"/>
  <c r="F426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3" i="17"/>
  <c r="M14" i="17" l="1"/>
  <c r="L14" i="17"/>
  <c r="M6" i="17"/>
  <c r="M8" i="17"/>
  <c r="M7" i="17"/>
  <c r="M13" i="17"/>
  <c r="M10" i="17"/>
  <c r="M5" i="17"/>
  <c r="M9" i="17"/>
  <c r="D414" i="17"/>
  <c r="H414" i="17" s="1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H374" i="17" s="1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H247" i="17" s="1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N14" i="17" l="1"/>
  <c r="O14" i="17"/>
  <c r="H154" i="17"/>
  <c r="H347" i="17"/>
  <c r="H412" i="17"/>
  <c r="H204" i="17"/>
  <c r="H373" i="17"/>
  <c r="K267" i="18" l="1"/>
  <c r="K874" i="18"/>
  <c r="K379" i="18"/>
  <c r="K187" i="18"/>
  <c r="K539" i="18"/>
  <c r="K916" i="18"/>
  <c r="K571" i="18"/>
  <c r="K227" i="18"/>
  <c r="K698" i="18"/>
  <c r="K30" i="18"/>
  <c r="K792" i="18"/>
  <c r="K773" i="18"/>
  <c r="K58" i="18"/>
  <c r="K824" i="18"/>
  <c r="K27" i="18"/>
  <c r="K889" i="18"/>
  <c r="K144" i="18"/>
  <c r="K919" i="18"/>
  <c r="K534" i="18"/>
  <c r="K965" i="18"/>
  <c r="H333" i="17" s="1"/>
  <c r="K161" i="18"/>
  <c r="K247" i="18"/>
  <c r="K54" i="18"/>
  <c r="K22" i="18"/>
  <c r="K316" i="18"/>
  <c r="K441" i="18"/>
  <c r="K555" i="18"/>
  <c r="K215" i="18"/>
  <c r="K650" i="18"/>
  <c r="K868" i="18"/>
  <c r="K683" i="18"/>
  <c r="K532" i="18"/>
  <c r="K90" i="18"/>
  <c r="K529" i="18"/>
  <c r="K61" i="18"/>
  <c r="K795" i="18"/>
  <c r="K903" i="18"/>
  <c r="K849" i="18"/>
  <c r="K197" i="18"/>
  <c r="K596" i="18"/>
  <c r="K861" i="18"/>
  <c r="K682" i="18"/>
  <c r="K717" i="18"/>
  <c r="K214" i="18"/>
  <c r="H53" i="17" s="1"/>
  <c r="K931" i="18"/>
  <c r="H344" i="17" s="1"/>
  <c r="K60" i="18"/>
  <c r="K16" i="18"/>
  <c r="K221" i="18"/>
  <c r="K127" i="18"/>
  <c r="K526" i="18"/>
  <c r="K17" i="18"/>
  <c r="K8" i="18"/>
  <c r="K236" i="18"/>
  <c r="K848" i="18"/>
  <c r="K37" i="18"/>
  <c r="K673" i="18"/>
  <c r="H281" i="17" s="1"/>
  <c r="K334" i="18"/>
  <c r="K413" i="18"/>
  <c r="K936" i="18"/>
  <c r="K975" i="18"/>
  <c r="H354" i="17" s="1"/>
  <c r="K709" i="18"/>
  <c r="K422" i="18"/>
  <c r="H140" i="17" s="1"/>
  <c r="K646" i="18"/>
  <c r="K401" i="18"/>
  <c r="K262" i="18"/>
  <c r="K399" i="18"/>
  <c r="K554" i="18"/>
  <c r="K39" i="18"/>
  <c r="K482" i="18"/>
  <c r="K697" i="18"/>
  <c r="K987" i="18"/>
  <c r="H369" i="17" s="1"/>
  <c r="K684" i="18"/>
  <c r="K797" i="18"/>
  <c r="K823" i="18"/>
  <c r="K623" i="18"/>
  <c r="K582" i="18"/>
  <c r="K375" i="18"/>
  <c r="H114" i="17" s="1"/>
  <c r="K295" i="18"/>
  <c r="K2" i="18"/>
  <c r="K766" i="18"/>
  <c r="H251" i="17" s="1"/>
  <c r="K789" i="18"/>
  <c r="K614" i="18"/>
  <c r="K63" i="18"/>
  <c r="K51" i="18"/>
  <c r="K856" i="18"/>
  <c r="K941" i="18"/>
  <c r="K119" i="18"/>
  <c r="K309" i="18"/>
  <c r="K703" i="18"/>
  <c r="K909" i="18"/>
  <c r="H315" i="17" s="1"/>
  <c r="K558" i="18"/>
  <c r="K470" i="18"/>
  <c r="K270" i="18"/>
  <c r="K494" i="18"/>
  <c r="H174" i="17" s="1"/>
  <c r="K237" i="18"/>
  <c r="K147" i="18"/>
  <c r="K922" i="18"/>
  <c r="K716" i="18"/>
  <c r="K265" i="18"/>
  <c r="K738" i="18"/>
  <c r="K635" i="18"/>
  <c r="K446" i="18"/>
  <c r="K162" i="18"/>
  <c r="K302" i="18"/>
  <c r="K544" i="18"/>
  <c r="K981" i="18"/>
  <c r="H362" i="17" s="1"/>
  <c r="K695" i="18"/>
  <c r="K419" i="18"/>
  <c r="K737" i="18"/>
  <c r="K116" i="18"/>
  <c r="K448" i="18"/>
  <c r="K376" i="18"/>
  <c r="H115" i="17" s="1"/>
  <c r="K502" i="18"/>
  <c r="K652" i="18"/>
  <c r="K110" i="18"/>
  <c r="K38" i="18"/>
  <c r="K152" i="18"/>
  <c r="K930" i="18"/>
  <c r="H343" i="17" s="1"/>
  <c r="K768" i="18"/>
  <c r="H249" i="17" s="1"/>
  <c r="K84" i="18"/>
  <c r="K731" i="18"/>
  <c r="K587" i="18"/>
  <c r="K365" i="18"/>
  <c r="K498" i="18"/>
  <c r="K602" i="18"/>
  <c r="K659" i="18"/>
  <c r="H295" i="17" s="1"/>
  <c r="K806" i="18"/>
  <c r="K907" i="18"/>
  <c r="K406" i="18"/>
  <c r="K770" i="18"/>
  <c r="K180" i="18"/>
  <c r="K715" i="18"/>
  <c r="K531" i="18"/>
  <c r="K744" i="18"/>
  <c r="K98" i="18"/>
  <c r="K844" i="18"/>
  <c r="K535" i="18"/>
  <c r="K843" i="18"/>
  <c r="K497" i="18"/>
  <c r="K170" i="18"/>
  <c r="K706" i="18"/>
  <c r="K421" i="18"/>
  <c r="H139" i="17" s="1"/>
  <c r="K424" i="18"/>
  <c r="H142" i="17" s="1"/>
  <c r="K702" i="18"/>
  <c r="K575" i="18"/>
  <c r="K755" i="18"/>
  <c r="K687" i="18"/>
  <c r="K353" i="18"/>
  <c r="K106" i="18"/>
  <c r="K828" i="18"/>
  <c r="K76" i="18"/>
  <c r="K240" i="18"/>
  <c r="K536" i="18"/>
  <c r="K278" i="18"/>
  <c r="K946" i="18"/>
  <c r="K10" i="18"/>
  <c r="K301" i="18"/>
  <c r="K442" i="18"/>
  <c r="K96" i="18"/>
  <c r="K986" i="18"/>
  <c r="H367" i="17" s="1"/>
  <c r="K250" i="18"/>
  <c r="H62" i="17" s="1"/>
  <c r="K901" i="18"/>
  <c r="H405" i="17" s="1"/>
  <c r="K7" i="18"/>
  <c r="K192" i="18"/>
  <c r="K876" i="18"/>
  <c r="K331" i="18"/>
  <c r="K610" i="18"/>
  <c r="K956" i="18"/>
  <c r="K765" i="18"/>
  <c r="K354" i="18"/>
  <c r="H102" i="17" s="1"/>
  <c r="K638" i="18"/>
  <c r="H306" i="17" s="1"/>
  <c r="K396" i="18"/>
  <c r="K685" i="18"/>
  <c r="K420" i="18"/>
  <c r="K92" i="18"/>
  <c r="K71" i="18"/>
  <c r="K932" i="18"/>
  <c r="H345" i="17" s="1"/>
  <c r="K924" i="18"/>
  <c r="K708" i="18"/>
  <c r="K710" i="18"/>
  <c r="K253" i="18"/>
  <c r="K467" i="18"/>
  <c r="K327" i="18"/>
  <c r="K978" i="18"/>
  <c r="H359" i="17" s="1"/>
  <c r="K460" i="18"/>
  <c r="K128" i="18"/>
  <c r="K625" i="18"/>
  <c r="K938" i="18"/>
  <c r="K202" i="18"/>
  <c r="K322" i="18"/>
  <c r="K352" i="18"/>
  <c r="K872" i="18"/>
  <c r="K694" i="18"/>
  <c r="H270" i="17" s="1"/>
  <c r="K225" i="18"/>
  <c r="K465" i="18"/>
  <c r="K942" i="18"/>
  <c r="K982" i="18"/>
  <c r="H363" i="17" s="1"/>
  <c r="K910" i="18"/>
  <c r="K140" i="18"/>
  <c r="K491" i="18"/>
  <c r="H171" i="17" s="1"/>
  <c r="K560" i="18"/>
  <c r="K72" i="18"/>
  <c r="K307" i="18"/>
  <c r="K883" i="18"/>
  <c r="K865" i="18"/>
  <c r="K483" i="18"/>
  <c r="K19" i="18"/>
  <c r="K125" i="18"/>
  <c r="K287" i="18"/>
  <c r="H76" i="17" s="1"/>
  <c r="K515" i="18"/>
  <c r="H184" i="17" s="1"/>
  <c r="K357" i="18"/>
  <c r="H105" i="17" s="1"/>
  <c r="K408" i="18"/>
  <c r="K581" i="18"/>
  <c r="K410" i="18"/>
  <c r="H132" i="17" s="1"/>
  <c r="K65" i="18"/>
  <c r="K14" i="18"/>
  <c r="K344" i="18"/>
  <c r="K55" i="18"/>
  <c r="K459" i="18"/>
  <c r="K649" i="18"/>
  <c r="K35" i="18"/>
  <c r="K292" i="18"/>
  <c r="K777" i="18"/>
  <c r="K533" i="18"/>
  <c r="K591" i="18"/>
  <c r="K666" i="18"/>
  <c r="H289" i="17" s="1"/>
  <c r="K337" i="18"/>
  <c r="K364" i="18"/>
  <c r="H109" i="17" s="1"/>
  <c r="K143" i="18"/>
  <c r="K925" i="18"/>
  <c r="K186" i="18"/>
  <c r="K767" i="18"/>
  <c r="H250" i="17" s="1"/>
  <c r="K132" i="18"/>
  <c r="K109" i="18"/>
  <c r="K323" i="18"/>
  <c r="K810" i="18"/>
  <c r="K519" i="18"/>
  <c r="K216" i="18"/>
  <c r="K892" i="18"/>
  <c r="H411" i="17" s="1"/>
  <c r="K273" i="18"/>
  <c r="K339" i="18"/>
  <c r="K866" i="18"/>
  <c r="K863" i="18"/>
  <c r="K108" i="18"/>
  <c r="K53" i="18"/>
  <c r="K699" i="18"/>
  <c r="K859" i="18"/>
  <c r="K245" i="18"/>
  <c r="K390" i="18"/>
  <c r="K409" i="18"/>
  <c r="K3" i="18"/>
  <c r="K565" i="18"/>
  <c r="K547" i="18"/>
  <c r="K268" i="18"/>
  <c r="K642" i="18"/>
  <c r="H302" i="17" s="1"/>
  <c r="K871" i="18"/>
  <c r="K403" i="18"/>
  <c r="K627" i="18"/>
  <c r="H203" i="17" s="1"/>
  <c r="K725" i="18"/>
  <c r="H254" i="17" s="1"/>
  <c r="K839" i="18"/>
  <c r="K126" i="18"/>
  <c r="K160" i="18"/>
  <c r="K594" i="18"/>
  <c r="K734" i="18"/>
  <c r="K774" i="18"/>
  <c r="K462" i="18"/>
  <c r="H158" i="17" s="1"/>
  <c r="K257" i="18"/>
  <c r="H64" i="17" s="1"/>
  <c r="K524" i="18"/>
  <c r="K940" i="18"/>
  <c r="H327" i="17" s="1"/>
  <c r="K771" i="18"/>
  <c r="K456" i="18"/>
  <c r="K980" i="18"/>
  <c r="H361" i="17" s="1"/>
  <c r="K997" i="18"/>
  <c r="H355" i="17" s="1"/>
  <c r="K906" i="18"/>
  <c r="K589" i="18"/>
  <c r="K6" i="18"/>
  <c r="K477" i="18"/>
  <c r="K145" i="18"/>
  <c r="K440" i="18"/>
  <c r="K577" i="18"/>
  <c r="K415" i="18"/>
  <c r="K606" i="18"/>
  <c r="K416" i="18"/>
  <c r="H136" i="17" s="1"/>
  <c r="K814" i="18"/>
  <c r="K948" i="18"/>
  <c r="K747" i="18"/>
  <c r="K999" i="18"/>
  <c r="K105" i="18"/>
  <c r="K45" i="18"/>
  <c r="K464" i="18"/>
  <c r="K486" i="18"/>
  <c r="K41" i="18"/>
  <c r="K445" i="18"/>
  <c r="K954" i="18"/>
  <c r="K735" i="18"/>
  <c r="K381" i="18"/>
  <c r="K690" i="18"/>
  <c r="K293" i="18"/>
  <c r="K328" i="18"/>
  <c r="K89" i="18"/>
  <c r="K453" i="18"/>
  <c r="K136" i="18"/>
  <c r="K300" i="18"/>
  <c r="K385" i="18"/>
  <c r="K272" i="18"/>
  <c r="K254" i="18"/>
  <c r="K111" i="18"/>
  <c r="K622" i="18"/>
  <c r="K402" i="18"/>
  <c r="K230" i="18"/>
  <c r="K59" i="18"/>
  <c r="K312" i="18"/>
  <c r="K719" i="18"/>
  <c r="K538" i="18"/>
  <c r="K780" i="18"/>
  <c r="K188" i="18"/>
  <c r="K325" i="18"/>
  <c r="K31" i="18"/>
  <c r="K995" i="18"/>
  <c r="H353" i="17" s="1"/>
  <c r="K114" i="18"/>
  <c r="K320" i="18"/>
  <c r="K888" i="18"/>
  <c r="K778" i="18"/>
  <c r="K740" i="18"/>
  <c r="K436" i="18"/>
  <c r="K13" i="18"/>
  <c r="K542" i="18"/>
  <c r="K989" i="18"/>
  <c r="H368" i="17" s="1"/>
  <c r="K791" i="18"/>
  <c r="K391" i="18"/>
  <c r="K153" i="18"/>
  <c r="K282" i="18"/>
  <c r="K586" i="18"/>
  <c r="K921" i="18"/>
  <c r="K336" i="18"/>
  <c r="K668" i="18"/>
  <c r="H287" i="17" s="1"/>
  <c r="K87" i="18"/>
  <c r="K473" i="18"/>
  <c r="K894" i="18"/>
  <c r="K821" i="18"/>
  <c r="K219" i="18"/>
  <c r="K256" i="18"/>
  <c r="K213" i="18"/>
  <c r="K480" i="18"/>
  <c r="H166" i="17" s="1"/>
  <c r="K85" i="18"/>
  <c r="K573" i="18"/>
  <c r="K595" i="18"/>
  <c r="K741" i="18"/>
  <c r="H391" i="17" s="1"/>
  <c r="K313" i="18"/>
  <c r="K926" i="18"/>
  <c r="H334" i="17" s="1"/>
  <c r="K961" i="18"/>
  <c r="K880" i="18"/>
  <c r="H397" i="17" s="1"/>
  <c r="K838" i="18"/>
  <c r="K231" i="18"/>
  <c r="K185" i="18"/>
  <c r="K70" i="18"/>
  <c r="K239" i="18"/>
  <c r="K129" i="18"/>
  <c r="K454" i="18"/>
  <c r="K224" i="18"/>
  <c r="K893" i="18"/>
  <c r="K398" i="18"/>
  <c r="K392" i="18"/>
  <c r="H124" i="17" s="1"/>
  <c r="K332" i="18"/>
  <c r="K727" i="18"/>
  <c r="K644" i="18"/>
  <c r="K794" i="18"/>
  <c r="K121" i="18"/>
  <c r="K769" i="18"/>
  <c r="H248" i="17" s="1"/>
  <c r="K511" i="18"/>
  <c r="K435" i="18"/>
  <c r="H148" i="17" s="1"/>
  <c r="K443" i="18"/>
  <c r="K633" i="18"/>
  <c r="K714" i="18"/>
  <c r="K372" i="18"/>
  <c r="K546" i="18"/>
  <c r="K782" i="18"/>
  <c r="K112" i="18"/>
  <c r="K172" i="18"/>
  <c r="K957" i="18"/>
  <c r="K104" i="18"/>
  <c r="K271" i="18"/>
  <c r="K238" i="18"/>
  <c r="K918" i="18"/>
  <c r="K674" i="18"/>
  <c r="K658" i="18"/>
  <c r="H296" i="17" s="1"/>
  <c r="K196" i="18"/>
  <c r="K509" i="18"/>
  <c r="K671" i="18"/>
  <c r="H284" i="17" s="1"/>
  <c r="K967" i="18"/>
  <c r="K629" i="18"/>
  <c r="K506" i="18"/>
  <c r="K604" i="18"/>
  <c r="K929" i="18"/>
  <c r="H341" i="17" s="1"/>
  <c r="K641" i="18"/>
  <c r="H303" i="17" s="1"/>
  <c r="K898" i="18"/>
  <c r="K484" i="18"/>
  <c r="K512" i="18"/>
  <c r="H181" i="17" s="1"/>
  <c r="K809" i="18"/>
  <c r="K418" i="18"/>
  <c r="K18" i="18"/>
  <c r="K899" i="18"/>
  <c r="K461" i="18"/>
  <c r="H157" i="17" s="1"/>
  <c r="K168" i="18"/>
  <c r="K226" i="18"/>
  <c r="K819" i="18"/>
  <c r="K73" i="18"/>
  <c r="K407" i="18"/>
  <c r="K914" i="18"/>
  <c r="K598" i="18"/>
  <c r="K947" i="18"/>
  <c r="K951" i="18"/>
  <c r="H342" i="17" s="1"/>
  <c r="K94" i="18"/>
  <c r="K208" i="18"/>
  <c r="K543" i="18"/>
  <c r="H198" i="17" s="1"/>
  <c r="K485" i="18"/>
  <c r="K580" i="18"/>
  <c r="K182" i="18"/>
  <c r="K928" i="18"/>
  <c r="H340" i="17" s="1"/>
  <c r="K516" i="18"/>
  <c r="K329" i="18"/>
  <c r="K234" i="18"/>
  <c r="K69" i="18"/>
  <c r="K833" i="18"/>
  <c r="K896" i="18"/>
  <c r="K884" i="18"/>
  <c r="K261" i="18"/>
  <c r="K825" i="18"/>
  <c r="K748" i="18"/>
  <c r="K466" i="18"/>
  <c r="K722" i="18"/>
  <c r="H283" i="17" s="1"/>
  <c r="K487" i="18"/>
  <c r="K829" i="18"/>
  <c r="K805" i="18"/>
  <c r="K174" i="18"/>
  <c r="K640" i="18"/>
  <c r="H304" i="17" s="1"/>
  <c r="K847" i="18"/>
  <c r="K373" i="18"/>
  <c r="K801" i="18"/>
  <c r="K57" i="18"/>
  <c r="K973" i="18"/>
  <c r="H350" i="17" s="1"/>
  <c r="K937" i="18"/>
  <c r="K338" i="18"/>
  <c r="K351" i="18"/>
  <c r="K74" i="18"/>
  <c r="K608" i="18"/>
  <c r="K618" i="18"/>
  <c r="K675" i="18"/>
  <c r="K743" i="18"/>
  <c r="K495" i="18"/>
  <c r="H175" i="17" s="1"/>
  <c r="K822" i="18"/>
  <c r="K960" i="18"/>
  <c r="K146" i="18"/>
  <c r="K626" i="18"/>
  <c r="K177" i="18"/>
  <c r="K374" i="18"/>
  <c r="K851" i="18"/>
  <c r="K660" i="18"/>
  <c r="H294" i="17" s="1"/>
  <c r="K115" i="18"/>
  <c r="K630" i="18"/>
  <c r="K551" i="18"/>
  <c r="K335" i="18"/>
  <c r="H93" i="17" s="1"/>
  <c r="K869" i="18"/>
  <c r="K289" i="18"/>
  <c r="K984" i="18"/>
  <c r="H365" i="17" s="1"/>
  <c r="K246" i="18"/>
  <c r="K588" i="18"/>
  <c r="K167" i="18"/>
  <c r="K345" i="18"/>
  <c r="K281" i="18"/>
  <c r="K321" i="18"/>
  <c r="K275" i="18"/>
  <c r="K616" i="18"/>
  <c r="K67" i="18"/>
  <c r="K617" i="18"/>
  <c r="K68" i="18"/>
  <c r="K166" i="18"/>
  <c r="K350" i="18"/>
  <c r="K927" i="18"/>
  <c r="K540" i="18"/>
  <c r="K120" i="18"/>
  <c r="K414" i="18"/>
  <c r="K142" i="18"/>
  <c r="H33" i="17" s="1"/>
  <c r="K746" i="18"/>
  <c r="K979" i="18"/>
  <c r="H360" i="17" s="1"/>
  <c r="K100" i="18"/>
  <c r="K552" i="18"/>
  <c r="K917" i="18"/>
  <c r="H320" i="17" s="1"/>
  <c r="K412" i="18"/>
  <c r="H134" i="17" s="1"/>
  <c r="K990" i="18"/>
  <c r="H370" i="17" s="1"/>
  <c r="K853" i="18"/>
  <c r="K206" i="18"/>
  <c r="K369" i="18"/>
  <c r="H112" i="17" s="1"/>
  <c r="K233" i="18"/>
  <c r="K255" i="18"/>
  <c r="K248" i="18"/>
  <c r="K9" i="18"/>
  <c r="K21" i="18"/>
  <c r="K813" i="18"/>
  <c r="K692" i="18"/>
  <c r="K463" i="18"/>
  <c r="H159" i="17" s="1"/>
  <c r="K43" i="18"/>
  <c r="K212" i="18"/>
  <c r="H52" i="17" s="1"/>
  <c r="K176" i="18"/>
  <c r="K578" i="18"/>
  <c r="H389" i="17" s="1"/>
  <c r="K718" i="18"/>
  <c r="K79" i="18"/>
  <c r="K665" i="18"/>
  <c r="K4" i="18"/>
  <c r="K656" i="18"/>
  <c r="H298" i="17" s="1"/>
  <c r="K877" i="18"/>
  <c r="K939" i="18"/>
  <c r="H321" i="17" s="1"/>
  <c r="K75" i="18"/>
  <c r="K811" i="18"/>
  <c r="K423" i="18"/>
  <c r="H141" i="17" s="1"/>
  <c r="K333" i="18"/>
  <c r="K568" i="18"/>
  <c r="K377" i="18"/>
  <c r="H116" i="17" s="1"/>
  <c r="K451" i="18"/>
  <c r="K672" i="18"/>
  <c r="H282" i="17" s="1"/>
  <c r="K857" i="18"/>
  <c r="K962" i="18"/>
  <c r="H329" i="17" s="1"/>
  <c r="K178" i="18"/>
  <c r="K830" i="18"/>
  <c r="K189" i="18"/>
  <c r="K244" i="18"/>
  <c r="K662" i="18"/>
  <c r="H292" i="17" s="1"/>
  <c r="K897" i="18"/>
  <c r="K194" i="18"/>
  <c r="K655" i="18"/>
  <c r="H299" i="17" s="1"/>
  <c r="K430" i="18"/>
  <c r="K387" i="18"/>
  <c r="K88" i="18"/>
  <c r="K284" i="18"/>
  <c r="K757" i="18"/>
  <c r="K966" i="18"/>
  <c r="K20" i="18"/>
  <c r="K648" i="18"/>
  <c r="H378" i="17" s="1"/>
  <c r="K251" i="18"/>
  <c r="K545" i="18"/>
  <c r="K130" i="18"/>
  <c r="K994" i="18"/>
  <c r="H352" i="17" s="1"/>
  <c r="K263" i="18"/>
  <c r="K864" i="18"/>
  <c r="K724" i="18"/>
  <c r="K46" i="18"/>
  <c r="K553" i="18"/>
  <c r="K164" i="18"/>
  <c r="K879" i="18"/>
  <c r="K944" i="18"/>
  <c r="H338" i="17" s="1"/>
  <c r="K472" i="18"/>
  <c r="K786" i="18"/>
  <c r="K808" i="18"/>
  <c r="H212" i="17" s="1"/>
  <c r="K169" i="18"/>
  <c r="K796" i="18"/>
  <c r="K404" i="18"/>
  <c r="K793" i="18"/>
  <c r="K349" i="18"/>
  <c r="K612" i="18"/>
  <c r="K760" i="18"/>
  <c r="K681" i="18"/>
  <c r="K885" i="18"/>
  <c r="K637" i="18"/>
  <c r="H307" i="17" s="1"/>
  <c r="K400" i="18"/>
  <c r="K781" i="18"/>
  <c r="K361" i="18"/>
  <c r="K81" i="18"/>
  <c r="K154" i="18"/>
  <c r="K439" i="18"/>
  <c r="K605" i="18"/>
  <c r="K359" i="18"/>
  <c r="K205" i="18"/>
  <c r="K912" i="18"/>
  <c r="H317" i="17" s="1"/>
  <c r="K223" i="18"/>
  <c r="K754" i="18"/>
  <c r="K955" i="18"/>
  <c r="K207" i="18"/>
  <c r="K615" i="18"/>
  <c r="K179" i="18"/>
  <c r="K837" i="18"/>
  <c r="K852" i="18"/>
  <c r="K711" i="18"/>
  <c r="K739" i="18"/>
  <c r="K842" i="18"/>
  <c r="K458" i="18"/>
  <c r="K499" i="18"/>
  <c r="K232" i="18"/>
  <c r="K290" i="18"/>
  <c r="K593" i="18"/>
  <c r="K991" i="18"/>
  <c r="H371" i="17" s="1"/>
  <c r="K288" i="18"/>
  <c r="K40" i="18"/>
  <c r="K355" i="18"/>
  <c r="H103" i="17" s="1"/>
  <c r="K24" i="18"/>
  <c r="K97" i="18"/>
  <c r="K753" i="18"/>
  <c r="K858" i="18"/>
  <c r="K389" i="18"/>
  <c r="H122" i="17" s="1"/>
  <c r="K264" i="18"/>
  <c r="K395" i="18"/>
  <c r="K732" i="18"/>
  <c r="K294" i="18"/>
  <c r="K444" i="18"/>
  <c r="K393" i="18"/>
  <c r="H125" i="17" s="1"/>
  <c r="K664" i="18"/>
  <c r="H290" i="17" s="1"/>
  <c r="K356" i="18"/>
  <c r="H104" i="17" s="1"/>
  <c r="K949" i="18"/>
  <c r="H339" i="17" s="1"/>
  <c r="K165" i="18"/>
  <c r="K150" i="18"/>
  <c r="H35" i="17" s="1"/>
  <c r="K86" i="18"/>
  <c r="K117" i="18"/>
  <c r="K510" i="18"/>
  <c r="K476" i="18"/>
  <c r="H164" i="17" s="1"/>
  <c r="K878" i="18"/>
  <c r="K958" i="18"/>
  <c r="K613" i="18"/>
  <c r="K155" i="18"/>
  <c r="K569" i="18"/>
  <c r="K308" i="18"/>
  <c r="K953" i="18"/>
  <c r="K566" i="18"/>
  <c r="K574" i="18"/>
  <c r="K434" i="18"/>
  <c r="K900" i="18"/>
  <c r="H408" i="17" s="1"/>
  <c r="K679" i="18"/>
  <c r="K870" i="18"/>
  <c r="K521" i="18"/>
  <c r="K758" i="18"/>
  <c r="K599" i="18"/>
  <c r="K799" i="18"/>
  <c r="K280" i="18"/>
  <c r="K123" i="18"/>
  <c r="K827" i="18"/>
  <c r="K875" i="18"/>
  <c r="H404" i="17" s="1"/>
  <c r="K798" i="18"/>
  <c r="K707" i="18"/>
  <c r="K970" i="18"/>
  <c r="K522" i="18"/>
  <c r="K258" i="18"/>
  <c r="H65" i="17" s="1"/>
  <c r="K850" i="18"/>
  <c r="K5" i="18"/>
  <c r="K488" i="18"/>
  <c r="K429" i="18"/>
  <c r="K95" i="18"/>
  <c r="K78" i="18"/>
  <c r="K342" i="18"/>
  <c r="K905" i="18"/>
  <c r="K217" i="18"/>
  <c r="K779" i="18"/>
  <c r="K693" i="18"/>
  <c r="H271" i="17" s="1"/>
  <c r="K776" i="18"/>
  <c r="K764" i="18"/>
  <c r="K201" i="18"/>
  <c r="K191" i="18"/>
  <c r="K319" i="18"/>
  <c r="K159" i="18"/>
  <c r="K790" i="18"/>
  <c r="K500" i="18"/>
  <c r="K367" i="18"/>
  <c r="K171" i="18"/>
  <c r="K133" i="18"/>
  <c r="K705" i="18"/>
  <c r="K124" i="18"/>
  <c r="K636" i="18"/>
  <c r="K548" i="18"/>
  <c r="K405" i="18"/>
  <c r="K508" i="18"/>
  <c r="K378" i="18"/>
  <c r="K728" i="18"/>
  <c r="K945" i="18"/>
  <c r="K619" i="18"/>
  <c r="K175" i="18"/>
  <c r="H42" i="17" s="1"/>
  <c r="K624" i="18"/>
  <c r="K784" i="18"/>
  <c r="K386" i="18"/>
  <c r="K99" i="18"/>
  <c r="K181" i="18"/>
  <c r="K762" i="18"/>
  <c r="K913" i="18"/>
  <c r="K363" i="18"/>
  <c r="K279" i="18"/>
  <c r="K691" i="18"/>
  <c r="K52" i="18"/>
  <c r="K492" i="18"/>
  <c r="H172" i="17" s="1"/>
  <c r="K388" i="18"/>
  <c r="K631" i="18"/>
  <c r="K417" i="18"/>
  <c r="H137" i="17" s="1"/>
  <c r="K437" i="18"/>
  <c r="K383" i="18"/>
  <c r="K304" i="18"/>
  <c r="H82" i="17" s="1"/>
  <c r="K517" i="18"/>
  <c r="K131" i="18"/>
  <c r="K943" i="18"/>
  <c r="K411" i="18"/>
  <c r="H133" i="17" s="1"/>
  <c r="K173" i="18"/>
  <c r="K541" i="18"/>
  <c r="K438" i="18"/>
  <c r="K820" i="18"/>
  <c r="K62" i="18"/>
  <c r="K134" i="18"/>
  <c r="K469" i="18"/>
  <c r="K592" i="18"/>
  <c r="K696" i="18"/>
  <c r="K525" i="18"/>
  <c r="K632" i="18"/>
  <c r="K549" i="18"/>
  <c r="K867" i="18"/>
  <c r="K701" i="18"/>
  <c r="H266" i="17" s="1"/>
  <c r="K733" i="18"/>
  <c r="K564" i="18"/>
  <c r="K643" i="18"/>
  <c r="H301" i="17" s="1"/>
  <c r="K976" i="18"/>
  <c r="H356" i="17" s="1"/>
  <c r="K77" i="18"/>
  <c r="K785" i="18"/>
  <c r="K15" i="18"/>
  <c r="K276" i="18"/>
  <c r="K783" i="18"/>
  <c r="K93" i="18"/>
  <c r="K584" i="18"/>
  <c r="H199" i="17" s="1"/>
  <c r="K296" i="18"/>
  <c r="K50" i="18"/>
  <c r="K583" i="18"/>
  <c r="K802" i="18"/>
  <c r="K48" i="18"/>
  <c r="K138" i="18"/>
  <c r="K890" i="18"/>
  <c r="K654" i="18"/>
  <c r="K481" i="18"/>
  <c r="K887" i="18"/>
  <c r="H399" i="17" s="1"/>
  <c r="K523" i="18"/>
  <c r="K340" i="18"/>
  <c r="K34" i="18"/>
  <c r="K252" i="18"/>
  <c r="K969" i="18"/>
  <c r="K310" i="18"/>
  <c r="K501" i="18"/>
  <c r="K157" i="18"/>
  <c r="K514" i="18"/>
  <c r="H183" i="17" s="1"/>
  <c r="K860" i="18"/>
  <c r="K713" i="18"/>
  <c r="K11" i="18"/>
  <c r="K452" i="18"/>
  <c r="K840" i="18"/>
  <c r="K800" i="18"/>
  <c r="K968" i="18"/>
  <c r="K670" i="18"/>
  <c r="H285" i="17" s="1"/>
  <c r="K489" i="18"/>
  <c r="H169" i="17" s="1"/>
  <c r="K972" i="18"/>
  <c r="H349" i="17" s="1"/>
  <c r="K677" i="18"/>
  <c r="K788" i="18"/>
  <c r="K933" i="18"/>
  <c r="K341" i="18"/>
  <c r="K688" i="18"/>
  <c r="K700" i="18"/>
  <c r="K66" i="18"/>
  <c r="K91" i="18"/>
  <c r="K895" i="18"/>
  <c r="K862" i="18"/>
  <c r="K611" i="18"/>
  <c r="K528" i="18"/>
  <c r="K36" i="18"/>
  <c r="K550" i="18"/>
  <c r="K881" i="18"/>
  <c r="K775" i="18"/>
  <c r="K360" i="18"/>
  <c r="K330" i="18"/>
  <c r="K817" i="18"/>
  <c r="K425" i="18"/>
  <c r="H143" i="17" s="1"/>
  <c r="K210" i="18"/>
  <c r="K426" i="18"/>
  <c r="K346" i="18"/>
  <c r="H99" i="17" s="1"/>
  <c r="K148" i="18"/>
  <c r="K122" i="18"/>
  <c r="K759" i="18"/>
  <c r="K621" i="18"/>
  <c r="K620" i="18"/>
  <c r="K496" i="18"/>
  <c r="K645" i="18"/>
  <c r="K315" i="18"/>
  <c r="K259" i="18"/>
  <c r="H66" i="17" s="1"/>
  <c r="K845" i="18"/>
  <c r="K44" i="18"/>
  <c r="K471" i="18"/>
  <c r="K103" i="18"/>
  <c r="K562" i="18"/>
  <c r="K457" i="18"/>
  <c r="K904" i="18"/>
  <c r="K935" i="18"/>
  <c r="K397" i="18"/>
  <c r="H127" i="17" s="1"/>
  <c r="K915" i="18"/>
  <c r="K846" i="18"/>
  <c r="K493" i="18"/>
  <c r="H173" i="17" s="1"/>
  <c r="K647" i="18"/>
  <c r="K742" i="18"/>
  <c r="K832" i="18"/>
  <c r="K137" i="18"/>
  <c r="K520" i="18"/>
  <c r="H187" i="17" s="1"/>
  <c r="K527" i="18"/>
  <c r="H190" i="17" s="1"/>
  <c r="K306" i="18"/>
  <c r="K873" i="18"/>
  <c r="K101" i="18"/>
  <c r="K382" i="18"/>
  <c r="K667" i="18"/>
  <c r="H288" i="17" s="1"/>
  <c r="K204" i="18"/>
  <c r="H49" i="17" s="1"/>
  <c r="K28" i="18"/>
  <c r="K156" i="18"/>
  <c r="K661" i="18"/>
  <c r="H293" i="17" s="1"/>
  <c r="K537" i="18"/>
  <c r="K803" i="18"/>
  <c r="K432" i="18"/>
  <c r="K676" i="18"/>
  <c r="K184" i="18"/>
  <c r="K639" i="18"/>
  <c r="H305" i="17" s="1"/>
  <c r="K12" i="18"/>
  <c r="K362" i="18"/>
  <c r="K723" i="18"/>
  <c r="K190" i="18"/>
  <c r="K447" i="18"/>
  <c r="K720" i="18"/>
  <c r="K380" i="18"/>
  <c r="K25" i="18"/>
  <c r="K756" i="18"/>
  <c r="K959" i="18"/>
  <c r="H311" i="17" s="1"/>
  <c r="K428" i="18"/>
  <c r="K669" i="18"/>
  <c r="H286" i="17" s="1"/>
  <c r="K118" i="18"/>
  <c r="K29" i="18"/>
  <c r="K985" i="18"/>
  <c r="H366" i="17" s="1"/>
  <c r="K657" i="18"/>
  <c r="H297" i="17" s="1"/>
  <c r="K807" i="18"/>
  <c r="K478" i="18"/>
  <c r="K49" i="18"/>
  <c r="K601" i="18"/>
  <c r="K64" i="18"/>
  <c r="K394" i="18"/>
  <c r="K200" i="18"/>
  <c r="K203" i="18"/>
  <c r="K343" i="18"/>
  <c r="H97" i="17" s="1"/>
  <c r="K585" i="18"/>
  <c r="H200" i="17" s="1"/>
  <c r="K299" i="18"/>
  <c r="K220" i="18"/>
  <c r="K787" i="18"/>
  <c r="K557" i="18"/>
  <c r="K992" i="18"/>
  <c r="H372" i="17" s="1"/>
  <c r="K479" i="18"/>
  <c r="K475" i="18"/>
  <c r="K358" i="18"/>
  <c r="K854" i="18"/>
  <c r="K260" i="18"/>
  <c r="K750" i="18"/>
  <c r="K761" i="18"/>
  <c r="K590" i="18"/>
  <c r="K490" i="18"/>
  <c r="H170" i="17" s="1"/>
  <c r="K33" i="18"/>
  <c r="K826" i="18"/>
  <c r="K971" i="18"/>
  <c r="K303" i="18"/>
  <c r="K370" i="18"/>
  <c r="K311" i="18"/>
  <c r="K56" i="18"/>
  <c r="K326" i="18"/>
  <c r="H89" i="17" s="1"/>
  <c r="K745" i="18"/>
  <c r="K729" i="18"/>
  <c r="H395" i="17" s="1"/>
  <c r="K891" i="18"/>
  <c r="K634" i="18"/>
  <c r="K686" i="18"/>
  <c r="K139" i="18"/>
  <c r="K82" i="18"/>
  <c r="K151" i="18"/>
  <c r="K726" i="18"/>
  <c r="H226" i="17" s="1"/>
  <c r="K882" i="18"/>
  <c r="K504" i="18"/>
  <c r="H179" i="17" s="1"/>
  <c r="K193" i="18"/>
  <c r="K449" i="18"/>
  <c r="K195" i="18"/>
  <c r="K107" i="18"/>
  <c r="K80" i="18"/>
  <c r="K42" i="18"/>
  <c r="K772" i="18"/>
  <c r="K505" i="18"/>
  <c r="K607" i="18"/>
  <c r="K567" i="18"/>
  <c r="K530" i="18"/>
  <c r="K974" i="18"/>
  <c r="H351" i="17" s="1"/>
  <c r="K628" i="18"/>
  <c r="K249" i="18"/>
  <c r="K603" i="18"/>
  <c r="K298" i="18"/>
  <c r="K209" i="18"/>
  <c r="K318" i="18"/>
  <c r="K886" i="18"/>
  <c r="K384" i="18"/>
  <c r="K518" i="18"/>
  <c r="H186" i="17" s="1"/>
  <c r="K680" i="18"/>
  <c r="K199" i="18"/>
  <c r="K993" i="18"/>
  <c r="H348" i="17" s="1"/>
  <c r="K950" i="18"/>
  <c r="H346" i="17" s="1"/>
  <c r="K751" i="18"/>
  <c r="K269" i="18"/>
  <c r="H68" i="17" s="1"/>
  <c r="K920" i="18"/>
  <c r="K163" i="18"/>
  <c r="K468" i="18"/>
  <c r="H161" i="17" s="1"/>
  <c r="K283" i="18"/>
  <c r="K235" i="18"/>
  <c r="K228" i="18"/>
  <c r="K952" i="18"/>
  <c r="H330" i="17" s="1"/>
  <c r="K455" i="18"/>
  <c r="K113" i="18"/>
  <c r="K902" i="18"/>
  <c r="K812" i="18"/>
  <c r="K141" i="18"/>
  <c r="H32" i="17" s="1"/>
  <c r="K804" i="18"/>
  <c r="K834" i="18"/>
  <c r="K835" i="18"/>
  <c r="K996" i="18"/>
  <c r="H358" i="17" s="1"/>
  <c r="K427" i="18"/>
  <c r="K600" i="18"/>
  <c r="K763" i="18"/>
  <c r="K736" i="18"/>
  <c r="K730" i="18"/>
  <c r="K721" i="18"/>
  <c r="K431" i="18"/>
  <c r="H146" i="17" s="1"/>
  <c r="K183" i="18"/>
  <c r="K934" i="18"/>
  <c r="K597" i="18"/>
  <c r="K964" i="18"/>
  <c r="H332" i="17" s="1"/>
  <c r="K274" i="18"/>
  <c r="K983" i="18"/>
  <c r="H364" i="17" s="1"/>
  <c r="K561" i="18"/>
  <c r="H383" i="17" s="1"/>
  <c r="K348" i="18"/>
  <c r="K749" i="18"/>
  <c r="K563" i="18"/>
  <c r="K135" i="18"/>
  <c r="K23" i="18"/>
  <c r="K923" i="18"/>
  <c r="K211" i="18"/>
  <c r="K911" i="18"/>
  <c r="K47" i="18"/>
  <c r="K242" i="18"/>
  <c r="K841" i="18"/>
  <c r="K815" i="18"/>
  <c r="K314" i="18"/>
  <c r="K222" i="18"/>
  <c r="K556" i="18"/>
  <c r="K229" i="18"/>
  <c r="K977" i="18"/>
  <c r="H357" i="17" s="1"/>
  <c r="K149" i="18"/>
  <c r="K507" i="18"/>
  <c r="K836" i="18"/>
  <c r="H229" i="17" s="1"/>
  <c r="K678" i="18"/>
  <c r="K704" i="18"/>
  <c r="K963" i="18"/>
  <c r="H331" i="17" s="1"/>
  <c r="K450" i="18"/>
  <c r="K266" i="18"/>
  <c r="K83" i="18"/>
  <c r="K277" i="18"/>
  <c r="K305" i="18"/>
  <c r="K663" i="18"/>
  <c r="H291" i="17" s="1"/>
  <c r="K102" i="18"/>
  <c r="K243" i="18"/>
  <c r="K689" i="18"/>
  <c r="H273" i="17" s="1"/>
  <c r="K347" i="18"/>
  <c r="H100" i="17" s="1"/>
  <c r="K998" i="18"/>
  <c r="K368" i="18"/>
  <c r="K752" i="18"/>
  <c r="K285" i="18"/>
  <c r="H74" i="17" s="1"/>
  <c r="K653" i="18"/>
  <c r="K570" i="18"/>
  <c r="K651" i="18"/>
  <c r="K816" i="18"/>
  <c r="K609" i="18"/>
  <c r="K218" i="18"/>
  <c r="K158" i="18"/>
  <c r="K831" i="18"/>
  <c r="K559" i="18"/>
  <c r="K908" i="18"/>
  <c r="K855" i="18"/>
  <c r="K579" i="18"/>
  <c r="K576" i="18"/>
  <c r="K241" i="18"/>
  <c r="K324" i="18"/>
  <c r="K433" i="18"/>
  <c r="K297" i="18"/>
  <c r="K32" i="18"/>
  <c r="K513" i="18"/>
  <c r="H182" i="17" s="1"/>
  <c r="K291" i="18"/>
  <c r="K371" i="18"/>
  <c r="K198" i="18"/>
  <c r="K474" i="18"/>
  <c r="K712" i="18"/>
  <c r="K286" i="18"/>
  <c r="H75" i="17" s="1"/>
  <c r="K503" i="18"/>
  <c r="H178" i="17" s="1"/>
  <c r="K988" i="18"/>
  <c r="K26" i="18"/>
  <c r="K572" i="18"/>
  <c r="K366" i="18"/>
  <c r="K818" i="18"/>
  <c r="H277" i="17" l="1"/>
  <c r="H130" i="17"/>
  <c r="H213" i="17"/>
  <c r="H309" i="17"/>
  <c r="H268" i="17"/>
  <c r="H252" i="17"/>
  <c r="H85" i="17"/>
  <c r="H221" i="17"/>
  <c r="H36" i="17"/>
  <c r="H417" i="17"/>
  <c r="H255" i="17"/>
  <c r="H191" i="17"/>
  <c r="H211" i="17"/>
  <c r="H145" i="17"/>
  <c r="H87" i="17"/>
  <c r="H121" i="17"/>
  <c r="H29" i="17"/>
  <c r="H265" i="17"/>
  <c r="H324" i="17"/>
  <c r="H415" i="17"/>
  <c r="H419" i="17"/>
  <c r="L13" i="17" s="1"/>
  <c r="N13" i="17" s="1"/>
  <c r="O13" i="17" s="1"/>
  <c r="H377" i="17"/>
  <c r="H230" i="17"/>
  <c r="H119" i="17"/>
  <c r="H4" i="17"/>
  <c r="H380" i="17"/>
  <c r="H228" i="17"/>
  <c r="H325" i="17"/>
  <c r="H108" i="17"/>
  <c r="H264" i="17"/>
  <c r="H55" i="17"/>
  <c r="H73" i="17"/>
  <c r="H423" i="17"/>
  <c r="H126" i="17"/>
  <c r="H214" i="17"/>
  <c r="H257" i="17"/>
  <c r="H151" i="17"/>
  <c r="H60" i="17"/>
  <c r="H180" i="17"/>
  <c r="H24" i="17"/>
  <c r="H10" i="17"/>
  <c r="H185" i="17"/>
  <c r="H403" i="17"/>
  <c r="H232" i="17"/>
  <c r="H189" i="17"/>
  <c r="H131" i="17"/>
  <c r="H410" i="17"/>
  <c r="H308" i="17"/>
  <c r="H376" i="17"/>
  <c r="H106" i="17"/>
  <c r="H421" i="17"/>
  <c r="H318" i="17"/>
  <c r="H71" i="17"/>
  <c r="H67" i="17"/>
  <c r="H225" i="17"/>
  <c r="H238" i="17"/>
  <c r="H215" i="17"/>
  <c r="H90" i="17"/>
  <c r="H314" i="17"/>
  <c r="H81" i="17"/>
  <c r="H193" i="17"/>
  <c r="H278" i="17"/>
  <c r="H227" i="17"/>
  <c r="H84" i="17"/>
  <c r="H220" i="17"/>
  <c r="H237" i="17"/>
  <c r="H218" i="17"/>
  <c r="H259" i="17"/>
  <c r="H156" i="17"/>
  <c r="H46" i="17"/>
  <c r="H245" i="17"/>
  <c r="H413" i="17"/>
  <c r="H393" i="17"/>
  <c r="H163" i="17"/>
  <c r="H234" i="17"/>
  <c r="H153" i="17"/>
  <c r="H63" i="17"/>
  <c r="H337" i="17"/>
  <c r="H113" i="17"/>
  <c r="H31" i="17"/>
  <c r="H279" i="17"/>
  <c r="H253" i="17"/>
  <c r="H224" i="17"/>
  <c r="H38" i="17"/>
  <c r="H319" i="17"/>
  <c r="H91" i="17"/>
  <c r="H336" i="17"/>
  <c r="H335" i="17"/>
  <c r="H407" i="17"/>
  <c r="H72" i="17"/>
  <c r="H233" i="17"/>
  <c r="H310" i="17"/>
  <c r="H300" i="17"/>
  <c r="H30" i="17"/>
  <c r="H223" i="17"/>
  <c r="H267" i="17"/>
  <c r="H328" i="17"/>
  <c r="H78" i="17"/>
  <c r="H316" i="17"/>
  <c r="H88" i="17"/>
  <c r="H20" i="17"/>
  <c r="H379" i="17"/>
  <c r="H12" i="17"/>
  <c r="H275" i="17"/>
  <c r="H196" i="17"/>
  <c r="H222" i="17"/>
  <c r="H209" i="17"/>
  <c r="H176" i="17"/>
  <c r="H241" i="17"/>
  <c r="H123" i="17"/>
  <c r="H258" i="17"/>
  <c r="H101" i="17"/>
  <c r="H276" i="17"/>
  <c r="H7" i="17"/>
  <c r="H21" i="17"/>
  <c r="H39" i="17"/>
  <c r="H5" i="17"/>
  <c r="H244" i="17"/>
  <c r="H34" i="17"/>
  <c r="H17" i="17"/>
  <c r="H19" i="17"/>
  <c r="H219" i="17"/>
  <c r="H150" i="17"/>
  <c r="H208" i="17"/>
  <c r="H261" i="17"/>
  <c r="H13" i="17"/>
  <c r="H155" i="17"/>
  <c r="H192" i="17"/>
  <c r="H382" i="17"/>
  <c r="H256" i="17"/>
  <c r="H409" i="17"/>
  <c r="H96" i="17"/>
  <c r="H11" i="17"/>
  <c r="H111" i="17"/>
  <c r="H246" i="17"/>
  <c r="H188" i="17"/>
  <c r="H57" i="17"/>
  <c r="H16" i="17"/>
  <c r="H235" i="17"/>
  <c r="H425" i="17"/>
  <c r="H422" i="17"/>
  <c r="H48" i="17"/>
  <c r="H37" i="17"/>
  <c r="H3" i="17"/>
  <c r="H416" i="17"/>
  <c r="H94" i="17"/>
  <c r="H262" i="17"/>
  <c r="H392" i="17"/>
  <c r="H162" i="17"/>
  <c r="H239" i="17"/>
  <c r="H54" i="17"/>
  <c r="H216" i="17"/>
  <c r="H45" i="17"/>
  <c r="H59" i="17"/>
  <c r="H260" i="17"/>
  <c r="H41" i="17"/>
  <c r="H40" i="17"/>
  <c r="H326" i="17"/>
  <c r="H8" i="17"/>
  <c r="H385" i="17"/>
  <c r="H152" i="17"/>
  <c r="H243" i="17"/>
  <c r="H27" i="17"/>
  <c r="H390" i="17"/>
  <c r="H144" i="17"/>
  <c r="H272" i="17"/>
  <c r="H386" i="17"/>
  <c r="H177" i="17"/>
  <c r="H398" i="17"/>
  <c r="H9" i="17"/>
  <c r="H236" i="17"/>
  <c r="H6" i="17"/>
  <c r="H14" i="17"/>
  <c r="H61" i="17"/>
  <c r="H312" i="17"/>
  <c r="H25" i="17"/>
  <c r="H128" i="17"/>
  <c r="H400" i="17"/>
  <c r="H160" i="17"/>
  <c r="H56" i="17"/>
  <c r="H274" i="17"/>
  <c r="H44" i="17"/>
  <c r="H110" i="17"/>
  <c r="H269" i="17"/>
  <c r="H381" i="17"/>
  <c r="H194" i="17"/>
  <c r="H375" i="17"/>
  <c r="H15" i="17"/>
  <c r="H147" i="17"/>
  <c r="H83" i="17"/>
  <c r="H240" i="17"/>
  <c r="H129" i="17"/>
  <c r="H396" i="17"/>
  <c r="H149" i="17"/>
  <c r="H79" i="17"/>
  <c r="H418" i="17"/>
  <c r="H384" i="17"/>
  <c r="H322" i="17"/>
  <c r="H263" i="17"/>
  <c r="H69" i="17"/>
  <c r="H22" i="17"/>
  <c r="H51" i="17"/>
  <c r="H206" i="17"/>
  <c r="H50" i="17"/>
  <c r="H47" i="17"/>
  <c r="H424" i="17"/>
  <c r="H388" i="17"/>
  <c r="H402" i="17"/>
  <c r="H201" i="17"/>
  <c r="H280" i="17"/>
  <c r="H18" i="17"/>
  <c r="H70" i="17"/>
  <c r="H95" i="17"/>
  <c r="H98" i="17"/>
  <c r="H217" i="17"/>
  <c r="H202" i="17"/>
  <c r="H231" i="17"/>
  <c r="H135" i="17"/>
  <c r="H323" i="17"/>
  <c r="H107" i="17"/>
  <c r="H165" i="17"/>
  <c r="H205" i="17"/>
  <c r="H117" i="17"/>
  <c r="H210" i="17"/>
  <c r="H92" i="17"/>
  <c r="H406" i="17"/>
  <c r="H426" i="17"/>
  <c r="H207" i="17"/>
  <c r="H58" i="17"/>
  <c r="H401" i="17"/>
  <c r="H80" i="17"/>
  <c r="H23" i="17"/>
  <c r="H167" i="17"/>
  <c r="H313" i="17"/>
  <c r="H43" i="17"/>
  <c r="H197" i="17"/>
  <c r="H77" i="17"/>
  <c r="H168" i="17"/>
  <c r="H138" i="17"/>
  <c r="H28" i="17"/>
  <c r="H26" i="17"/>
  <c r="H120" i="17"/>
  <c r="H118" i="17"/>
  <c r="H387" i="17"/>
  <c r="H86" i="17"/>
  <c r="H195" i="17"/>
  <c r="H394" i="17"/>
  <c r="H242" i="17"/>
  <c r="L12" i="17" l="1"/>
  <c r="N12" i="17" s="1"/>
  <c r="O12" i="17" s="1"/>
  <c r="L11" i="17"/>
  <c r="N11" i="17" s="1"/>
  <c r="O11" i="17" s="1"/>
  <c r="L6" i="17"/>
  <c r="N6" i="17" s="1"/>
  <c r="O6" i="17" s="1"/>
  <c r="L7" i="17"/>
  <c r="N7" i="17" s="1"/>
  <c r="O7" i="17" s="1"/>
  <c r="L9" i="17"/>
  <c r="N9" i="17" s="1"/>
  <c r="O9" i="17" s="1"/>
  <c r="L10" i="17"/>
  <c r="N10" i="17" s="1"/>
  <c r="O10" i="17" s="1"/>
  <c r="L5" i="17"/>
  <c r="N5" i="17" s="1"/>
  <c r="O5" i="17" s="1"/>
  <c r="L8" i="17"/>
  <c r="N8" i="17" s="1"/>
  <c r="O8" i="17" s="1"/>
  <c r="L15" i="17" l="1"/>
  <c r="N15" i="17" l="1"/>
  <c r="O15" i="17" s="1"/>
</calcChain>
</file>

<file path=xl/sharedStrings.xml><?xml version="1.0" encoding="utf-8"?>
<sst xmlns="http://schemas.openxmlformats.org/spreadsheetml/2006/main" count="7257" uniqueCount="2172">
  <si>
    <t>Note: April 2010 had 22 weekdays</t>
  </si>
  <si>
    <t>MD Obs.</t>
  </si>
  <si>
    <t>PM</t>
  </si>
  <si>
    <t>EV</t>
  </si>
  <si>
    <t>NI</t>
  </si>
  <si>
    <t>Total</t>
  </si>
  <si>
    <t>AM</t>
  </si>
  <si>
    <t>MD</t>
  </si>
  <si>
    <t>Everett Transit</t>
  </si>
  <si>
    <t>Kitsap Transit</t>
  </si>
  <si>
    <t>Community Transit</t>
  </si>
  <si>
    <t>Pierce Transit</t>
  </si>
  <si>
    <t>Metro King County</t>
  </si>
  <si>
    <t>Sound Transit Express</t>
  </si>
  <si>
    <t>Commuter Rail</t>
  </si>
  <si>
    <t>Light Rail</t>
  </si>
  <si>
    <t>Monorail</t>
  </si>
  <si>
    <t>eb</t>
  </si>
  <si>
    <t>Factor</t>
  </si>
  <si>
    <t>*</t>
  </si>
  <si>
    <t>?</t>
  </si>
  <si>
    <t>Observed Time of Day</t>
  </si>
  <si>
    <t>check</t>
  </si>
  <si>
    <t>*********</t>
  </si>
  <si>
    <t>No Ferry</t>
  </si>
  <si>
    <t>id</t>
  </si>
  <si>
    <t>sum_boardings</t>
  </si>
  <si>
    <t>6to7_board</t>
  </si>
  <si>
    <t>6to7_time</t>
  </si>
  <si>
    <t>7to8_board</t>
  </si>
  <si>
    <t>7to8_time</t>
  </si>
  <si>
    <t>8to9_board</t>
  </si>
  <si>
    <t>8to9_time</t>
  </si>
  <si>
    <t>Ferry* Kris O est. 1/18/14</t>
  </si>
  <si>
    <t>Percent Difference</t>
  </si>
  <si>
    <t>Transit Type</t>
  </si>
  <si>
    <t>AM Observed</t>
  </si>
  <si>
    <t>Transit Boardings by Route</t>
  </si>
  <si>
    <t>Route</t>
  </si>
  <si>
    <t>RDCode</t>
  </si>
  <si>
    <t>Description</t>
  </si>
  <si>
    <t>AM Model</t>
  </si>
  <si>
    <t>MD Model</t>
  </si>
  <si>
    <t>MK001</t>
  </si>
  <si>
    <t>1 KINNEAR-SEA CBD</t>
  </si>
  <si>
    <t>MK002</t>
  </si>
  <si>
    <t>2 W Q ANN-MADRONA</t>
  </si>
  <si>
    <t>MK003</t>
  </si>
  <si>
    <t>3 N Q ANNE-MDRONA</t>
  </si>
  <si>
    <t>MK004</t>
  </si>
  <si>
    <t>4 E Q AN-JUDKN PK</t>
  </si>
  <si>
    <t>MK005</t>
  </si>
  <si>
    <t>5 SH CC-GRWD-SCBD</t>
  </si>
  <si>
    <t>MK007</t>
  </si>
  <si>
    <t>7 RNR BCH-SCBD EX</t>
  </si>
  <si>
    <t>MK008</t>
  </si>
  <si>
    <t>8 SEACTR-CAP-RANR</t>
  </si>
  <si>
    <t>MK009</t>
  </si>
  <si>
    <t>9 RAINR BCH-BRDWY</t>
  </si>
  <si>
    <t>MK010</t>
  </si>
  <si>
    <t xml:space="preserve">10 CAP HILL-SCBD </t>
  </si>
  <si>
    <t>MK011</t>
  </si>
  <si>
    <t>11 MADISN PK-SCBD</t>
  </si>
  <si>
    <t>MK012</t>
  </si>
  <si>
    <t xml:space="preserve">12 CAP HILL-SCBD </t>
  </si>
  <si>
    <t>MK013</t>
  </si>
  <si>
    <t>13 SPU-SEA CBD SB</t>
  </si>
  <si>
    <t>MK014</t>
  </si>
  <si>
    <t>14 SUMMIT-MT BAKR</t>
  </si>
  <si>
    <t>MK015</t>
  </si>
  <si>
    <t>15 CROWN HLL-SCBD</t>
  </si>
  <si>
    <t>MK016</t>
  </si>
  <si>
    <t>16 NGT-WLFRD-SCBD</t>
  </si>
  <si>
    <t>MK017</t>
  </si>
  <si>
    <t>17 LYLH-BLRD-SCBD</t>
  </si>
  <si>
    <t>MK018</t>
  </si>
  <si>
    <t>18 LOYAL HTS-SCBD</t>
  </si>
  <si>
    <t>MK019</t>
  </si>
  <si>
    <t>19 W MAGNOLIA-CBD</t>
  </si>
  <si>
    <t>MK021</t>
  </si>
  <si>
    <t>21 ARBOR HTS-SCBD</t>
  </si>
  <si>
    <t>MK022</t>
  </si>
  <si>
    <t>22 WHITE CTR-SCBD</t>
  </si>
  <si>
    <t>MK023</t>
  </si>
  <si>
    <t>23 WHITE CTR-SCBD</t>
  </si>
  <si>
    <t>MK024</t>
  </si>
  <si>
    <t xml:space="preserve">24 MAGNOLIA-SCBD </t>
  </si>
  <si>
    <t>MK025</t>
  </si>
  <si>
    <t>25 LRLHST-UW-SCBD</t>
  </si>
  <si>
    <t>MK026</t>
  </si>
  <si>
    <t>26 E GRNLK-SEACBD</t>
  </si>
  <si>
    <t>MK027</t>
  </si>
  <si>
    <t>27 COLMAN PK-SCBD</t>
  </si>
  <si>
    <t>MK028</t>
  </si>
  <si>
    <t>28 WHTIR HTS-SCBD</t>
  </si>
  <si>
    <t>MK030</t>
  </si>
  <si>
    <t>30 Sand Point to Udist</t>
  </si>
  <si>
    <t>MK031</t>
  </si>
  <si>
    <t>31 UW-FRMNT-MAGNL</t>
  </si>
  <si>
    <t>MK033</t>
  </si>
  <si>
    <t>33 MAGNLIA-SEACBD</t>
  </si>
  <si>
    <t>MK034</t>
  </si>
  <si>
    <t>34 RNR BC-SCBD EX</t>
  </si>
  <si>
    <t>MK035</t>
  </si>
  <si>
    <t>35 HARBOR IS-SCBD</t>
  </si>
  <si>
    <t>MK036</t>
  </si>
  <si>
    <t>36 RAINR BCH-SCBD</t>
  </si>
  <si>
    <t>MK037</t>
  </si>
  <si>
    <t>37 AL JCT-SCBD EX</t>
  </si>
  <si>
    <t>MK038</t>
  </si>
  <si>
    <t>38 RNR-BC HL-SODO</t>
  </si>
  <si>
    <t>MK039</t>
  </si>
  <si>
    <t>39 RAINR BCH-SCBD</t>
  </si>
  <si>
    <t>MK041</t>
  </si>
  <si>
    <t>41 LKCTY-NGT-SCBD</t>
  </si>
  <si>
    <t>MK042</t>
  </si>
  <si>
    <t>42 RAINER VW-SCBD</t>
  </si>
  <si>
    <t>MK043</t>
  </si>
  <si>
    <t>43 UW-CAP HL-SCBD</t>
  </si>
  <si>
    <t>MK044</t>
  </si>
  <si>
    <t>44 BLLRD-UW-MNTLK</t>
  </si>
  <si>
    <t>MK045</t>
  </si>
  <si>
    <t>45 Q AN-WLNFRD-UW</t>
  </si>
  <si>
    <t>MK046</t>
  </si>
  <si>
    <t>46 SHLSHL-BLRD-UW</t>
  </si>
  <si>
    <t>MK048</t>
  </si>
  <si>
    <t>48 RAIN BC-LYL HT</t>
  </si>
  <si>
    <t>MK049</t>
  </si>
  <si>
    <t>49 UW-BRDWAY-SCBD</t>
  </si>
  <si>
    <t>MK051</t>
  </si>
  <si>
    <t>51 ADM-JCT CIRCLE</t>
  </si>
  <si>
    <t>MK053</t>
  </si>
  <si>
    <t>53 W SEA CIRCL CW</t>
  </si>
  <si>
    <t>MK054</t>
  </si>
  <si>
    <t>54 WHTCR-JCT-SCBD</t>
  </si>
  <si>
    <t>MK055</t>
  </si>
  <si>
    <t>55 ADMRL-JCT-SCBD</t>
  </si>
  <si>
    <t>MK056</t>
  </si>
  <si>
    <t>56 ALKI-SEACBD EX</t>
  </si>
  <si>
    <t>MK057</t>
  </si>
  <si>
    <t>57 AKJCT-ADM-SCBD</t>
  </si>
  <si>
    <t>MK060</t>
  </si>
  <si>
    <t>60 WTCR-GTWN-BDWY</t>
  </si>
  <si>
    <t>MK064</t>
  </si>
  <si>
    <t>64 LKCT-WDGW-SCBD</t>
  </si>
  <si>
    <t>MK065</t>
  </si>
  <si>
    <t>65 LKCTY-WDGWD-UW</t>
  </si>
  <si>
    <t>MK066</t>
  </si>
  <si>
    <t xml:space="preserve">66 NGATE-UW-SCBD </t>
  </si>
  <si>
    <t>MK067</t>
  </si>
  <si>
    <t>67 NORTHGTE TC-UW</t>
  </si>
  <si>
    <t>MK068</t>
  </si>
  <si>
    <t>68 NORTHGATE-UW S</t>
  </si>
  <si>
    <t>MK070</t>
  </si>
  <si>
    <t>70 UW-SEATTLE CBD</t>
  </si>
  <si>
    <t>MK071</t>
  </si>
  <si>
    <t>71 WDG-I5-SCBD EX</t>
  </si>
  <si>
    <t>MK072</t>
  </si>
  <si>
    <t>72 LKC-I5-SCBD EX</t>
  </si>
  <si>
    <t>MK073</t>
  </si>
  <si>
    <t>73 JCPK-I5-SEA EX</t>
  </si>
  <si>
    <t>MK074</t>
  </si>
  <si>
    <t>74 NOAA-UW-LWR QA</t>
  </si>
  <si>
    <t>MK075</t>
  </si>
  <si>
    <t>75 BALLRD-NGAT-UW</t>
  </si>
  <si>
    <t>MK076</t>
  </si>
  <si>
    <t xml:space="preserve">76 WEDGWOOD-SCBD </t>
  </si>
  <si>
    <t>MK077</t>
  </si>
  <si>
    <t>77 JCK PK-SCBD EX</t>
  </si>
  <si>
    <t>MK079</t>
  </si>
  <si>
    <t>79 LKCITY-SCBD EX</t>
  </si>
  <si>
    <t>MK099</t>
  </si>
  <si>
    <t>99 WATRFRNT STCAR</t>
  </si>
  <si>
    <t>MK101</t>
  </si>
  <si>
    <t>101 RENTN TC-SCBD</t>
  </si>
  <si>
    <t>MK102</t>
  </si>
  <si>
    <t>102 Fairwood to S</t>
  </si>
  <si>
    <t>MK105</t>
  </si>
  <si>
    <t>105 RNT-RNT HGLND</t>
  </si>
  <si>
    <t>MK106</t>
  </si>
  <si>
    <t>106 RNTN-SKY-SCBD</t>
  </si>
  <si>
    <t>MK107</t>
  </si>
  <si>
    <t>107 RNTN-RANR BCH</t>
  </si>
  <si>
    <t>MK110</t>
  </si>
  <si>
    <t>110 N RNTN-SW RNT</t>
  </si>
  <si>
    <t>MK111</t>
  </si>
  <si>
    <t>111 LK KTHLN-SCBD</t>
  </si>
  <si>
    <t>MK113</t>
  </si>
  <si>
    <t>113 SHORWOOD-SCBD</t>
  </si>
  <si>
    <t>MK114</t>
  </si>
  <si>
    <t>114 RN HL-NWC-SEA</t>
  </si>
  <si>
    <t>MK116</t>
  </si>
  <si>
    <t>116 FAUNTLRY-SCBD</t>
  </si>
  <si>
    <t>MK118</t>
  </si>
  <si>
    <t>118 TAHQ-VASH-SEA</t>
  </si>
  <si>
    <t>MK119</t>
  </si>
  <si>
    <t>119 DKTN-VASH-SEA</t>
  </si>
  <si>
    <t>MK120</t>
  </si>
  <si>
    <t>120 BUR-DELR-SCBD</t>
  </si>
  <si>
    <t>MK121</t>
  </si>
  <si>
    <t>121 HILNE CC-SCBD</t>
  </si>
  <si>
    <t>MK122</t>
  </si>
  <si>
    <t>122 HILNE CC-SCBD</t>
  </si>
  <si>
    <t>MK123</t>
  </si>
  <si>
    <t>123 GREG HTS-SCBD</t>
  </si>
  <si>
    <t>MK124</t>
  </si>
  <si>
    <t xml:space="preserve">124 Tukwila Intl </t>
  </si>
  <si>
    <t>MK125</t>
  </si>
  <si>
    <t>125 SHWD-WTCT-SEA</t>
  </si>
  <si>
    <t>MK128</t>
  </si>
  <si>
    <t>128 W SEA-SOCENTR</t>
  </si>
  <si>
    <t>MK129</t>
  </si>
  <si>
    <t xml:space="preserve">129 TUKWILA-INTL </t>
  </si>
  <si>
    <t>MK131</t>
  </si>
  <si>
    <t>131 BURIEN-SEACBD</t>
  </si>
  <si>
    <t>MK132</t>
  </si>
  <si>
    <t>132 BURIEN-SEACBD</t>
  </si>
  <si>
    <t>MK133</t>
  </si>
  <si>
    <t>133 BURIEN-UW NB*</t>
  </si>
  <si>
    <t>MK134</t>
  </si>
  <si>
    <t>134 BURIEN-SEACBD</t>
  </si>
  <si>
    <t>MK139</t>
  </si>
  <si>
    <t>139 GRG HT-BURIEN</t>
  </si>
  <si>
    <t>MK140</t>
  </si>
  <si>
    <t>140 BUR-SEATC-RNT</t>
  </si>
  <si>
    <t>MK143</t>
  </si>
  <si>
    <t>143 BL DI-RNT-SEA</t>
  </si>
  <si>
    <t>MK148</t>
  </si>
  <si>
    <t>148 FAIRWD-RENTON</t>
  </si>
  <si>
    <t>MK149</t>
  </si>
  <si>
    <t>149 BLK DIA-RENTN</t>
  </si>
  <si>
    <t>MK150</t>
  </si>
  <si>
    <t>150 AUB-KENT-SCBD</t>
  </si>
  <si>
    <t>MK152</t>
  </si>
  <si>
    <t>152 ENUM-AUB-SCBD</t>
  </si>
  <si>
    <t>MK153</t>
  </si>
  <si>
    <t>153 KENT-RENTON N</t>
  </si>
  <si>
    <t>MK154</t>
  </si>
  <si>
    <t>154 AUBURN-BOEING</t>
  </si>
  <si>
    <t>MK155</t>
  </si>
  <si>
    <t>155 FAIRWD-SOCNTR</t>
  </si>
  <si>
    <t>MK156</t>
  </si>
  <si>
    <t>156 Scnter-S Tac-</t>
  </si>
  <si>
    <t>MK157</t>
  </si>
  <si>
    <t>157 Lake Meridian</t>
  </si>
  <si>
    <t>MK158</t>
  </si>
  <si>
    <t>158 LK MRIDN-SCBD</t>
  </si>
  <si>
    <t>MK159</t>
  </si>
  <si>
    <t>159 TIMBERLN-SCBD</t>
  </si>
  <si>
    <t>MK161</t>
  </si>
  <si>
    <t>161 Lk Merid-Kent</t>
  </si>
  <si>
    <t>MK162</t>
  </si>
  <si>
    <t xml:space="preserve">162 KENT TC-SCBD </t>
  </si>
  <si>
    <t>MK164</t>
  </si>
  <si>
    <t>164 GR RV CC-KENT</t>
  </si>
  <si>
    <t>MK166</t>
  </si>
  <si>
    <t>166 DES MOIN-KENT</t>
  </si>
  <si>
    <t>MK167</t>
  </si>
  <si>
    <t>167 AU-KNT-405-UW</t>
  </si>
  <si>
    <t>MK168</t>
  </si>
  <si>
    <t>168 TIMBERLN-KENT</t>
  </si>
  <si>
    <t>MK169</t>
  </si>
  <si>
    <t>169 KNT TC-RNT TC</t>
  </si>
  <si>
    <t>MK173</t>
  </si>
  <si>
    <t>173 FEDWAY-BOEING</t>
  </si>
  <si>
    <t>MK174</t>
  </si>
  <si>
    <t>174 FDWY-STAC-SEA</t>
  </si>
  <si>
    <t>MK175</t>
  </si>
  <si>
    <t>175 W FED WY-SCBD</t>
  </si>
  <si>
    <t>MK177</t>
  </si>
  <si>
    <t>177 FEDWY TC-SCBD</t>
  </si>
  <si>
    <t>MK179</t>
  </si>
  <si>
    <t>179 TWIN LKS-SCBD</t>
  </si>
  <si>
    <t>MK180</t>
  </si>
  <si>
    <t>180 Se Auburn-Ken</t>
  </si>
  <si>
    <t>MK181</t>
  </si>
  <si>
    <t>181 FEDWAY-AUBURN</t>
  </si>
  <si>
    <t>MK182</t>
  </si>
  <si>
    <t>182 NE TAC-FED WY</t>
  </si>
  <si>
    <t>MK183</t>
  </si>
  <si>
    <t>183 FEDRL WY-KENT</t>
  </si>
  <si>
    <t>MK187</t>
  </si>
  <si>
    <t>187 TWIN LK-FEDWY</t>
  </si>
  <si>
    <t>MK190</t>
  </si>
  <si>
    <t xml:space="preserve">190 STAR LK-SCBD </t>
  </si>
  <si>
    <t>MK192</t>
  </si>
  <si>
    <t xml:space="preserve">192 STAR LK-SCBD </t>
  </si>
  <si>
    <t>MK196</t>
  </si>
  <si>
    <t>196 S FDWY PR-SEA</t>
  </si>
  <si>
    <t>MK197</t>
  </si>
  <si>
    <t>197 FEDERAL WY-UW</t>
  </si>
  <si>
    <t>MK200</t>
  </si>
  <si>
    <t>200 ISSAQ-N ISSAQ</t>
  </si>
  <si>
    <t>MK201</t>
  </si>
  <si>
    <t>201 S MI-MERCR IS</t>
  </si>
  <si>
    <t>MK202</t>
  </si>
  <si>
    <t>202 MERCR IS-SCBD</t>
  </si>
  <si>
    <t>MK203</t>
  </si>
  <si>
    <t>203 N MERCER ISLN</t>
  </si>
  <si>
    <t>MK204</t>
  </si>
  <si>
    <t>204 S MI-MERCR IS</t>
  </si>
  <si>
    <t>MK205</t>
  </si>
  <si>
    <t>205 M I-1ST HL-UW</t>
  </si>
  <si>
    <t>MK206</t>
  </si>
  <si>
    <t>206 NWPRT HS-NEWC</t>
  </si>
  <si>
    <t>MK207</t>
  </si>
  <si>
    <t>207 NWPRT HS-EGTE</t>
  </si>
  <si>
    <t>MK208</t>
  </si>
  <si>
    <t>208 NWPRT HS-EGTE</t>
  </si>
  <si>
    <t>MK209</t>
  </si>
  <si>
    <t>209 NO BND-ISSAQH</t>
  </si>
  <si>
    <t>MK210</t>
  </si>
  <si>
    <t>210 ISSQ-EGT-SCBD</t>
  </si>
  <si>
    <t>MK211</t>
  </si>
  <si>
    <t>211 IssaqHighland</t>
  </si>
  <si>
    <t>MK212</t>
  </si>
  <si>
    <t>212 EGTE P&amp;R-SCBD</t>
  </si>
  <si>
    <t>AM_Boardings</t>
  </si>
  <si>
    <t>OBJECTID</t>
  </si>
  <si>
    <t>LineID</t>
  </si>
  <si>
    <t>TimePeriod</t>
  </si>
  <si>
    <t>TransLineNo</t>
  </si>
  <si>
    <t>Mode</t>
  </si>
  <si>
    <t>Operator</t>
  </si>
  <si>
    <t>Emme_Rt_ID</t>
  </si>
  <si>
    <t>RouteNumber</t>
  </si>
  <si>
    <t>MK129a</t>
  </si>
  <si>
    <t>b</t>
  </si>
  <si>
    <t>MK013d</t>
  </si>
  <si>
    <t>MK139b</t>
  </si>
  <si>
    <t>MK002a</t>
  </si>
  <si>
    <t>MK025b</t>
  </si>
  <si>
    <t>MK347a</t>
  </si>
  <si>
    <t>MK347</t>
  </si>
  <si>
    <t>MK347b</t>
  </si>
  <si>
    <t>MK348a</t>
  </si>
  <si>
    <t>MK348</t>
  </si>
  <si>
    <t>MK348b</t>
  </si>
  <si>
    <t>MK046a</t>
  </si>
  <si>
    <t>MK048c</t>
  </si>
  <si>
    <t>MK048d</t>
  </si>
  <si>
    <t>MK051b</t>
  </si>
  <si>
    <t>MK053a</t>
  </si>
  <si>
    <t>MK886a</t>
  </si>
  <si>
    <t>MK886</t>
  </si>
  <si>
    <t>MK995a</t>
  </si>
  <si>
    <t>MK995</t>
  </si>
  <si>
    <t>MK156b</t>
  </si>
  <si>
    <t>MK156d</t>
  </si>
  <si>
    <t>MK156e</t>
  </si>
  <si>
    <t>PT056a</t>
  </si>
  <si>
    <t>56 56TH ST</t>
  </si>
  <si>
    <t>PT056</t>
  </si>
  <si>
    <t>PT056b</t>
  </si>
  <si>
    <t>PT055a</t>
  </si>
  <si>
    <t>55 Tacoma Mall-Park*</t>
  </si>
  <si>
    <t>PT055</t>
  </si>
  <si>
    <t>PT055b</t>
  </si>
  <si>
    <t>PT054b</t>
  </si>
  <si>
    <t>54 38TH ST</t>
  </si>
  <si>
    <t>PT054</t>
  </si>
  <si>
    <t>PT496a</t>
  </si>
  <si>
    <t>496 Sumner Sounder *</t>
  </si>
  <si>
    <t>PT496</t>
  </si>
  <si>
    <t>PT048a</t>
  </si>
  <si>
    <t>48 SHERIDAN-M ST</t>
  </si>
  <si>
    <t>PT048</t>
  </si>
  <si>
    <t>PT045a</t>
  </si>
  <si>
    <t>45 YAKIMA</t>
  </si>
  <si>
    <t>PT045</t>
  </si>
  <si>
    <t>PT045b</t>
  </si>
  <si>
    <t>PT410a</t>
  </si>
  <si>
    <t>410 112TH STREET</t>
  </si>
  <si>
    <t>PT410</t>
  </si>
  <si>
    <t>PT410b</t>
  </si>
  <si>
    <t>PT410c</t>
  </si>
  <si>
    <t>PT410d</t>
  </si>
  <si>
    <t>PT408a</t>
  </si>
  <si>
    <t>408 Sumner to Bonne*</t>
  </si>
  <si>
    <t>PT408</t>
  </si>
  <si>
    <t>PT408c</t>
  </si>
  <si>
    <t>PT220a</t>
  </si>
  <si>
    <t>220 ORCHARD</t>
  </si>
  <si>
    <t>PT220</t>
  </si>
  <si>
    <t>PT220b</t>
  </si>
  <si>
    <t>PT207b</t>
  </si>
  <si>
    <t>207 Ft Lewis</t>
  </si>
  <si>
    <t>PT207</t>
  </si>
  <si>
    <t>PT206a</t>
  </si>
  <si>
    <t>206 Pacific Hwy-Til*</t>
  </si>
  <si>
    <t>PT206</t>
  </si>
  <si>
    <t>PT206b</t>
  </si>
  <si>
    <t>PT202a</t>
  </si>
  <si>
    <t>202 72ND STREET</t>
  </si>
  <si>
    <t>PT202</t>
  </si>
  <si>
    <t>PT202b</t>
  </si>
  <si>
    <t>MK048g</t>
  </si>
  <si>
    <t>MK048h</t>
  </si>
  <si>
    <t>ST540a</t>
  </si>
  <si>
    <t>ST540</t>
  </si>
  <si>
    <t>MK230g</t>
  </si>
  <si>
    <t>MK230</t>
  </si>
  <si>
    <t>MK018a</t>
  </si>
  <si>
    <t>MK024b</t>
  </si>
  <si>
    <t>MK024c</t>
  </si>
  <si>
    <t>MK044a</t>
  </si>
  <si>
    <t>MK044b</t>
  </si>
  <si>
    <t>MK044c</t>
  </si>
  <si>
    <t>MK044d</t>
  </si>
  <si>
    <t>MK048b</t>
  </si>
  <si>
    <t>MK048e</t>
  </si>
  <si>
    <t>MK048f</t>
  </si>
  <si>
    <t>MK027a</t>
  </si>
  <si>
    <t>MK014d</t>
  </si>
  <si>
    <t>MK014e</t>
  </si>
  <si>
    <t>MK014f</t>
  </si>
  <si>
    <t>MK027c</t>
  </si>
  <si>
    <t>MK007c</t>
  </si>
  <si>
    <t>MK007e</t>
  </si>
  <si>
    <t>MK012a</t>
  </si>
  <si>
    <t>MK012e</t>
  </si>
  <si>
    <t>MK027b</t>
  </si>
  <si>
    <t>MK007a</t>
  </si>
  <si>
    <t>MK038a</t>
  </si>
  <si>
    <t>MK038b</t>
  </si>
  <si>
    <t>MK107c</t>
  </si>
  <si>
    <t>ST599c</t>
  </si>
  <si>
    <t>ST599</t>
  </si>
  <si>
    <t>MK156a</t>
  </si>
  <si>
    <t>MK156c</t>
  </si>
  <si>
    <t>PT028b</t>
  </si>
  <si>
    <t>28 S 12TH ST</t>
  </si>
  <si>
    <t>PT028</t>
  </si>
  <si>
    <t>MK118b</t>
  </si>
  <si>
    <t>MK119a</t>
  </si>
  <si>
    <t>MK119c</t>
  </si>
  <si>
    <t>ET027A</t>
  </si>
  <si>
    <t>ET027</t>
  </si>
  <si>
    <t>ET027b</t>
  </si>
  <si>
    <t>CT120b</t>
  </si>
  <si>
    <t>Bothell-LynwoodTC</t>
  </si>
  <si>
    <t>CT120</t>
  </si>
  <si>
    <t>WFEDKa</t>
  </si>
  <si>
    <t>f</t>
  </si>
  <si>
    <t>WSF EDMNDS-KNGSTN</t>
  </si>
  <si>
    <t>WFEDK</t>
  </si>
  <si>
    <t>WFEDKb</t>
  </si>
  <si>
    <t>WFFSWb</t>
  </si>
  <si>
    <t>WSF FAUNTLR-SWRTH</t>
  </si>
  <si>
    <t>WFFSW</t>
  </si>
  <si>
    <t>WFFAVa</t>
  </si>
  <si>
    <t>WSF FAUNTLR-VASHN</t>
  </si>
  <si>
    <t>WFFAV</t>
  </si>
  <si>
    <t>WFFAVb</t>
  </si>
  <si>
    <t>WFPDTa</t>
  </si>
  <si>
    <t>WSF PT DEFI-TAHLQ</t>
  </si>
  <si>
    <t>WFPDT</t>
  </si>
  <si>
    <t>WFPDTb</t>
  </si>
  <si>
    <t>MK118a</t>
  </si>
  <si>
    <t>MK118d</t>
  </si>
  <si>
    <t>MK901b</t>
  </si>
  <si>
    <t>MK901</t>
  </si>
  <si>
    <t>ET005a</t>
  </si>
  <si>
    <t>ET005</t>
  </si>
  <si>
    <t>ET005b</t>
  </si>
  <si>
    <t>ET007b</t>
  </si>
  <si>
    <t>ET007</t>
  </si>
  <si>
    <t>ET009a</t>
  </si>
  <si>
    <t>ET009</t>
  </si>
  <si>
    <t>ET009b</t>
  </si>
  <si>
    <t>PT053c</t>
  </si>
  <si>
    <t>53 Manitou</t>
  </si>
  <si>
    <t>PT053</t>
  </si>
  <si>
    <t>PT053e</t>
  </si>
  <si>
    <t>PT042b</t>
  </si>
  <si>
    <t>42 MCKINLEY AVE</t>
  </si>
  <si>
    <t>PT042</t>
  </si>
  <si>
    <t>PT042a</t>
  </si>
  <si>
    <t>PT001a</t>
  </si>
  <si>
    <t>1 6TH AV-PACIF AV</t>
  </si>
  <si>
    <t>PT001</t>
  </si>
  <si>
    <t>PT001d</t>
  </si>
  <si>
    <t>1 6TH AV-TCDM-PAC</t>
  </si>
  <si>
    <t>MK203b</t>
  </si>
  <si>
    <t>MK203c</t>
  </si>
  <si>
    <t>PT409a</t>
  </si>
  <si>
    <t xml:space="preserve">409 Puyallup-Sumner </t>
  </si>
  <si>
    <t>PT409</t>
  </si>
  <si>
    <t>PT409b</t>
  </si>
  <si>
    <t>KT005a</t>
  </si>
  <si>
    <t>5 CEDAR HEIGHTS</t>
  </si>
  <si>
    <t>KT005</t>
  </si>
  <si>
    <t>KT005b</t>
  </si>
  <si>
    <t>KT008b</t>
  </si>
  <si>
    <t>KT008</t>
  </si>
  <si>
    <t>KT008a</t>
  </si>
  <si>
    <t>WFVSWa</t>
  </si>
  <si>
    <t>WSF VASHN-STHWRTH</t>
  </si>
  <si>
    <t>WFVSW</t>
  </si>
  <si>
    <t>WFVSWb</t>
  </si>
  <si>
    <t>KT091c</t>
  </si>
  <si>
    <t>91 INDIANOLA-BAIN</t>
  </si>
  <si>
    <t>KT091</t>
  </si>
  <si>
    <t>KT091d</t>
  </si>
  <si>
    <t>KTWD04</t>
  </si>
  <si>
    <t>WD04 LONG LAKE DY</t>
  </si>
  <si>
    <t>KTWD0</t>
  </si>
  <si>
    <t>KTWD05</t>
  </si>
  <si>
    <t>WD05 MANCHSTR BCH</t>
  </si>
  <si>
    <t>KTFF1a</t>
  </si>
  <si>
    <t>FT FER BREM-PT OR</t>
  </si>
  <si>
    <t>KTFF1</t>
  </si>
  <si>
    <t>KTFF1b</t>
  </si>
  <si>
    <t>KTFF2a</t>
  </si>
  <si>
    <t>FT FER BREM-ANNAP</t>
  </si>
  <si>
    <t>KTFF2</t>
  </si>
  <si>
    <t>KTFF2b</t>
  </si>
  <si>
    <t>CT106a</t>
  </si>
  <si>
    <t>Bothell-MarinerP&amp;R</t>
  </si>
  <si>
    <t>CT106</t>
  </si>
  <si>
    <t>CT106b</t>
  </si>
  <si>
    <t>MarinerP&amp;R-Bothell</t>
  </si>
  <si>
    <t>MK166a</t>
  </si>
  <si>
    <t>MK166b</t>
  </si>
  <si>
    <t>MK187b</t>
  </si>
  <si>
    <t>MK903a</t>
  </si>
  <si>
    <t>MK903</t>
  </si>
  <si>
    <t>MK903b</t>
  </si>
  <si>
    <t>PT500a</t>
  </si>
  <si>
    <t>500 Federal Way</t>
  </si>
  <si>
    <t>PT500</t>
  </si>
  <si>
    <t>PT500b</t>
  </si>
  <si>
    <t>MK168a</t>
  </si>
  <si>
    <t>MK168b</t>
  </si>
  <si>
    <t>MK014h</t>
  </si>
  <si>
    <t>MK935a</t>
  </si>
  <si>
    <t>MK935</t>
  </si>
  <si>
    <t>MK244a</t>
  </si>
  <si>
    <t>MK244</t>
  </si>
  <si>
    <t>MK230e</t>
  </si>
  <si>
    <t>MK230f</t>
  </si>
  <si>
    <t>MK236a</t>
  </si>
  <si>
    <t>MK236</t>
  </si>
  <si>
    <t>MK236c</t>
  </si>
  <si>
    <t>MK025a</t>
  </si>
  <si>
    <t>MK251a</t>
  </si>
  <si>
    <t>MK251</t>
  </si>
  <si>
    <t>MK251b</t>
  </si>
  <si>
    <t>MK251c</t>
  </si>
  <si>
    <t>MK026a</t>
  </si>
  <si>
    <t>MK026c</t>
  </si>
  <si>
    <t>MK026d</t>
  </si>
  <si>
    <t>MK028a</t>
  </si>
  <si>
    <t>MK028b</t>
  </si>
  <si>
    <t>MK028c</t>
  </si>
  <si>
    <t>MK028e</t>
  </si>
  <si>
    <t>MK028f</t>
  </si>
  <si>
    <t>MK028g</t>
  </si>
  <si>
    <t>MK028i</t>
  </si>
  <si>
    <t>MK028x</t>
  </si>
  <si>
    <t>MK291b</t>
  </si>
  <si>
    <t>MK291</t>
  </si>
  <si>
    <t>MK003b</t>
  </si>
  <si>
    <t>MK031b</t>
  </si>
  <si>
    <t>MK031c</t>
  </si>
  <si>
    <t>MK033c</t>
  </si>
  <si>
    <t>MK330a</t>
  </si>
  <si>
    <t>MK330</t>
  </si>
  <si>
    <t>MK330b</t>
  </si>
  <si>
    <t>MK330c</t>
  </si>
  <si>
    <t>MK331a</t>
  </si>
  <si>
    <t>MK331</t>
  </si>
  <si>
    <t>MK331b</t>
  </si>
  <si>
    <t>MK331c</t>
  </si>
  <si>
    <t>MK345a</t>
  </si>
  <si>
    <t>MK345</t>
  </si>
  <si>
    <t>MK345b</t>
  </si>
  <si>
    <t>MK346a</t>
  </si>
  <si>
    <t>MK346</t>
  </si>
  <si>
    <t>MK346b</t>
  </si>
  <si>
    <t>MK358b</t>
  </si>
  <si>
    <t>MK358</t>
  </si>
  <si>
    <t>MK373a</t>
  </si>
  <si>
    <t>MK373</t>
  </si>
  <si>
    <t>MK004b</t>
  </si>
  <si>
    <t>MK043a</t>
  </si>
  <si>
    <t>MK043b</t>
  </si>
  <si>
    <t>MK043c</t>
  </si>
  <si>
    <t>MK043d</t>
  </si>
  <si>
    <t>MK043e</t>
  </si>
  <si>
    <t>MK043f</t>
  </si>
  <si>
    <t>MK043g</t>
  </si>
  <si>
    <t>MK045a</t>
  </si>
  <si>
    <t>MK005d</t>
  </si>
  <si>
    <t>MK005e</t>
  </si>
  <si>
    <t>MK005i</t>
  </si>
  <si>
    <t>MK005x</t>
  </si>
  <si>
    <t>ST540b</t>
  </si>
  <si>
    <t>MK068d</t>
  </si>
  <si>
    <t>MK068e</t>
  </si>
  <si>
    <t>MK068f</t>
  </si>
  <si>
    <t>MK075e</t>
  </si>
  <si>
    <t>MK075f</t>
  </si>
  <si>
    <t>MK079a</t>
  </si>
  <si>
    <t>MK929b</t>
  </si>
  <si>
    <t>MK929</t>
  </si>
  <si>
    <t>CT280b</t>
  </si>
  <si>
    <t>EverettStation-Gran*</t>
  </si>
  <si>
    <t>CT280</t>
  </si>
  <si>
    <t>CT280c</t>
  </si>
  <si>
    <t>GraniteFalls-Everet*</t>
  </si>
  <si>
    <t>CT280d</t>
  </si>
  <si>
    <t>CT221a</t>
  </si>
  <si>
    <t>Marysville-LakeStev*</t>
  </si>
  <si>
    <t>CT221</t>
  </si>
  <si>
    <t>CT221b</t>
  </si>
  <si>
    <t>LakeStevens-Marysvi*</t>
  </si>
  <si>
    <t>CT190c</t>
  </si>
  <si>
    <t>Mukilteo-EdmondsCC</t>
  </si>
  <si>
    <t>CT190</t>
  </si>
  <si>
    <t>CT130a</t>
  </si>
  <si>
    <t>AuroraVillage-Lynwo*</t>
  </si>
  <si>
    <t>CT130</t>
  </si>
  <si>
    <t>CT130b</t>
  </si>
  <si>
    <t>LynwoodTC-AuroraVil*</t>
  </si>
  <si>
    <t>CT121a</t>
  </si>
  <si>
    <t>LynwoodTC-Bothell</t>
  </si>
  <si>
    <t>CT121</t>
  </si>
  <si>
    <t>CT121b</t>
  </si>
  <si>
    <t>CT105a</t>
  </si>
  <si>
    <t>CT105</t>
  </si>
  <si>
    <t>CT105b</t>
  </si>
  <si>
    <t>MarinerP&amp;R-Bothel</t>
  </si>
  <si>
    <t>CT101a</t>
  </si>
  <si>
    <t>AuroraVillage-Marin*</t>
  </si>
  <si>
    <t>CT101</t>
  </si>
  <si>
    <t>CT101b</t>
  </si>
  <si>
    <t>MarinerP&amp;R-AuroraVi*</t>
  </si>
  <si>
    <t>ET002a</t>
  </si>
  <si>
    <t>ET002</t>
  </si>
  <si>
    <t>ET004a</t>
  </si>
  <si>
    <t>ET004</t>
  </si>
  <si>
    <t>ET007a</t>
  </si>
  <si>
    <t>KT017a</t>
  </si>
  <si>
    <t>17 KITSP MALL LTD</t>
  </si>
  <si>
    <t>KT017</t>
  </si>
  <si>
    <t>KT017b</t>
  </si>
  <si>
    <t>KT034b</t>
  </si>
  <si>
    <t>34 BANGOR SHUTTLE</t>
  </si>
  <si>
    <t>KT034</t>
  </si>
  <si>
    <t>KT094</t>
  </si>
  <si>
    <t>94 AGATE POINT</t>
  </si>
  <si>
    <t>KT095a</t>
  </si>
  <si>
    <t>95 BATTLE POINT</t>
  </si>
  <si>
    <t>KT095</t>
  </si>
  <si>
    <t>KT033a</t>
  </si>
  <si>
    <t>33 SILVRDL-BNBRDG</t>
  </si>
  <si>
    <t>KT033</t>
  </si>
  <si>
    <t>KT034a</t>
  </si>
  <si>
    <t>KT091a</t>
  </si>
  <si>
    <t>91 KINGSTN-BAINBR</t>
  </si>
  <si>
    <t>KT091b</t>
  </si>
  <si>
    <t>KT092a</t>
  </si>
  <si>
    <t>92 POUL-SUQ-KNGST</t>
  </si>
  <si>
    <t>KT092</t>
  </si>
  <si>
    <t>KT093</t>
  </si>
  <si>
    <t>93 MANZANITA</t>
  </si>
  <si>
    <t>KT106a</t>
  </si>
  <si>
    <t>106 ARROW POINT</t>
  </si>
  <si>
    <t>KT106</t>
  </si>
  <si>
    <t>KT096a</t>
  </si>
  <si>
    <t>96 SUNRISE</t>
  </si>
  <si>
    <t>KT096</t>
  </si>
  <si>
    <t>KT012a</t>
  </si>
  <si>
    <t>12 SILVERDLE WEST</t>
  </si>
  <si>
    <t>KT012</t>
  </si>
  <si>
    <t>KT012c</t>
  </si>
  <si>
    <t>KT012d</t>
  </si>
  <si>
    <t>KT012b</t>
  </si>
  <si>
    <t>KT032a</t>
  </si>
  <si>
    <t>32Pouls-Silverdale</t>
  </si>
  <si>
    <t>KT032</t>
  </si>
  <si>
    <t>KT032b</t>
  </si>
  <si>
    <t>KT041a</t>
  </si>
  <si>
    <t>41 LINCOLN DRIVE</t>
  </si>
  <si>
    <t>KT041</t>
  </si>
  <si>
    <t>KT090b</t>
  </si>
  <si>
    <t>90 POULS TC-BAINB</t>
  </si>
  <si>
    <t>KT090</t>
  </si>
  <si>
    <t>KT090c</t>
  </si>
  <si>
    <t>90 POL TC-BAIN EX</t>
  </si>
  <si>
    <t>KT090f</t>
  </si>
  <si>
    <t>90 POUL JCT-BAINB</t>
  </si>
  <si>
    <t>KTWD18</t>
  </si>
  <si>
    <t>WD18 ILLAHEE</t>
  </si>
  <si>
    <t>KTWD1</t>
  </si>
  <si>
    <t>KTWD26</t>
  </si>
  <si>
    <t>WD26 WINSLOW</t>
  </si>
  <si>
    <t>KTWD2</t>
  </si>
  <si>
    <t>KTWD21</t>
  </si>
  <si>
    <t>WD21 SEABECK</t>
  </si>
  <si>
    <t>KTWD24</t>
  </si>
  <si>
    <t>WD24 PORT GAMBLE</t>
  </si>
  <si>
    <t>MK269a</t>
  </si>
  <si>
    <t>MK269</t>
  </si>
  <si>
    <t>MK269b</t>
  </si>
  <si>
    <t>MK2695</t>
  </si>
  <si>
    <t>MK269c</t>
  </si>
  <si>
    <t>KT035a</t>
  </si>
  <si>
    <t>35 OldTownShuttle</t>
  </si>
  <si>
    <t>KT035</t>
  </si>
  <si>
    <t>MK001b</t>
  </si>
  <si>
    <t>MK105a</t>
  </si>
  <si>
    <t>MK012c</t>
  </si>
  <si>
    <t>MK012f</t>
  </si>
  <si>
    <t>MK123a</t>
  </si>
  <si>
    <t>MK124a</t>
  </si>
  <si>
    <t>MK124d</t>
  </si>
  <si>
    <t>MK124e</t>
  </si>
  <si>
    <t>MK128a</t>
  </si>
  <si>
    <t>MK129b</t>
  </si>
  <si>
    <t>MK014a</t>
  </si>
  <si>
    <t>MK164a</t>
  </si>
  <si>
    <t>MK164b</t>
  </si>
  <si>
    <t>MK017a</t>
  </si>
  <si>
    <t>MK017f</t>
  </si>
  <si>
    <t>MK174c</t>
  </si>
  <si>
    <t>MK174d</t>
  </si>
  <si>
    <t>MK182b</t>
  </si>
  <si>
    <t>MK183a</t>
  </si>
  <si>
    <t>MK002c</t>
  </si>
  <si>
    <t>MK002e</t>
  </si>
  <si>
    <t>MK002f</t>
  </si>
  <si>
    <t>MK203d</t>
  </si>
  <si>
    <t>MK203e</t>
  </si>
  <si>
    <t>MK219a</t>
  </si>
  <si>
    <t>MK219</t>
  </si>
  <si>
    <t>MK023a</t>
  </si>
  <si>
    <t>MK023b</t>
  </si>
  <si>
    <t>MK003c</t>
  </si>
  <si>
    <t>MK003d</t>
  </si>
  <si>
    <t>MK003f</t>
  </si>
  <si>
    <t>MK003i</t>
  </si>
  <si>
    <t>MK004h</t>
  </si>
  <si>
    <t>MK042c</t>
  </si>
  <si>
    <t>MK005b</t>
  </si>
  <si>
    <t>MK005j</t>
  </si>
  <si>
    <t>MK053b</t>
  </si>
  <si>
    <t>MK007b</t>
  </si>
  <si>
    <t>MK007g</t>
  </si>
  <si>
    <t>MK888a</t>
  </si>
  <si>
    <t>MK888</t>
  </si>
  <si>
    <t>MK891a</t>
  </si>
  <si>
    <t>MK891</t>
  </si>
  <si>
    <t>MK901a</t>
  </si>
  <si>
    <t>MK908a</t>
  </si>
  <si>
    <t>MK908</t>
  </si>
  <si>
    <t>MK913b</t>
  </si>
  <si>
    <t>MK913</t>
  </si>
  <si>
    <t>MK917c</t>
  </si>
  <si>
    <t>MK917</t>
  </si>
  <si>
    <t>MK918a</t>
  </si>
  <si>
    <t>MK918</t>
  </si>
  <si>
    <t>MK098a</t>
  </si>
  <si>
    <t>MK098</t>
  </si>
  <si>
    <t>PT059a</t>
  </si>
  <si>
    <t>59 MANITOU</t>
  </si>
  <si>
    <t>PT059</t>
  </si>
  <si>
    <t>PT059b</t>
  </si>
  <si>
    <t>PT054a</t>
  </si>
  <si>
    <t>PT501d</t>
  </si>
  <si>
    <t>501 Milton-Federal *</t>
  </si>
  <si>
    <t>PT501</t>
  </si>
  <si>
    <t>PT497a</t>
  </si>
  <si>
    <t>497 Lakeland Hills</t>
  </si>
  <si>
    <t>PT497</t>
  </si>
  <si>
    <t>PT048b</t>
  </si>
  <si>
    <t>PT048c</t>
  </si>
  <si>
    <t>PT444b</t>
  </si>
  <si>
    <t>444  Parkland-Spana*</t>
  </si>
  <si>
    <t>PT444</t>
  </si>
  <si>
    <t>PT041a</t>
  </si>
  <si>
    <t>41 PORTLAND AVE</t>
  </si>
  <si>
    <t>PT041</t>
  </si>
  <si>
    <t>PT041b</t>
  </si>
  <si>
    <t>PT407a</t>
  </si>
  <si>
    <t>407 Bonney Lake-Pra*</t>
  </si>
  <si>
    <t>PT407</t>
  </si>
  <si>
    <t>PT407b</t>
  </si>
  <si>
    <t>PT300b</t>
  </si>
  <si>
    <t>300 SO TACOMA WAY</t>
  </si>
  <si>
    <t>PT300</t>
  </si>
  <si>
    <t>PT300c</t>
  </si>
  <si>
    <t>PT300a</t>
  </si>
  <si>
    <t>PT003a</t>
  </si>
  <si>
    <t>3 LAKEWOOD-TACOMA</t>
  </si>
  <si>
    <t>PT003</t>
  </si>
  <si>
    <t>PT212a</t>
  </si>
  <si>
    <t>212 STEILACOOM</t>
  </si>
  <si>
    <t>PT212</t>
  </si>
  <si>
    <t>PT212b</t>
  </si>
  <si>
    <t>PT204a</t>
  </si>
  <si>
    <t>204 Lakewood-Parkla*</t>
  </si>
  <si>
    <t>PT204</t>
  </si>
  <si>
    <t>PT002c</t>
  </si>
  <si>
    <t>2 19TH-BRIDGEPORT</t>
  </si>
  <si>
    <t>PT002</t>
  </si>
  <si>
    <t>PT013a</t>
  </si>
  <si>
    <t>13 N 30TH ST</t>
  </si>
  <si>
    <t>PT013</t>
  </si>
  <si>
    <t>PT100a</t>
  </si>
  <si>
    <t>100  Gig Harbor</t>
  </si>
  <si>
    <t>PT100</t>
  </si>
  <si>
    <t>PT100b</t>
  </si>
  <si>
    <t>PT010a</t>
  </si>
  <si>
    <t>10 PEARL ST</t>
  </si>
  <si>
    <t>PT010</t>
  </si>
  <si>
    <t>PT010b</t>
  </si>
  <si>
    <t>RLMNRa</t>
  </si>
  <si>
    <t>r</t>
  </si>
  <si>
    <t>RLMNR</t>
  </si>
  <si>
    <t>RLMNRb</t>
  </si>
  <si>
    <t>PT603a</t>
  </si>
  <si>
    <t>603 OLY-SR512-TAC</t>
  </si>
  <si>
    <t>PT603</t>
  </si>
  <si>
    <t>PT603b</t>
  </si>
  <si>
    <t>PT051b</t>
  </si>
  <si>
    <t>51 TCC-TCOMA MALL</t>
  </si>
  <si>
    <t>PT051</t>
  </si>
  <si>
    <t>KT026a</t>
  </si>
  <si>
    <t>26 WEST PARK</t>
  </si>
  <si>
    <t>KT026</t>
  </si>
  <si>
    <t>KT026b</t>
  </si>
  <si>
    <t>KT085</t>
  </si>
  <si>
    <t>85 MULLENIX EXPRS</t>
  </si>
  <si>
    <t>KT097a</t>
  </si>
  <si>
    <t>97 CRYSTAL SPRNGS</t>
  </si>
  <si>
    <t>KT097</t>
  </si>
  <si>
    <t>KT098a</t>
  </si>
  <si>
    <t>98 FORT WARD</t>
  </si>
  <si>
    <t>KT098</t>
  </si>
  <si>
    <t>KT099a</t>
  </si>
  <si>
    <t>99 BILL POINT</t>
  </si>
  <si>
    <t>KT099</t>
  </si>
  <si>
    <t>KT011b</t>
  </si>
  <si>
    <t>11 CROSSTOWN LTD</t>
  </si>
  <si>
    <t>KT011</t>
  </si>
  <si>
    <t>KT011d</t>
  </si>
  <si>
    <t>KT023b</t>
  </si>
  <si>
    <t>23 KARIOTS/TRCYTN</t>
  </si>
  <si>
    <t>KT023</t>
  </si>
  <si>
    <t>KT086a</t>
  </si>
  <si>
    <t>86 SOUTHWRTH SHTL</t>
  </si>
  <si>
    <t>KT086</t>
  </si>
  <si>
    <t>KT024b</t>
  </si>
  <si>
    <t>24 OLYMPIC COLLEG</t>
  </si>
  <si>
    <t>KT024</t>
  </si>
  <si>
    <t>KTWD03</t>
  </si>
  <si>
    <t>WD03 HORSESHOE LK</t>
  </si>
  <si>
    <t>KTWD01</t>
  </si>
  <si>
    <t>WD01 BURLEY BUS</t>
  </si>
  <si>
    <t>KTWD06</t>
  </si>
  <si>
    <t>WD06 MILE HILL EX</t>
  </si>
  <si>
    <t>PT052a</t>
  </si>
  <si>
    <t>PT052</t>
  </si>
  <si>
    <t>PT052b</t>
  </si>
  <si>
    <t>MK001a</t>
  </si>
  <si>
    <t>MK010c</t>
  </si>
  <si>
    <t>MK107a</t>
  </si>
  <si>
    <t>MK012b</t>
  </si>
  <si>
    <t>MK012d</t>
  </si>
  <si>
    <t>MK124b</t>
  </si>
  <si>
    <t>MK124c</t>
  </si>
  <si>
    <t>MK013b</t>
  </si>
  <si>
    <t>MK014b</t>
  </si>
  <si>
    <t>MK014c</t>
  </si>
  <si>
    <t>MK014g</t>
  </si>
  <si>
    <t>MK014i</t>
  </si>
  <si>
    <t>MK154a</t>
  </si>
  <si>
    <t>MK155a</t>
  </si>
  <si>
    <t>MK155b</t>
  </si>
  <si>
    <t>MK017b</t>
  </si>
  <si>
    <t>MK017c</t>
  </si>
  <si>
    <t>MK174a</t>
  </si>
  <si>
    <t>MK174e</t>
  </si>
  <si>
    <t>MK181a</t>
  </si>
  <si>
    <t>MK181b</t>
  </si>
  <si>
    <t>MK182a</t>
  </si>
  <si>
    <t>MK183b</t>
  </si>
  <si>
    <t>MK187a</t>
  </si>
  <si>
    <t>MK201a</t>
  </si>
  <si>
    <t>MK204b</t>
  </si>
  <si>
    <t>MK207a</t>
  </si>
  <si>
    <t>MK219b</t>
  </si>
  <si>
    <t>MK219c</t>
  </si>
  <si>
    <t>MK023c</t>
  </si>
  <si>
    <t>MK003e</t>
  </si>
  <si>
    <t>MK003g</t>
  </si>
  <si>
    <t>MK003h</t>
  </si>
  <si>
    <t>MK003j</t>
  </si>
  <si>
    <t>MK034a</t>
  </si>
  <si>
    <t>MK035a</t>
  </si>
  <si>
    <t>MK004e</t>
  </si>
  <si>
    <t>MK004f</t>
  </si>
  <si>
    <t>MK004g</t>
  </si>
  <si>
    <t>MK042a</t>
  </si>
  <si>
    <t>MK042b</t>
  </si>
  <si>
    <t>MK051a</t>
  </si>
  <si>
    <t>MK007d</t>
  </si>
  <si>
    <t>MK007f</t>
  </si>
  <si>
    <t>MK909a</t>
  </si>
  <si>
    <t>MK909</t>
  </si>
  <si>
    <t>MK913a</t>
  </si>
  <si>
    <t>MK917a</t>
  </si>
  <si>
    <t>MK917b</t>
  </si>
  <si>
    <t>MK918b</t>
  </si>
  <si>
    <t>MK926a</t>
  </si>
  <si>
    <t>MK926</t>
  </si>
  <si>
    <t>MK926b</t>
  </si>
  <si>
    <t>MK926c</t>
  </si>
  <si>
    <t>MK098b</t>
  </si>
  <si>
    <t>PT057a</t>
  </si>
  <si>
    <t>57 Tacoma Mall</t>
  </si>
  <si>
    <t>PT057</t>
  </si>
  <si>
    <t>PT057b</t>
  </si>
  <si>
    <t>PT053a</t>
  </si>
  <si>
    <t>53 UNIVERSITY PLC</t>
  </si>
  <si>
    <t>PT053b</t>
  </si>
  <si>
    <t>PT501b</t>
  </si>
  <si>
    <t>PT501c</t>
  </si>
  <si>
    <t>PT444a</t>
  </si>
  <si>
    <t>PT413a</t>
  </si>
  <si>
    <t>413 Wildwood</t>
  </si>
  <si>
    <t>PT413</t>
  </si>
  <si>
    <t>PT413b</t>
  </si>
  <si>
    <t>PT003c</t>
  </si>
  <si>
    <t>PT204b</t>
  </si>
  <si>
    <t>PT002a</t>
  </si>
  <si>
    <t>PT002b</t>
  </si>
  <si>
    <t>PT016a</t>
  </si>
  <si>
    <t>16 UPS-TCC</t>
  </si>
  <si>
    <t>PT016</t>
  </si>
  <si>
    <t>PT016b</t>
  </si>
  <si>
    <t>PT013b</t>
  </si>
  <si>
    <t>PT113a</t>
  </si>
  <si>
    <t>113 Key Peninsula</t>
  </si>
  <si>
    <t>PT113</t>
  </si>
  <si>
    <t>PT113b</t>
  </si>
  <si>
    <t>PT011a</t>
  </si>
  <si>
    <t>11 POINT DEFIANCE</t>
  </si>
  <si>
    <t>PT011</t>
  </si>
  <si>
    <t>PT011b</t>
  </si>
  <si>
    <t>PT001b</t>
  </si>
  <si>
    <t>PT003b</t>
  </si>
  <si>
    <t>RLLRLa</t>
  </si>
  <si>
    <t>LITE RL TCOMA CBD</t>
  </si>
  <si>
    <t>RLLRL</t>
  </si>
  <si>
    <t>RLLRLb</t>
  </si>
  <si>
    <t>PT051a</t>
  </si>
  <si>
    <t>KT011a</t>
  </si>
  <si>
    <t>KT011c</t>
  </si>
  <si>
    <t>KT011e</t>
  </si>
  <si>
    <t>KT020a</t>
  </si>
  <si>
    <t>20 NAVY YARD CITY</t>
  </si>
  <si>
    <t>KT020</t>
  </si>
  <si>
    <t>KT020b</t>
  </si>
  <si>
    <t>KT022a</t>
  </si>
  <si>
    <t>22 GATEWAY EXPRSS</t>
  </si>
  <si>
    <t>KT022</t>
  </si>
  <si>
    <t>KT023a</t>
  </si>
  <si>
    <t>KTPURa</t>
  </si>
  <si>
    <t>PURDY CONNECTION</t>
  </si>
  <si>
    <t>KTPUR</t>
  </si>
  <si>
    <t>KTPURb</t>
  </si>
  <si>
    <t>KT086b</t>
  </si>
  <si>
    <t>KT024a</t>
  </si>
  <si>
    <t>KTWD02</t>
  </si>
  <si>
    <t>WD02 GLENWOOD</t>
  </si>
  <si>
    <t>KTWD12</t>
  </si>
  <si>
    <t>WD12 SOUTHWORTH</t>
  </si>
  <si>
    <t>KTWD13</t>
  </si>
  <si>
    <t>WD13 SUNNYSLOPE</t>
  </si>
  <si>
    <t>KTWD14</t>
  </si>
  <si>
    <t>WD14 CAMP UNION</t>
  </si>
  <si>
    <t>MK139a</t>
  </si>
  <si>
    <t>MK204a</t>
  </si>
  <si>
    <t>MK892a</t>
  </si>
  <si>
    <t>MK892</t>
  </si>
  <si>
    <t>PT501a</t>
  </si>
  <si>
    <t>PT026a</t>
  </si>
  <si>
    <t>26 M L KING JR WY</t>
  </si>
  <si>
    <t>PT026</t>
  </si>
  <si>
    <t>PT212f</t>
  </si>
  <si>
    <t>KTWD10</t>
  </si>
  <si>
    <t>WD10 PONDEROSA</t>
  </si>
  <si>
    <t>MK221a</t>
  </si>
  <si>
    <t>MK221</t>
  </si>
  <si>
    <t>MK221b</t>
  </si>
  <si>
    <t>MK248b</t>
  </si>
  <si>
    <t>MK248</t>
  </si>
  <si>
    <t>PT207a</t>
  </si>
  <si>
    <t>ST592e</t>
  </si>
  <si>
    <t>592 Lakewood-Dupont</t>
  </si>
  <si>
    <t>ST592</t>
  </si>
  <si>
    <t>PT495a</t>
  </si>
  <si>
    <t>495 SO HILL-PUYLP</t>
  </si>
  <si>
    <t>PT495</t>
  </si>
  <si>
    <t>PT214a</t>
  </si>
  <si>
    <t>214 WASHINGTON</t>
  </si>
  <si>
    <t>PT214</t>
  </si>
  <si>
    <t>PT214b</t>
  </si>
  <si>
    <t>MK019a</t>
  </si>
  <si>
    <t>MK238a</t>
  </si>
  <si>
    <t>MK238</t>
  </si>
  <si>
    <t>MK234b</t>
  </si>
  <si>
    <t>MK234</t>
  </si>
  <si>
    <t>MK234a</t>
  </si>
  <si>
    <t>MK234c</t>
  </si>
  <si>
    <t>PT490a</t>
  </si>
  <si>
    <t>490 South Hill-Taco*</t>
  </si>
  <si>
    <t>PT490</t>
  </si>
  <si>
    <t>KT025a</t>
  </si>
  <si>
    <t>25 EAST PARK</t>
  </si>
  <si>
    <t>KT025</t>
  </si>
  <si>
    <t>KT025b</t>
  </si>
  <si>
    <t>KTWD20</t>
  </si>
  <si>
    <t>WD20 RIDGE RUNNER</t>
  </si>
  <si>
    <t>KTWD19</t>
  </si>
  <si>
    <t>WD19 PRKWOOD EAST</t>
  </si>
  <si>
    <t>MK148b</t>
  </si>
  <si>
    <t>MK200a</t>
  </si>
  <si>
    <t>MK200b</t>
  </si>
  <si>
    <t>MK200c</t>
  </si>
  <si>
    <t>MK927a</t>
  </si>
  <si>
    <t>MK927</t>
  </si>
  <si>
    <t>MK024d</t>
  </si>
  <si>
    <t>MK024e</t>
  </si>
  <si>
    <t>MK033a</t>
  </si>
  <si>
    <t>MK031a</t>
  </si>
  <si>
    <t>MK065a</t>
  </si>
  <si>
    <t>MK065c</t>
  </si>
  <si>
    <t>MK068c</t>
  </si>
  <si>
    <t>MK075a</t>
  </si>
  <si>
    <t>MK075b</t>
  </si>
  <si>
    <t>MK075d</t>
  </si>
  <si>
    <t>MK132a</t>
  </si>
  <si>
    <t>MK132b</t>
  </si>
  <si>
    <t>MK148a</t>
  </si>
  <si>
    <t>MK105b</t>
  </si>
  <si>
    <t>MK070a</t>
  </si>
  <si>
    <t>MK908b</t>
  </si>
  <si>
    <t>MK909b</t>
  </si>
  <si>
    <t>PT028a</t>
  </si>
  <si>
    <t>MK065b</t>
  </si>
  <si>
    <t>MK068a</t>
  </si>
  <si>
    <t>MK068b</t>
  </si>
  <si>
    <t>MK174b</t>
  </si>
  <si>
    <t>ST599e</t>
  </si>
  <si>
    <t>PT601a</t>
  </si>
  <si>
    <t>601 OL-512-TCC-GH</t>
  </si>
  <si>
    <t>PT601</t>
  </si>
  <si>
    <t>ET025a</t>
  </si>
  <si>
    <t>ET025</t>
  </si>
  <si>
    <t>CT240a</t>
  </si>
  <si>
    <t>Stanwood-Arlington</t>
  </si>
  <si>
    <t>CT240</t>
  </si>
  <si>
    <t>CT240b</t>
  </si>
  <si>
    <t>Arlington-Stanwood</t>
  </si>
  <si>
    <t>CT880a</t>
  </si>
  <si>
    <t>Muklilteo-UDistrict</t>
  </si>
  <si>
    <t>CT880</t>
  </si>
  <si>
    <t>CT860a</t>
  </si>
  <si>
    <t>MarinerP&amp;R-UDistrict</t>
  </si>
  <si>
    <t>CT860</t>
  </si>
  <si>
    <t>CT812b</t>
  </si>
  <si>
    <t>MarinerP&amp;R-McCollum*</t>
  </si>
  <si>
    <t>CT812</t>
  </si>
  <si>
    <t>MK131a</t>
  </si>
  <si>
    <t>MK131b</t>
  </si>
  <si>
    <t>MK134a</t>
  </si>
  <si>
    <t>MK134b</t>
  </si>
  <si>
    <t>MK157a</t>
  </si>
  <si>
    <t>ST599a</t>
  </si>
  <si>
    <t>599 Lakewood-Tacoma</t>
  </si>
  <si>
    <t>ST599b</t>
  </si>
  <si>
    <t>599 Tacoma-Lakwood</t>
  </si>
  <si>
    <t>CT270b</t>
  </si>
  <si>
    <t>GoldBar-Monroe-Ever*</t>
  </si>
  <si>
    <t>CT270</t>
  </si>
  <si>
    <t>KTWD07</t>
  </si>
  <si>
    <t>WD07 SALMONBERRY</t>
  </si>
  <si>
    <t>KTWD09</t>
  </si>
  <si>
    <t>WD09 PHLIP/BIELMR</t>
  </si>
  <si>
    <t>KTWD08</t>
  </si>
  <si>
    <t>WD08 PARKWOOD</t>
  </si>
  <si>
    <t>KTWD11</t>
  </si>
  <si>
    <t>WD11 SIDNEY WOODS</t>
  </si>
  <si>
    <t>MK919b</t>
  </si>
  <si>
    <t>MK919</t>
  </si>
  <si>
    <t>MK919a</t>
  </si>
  <si>
    <t>CT275b</t>
  </si>
  <si>
    <t>Monroe-Everett</t>
  </si>
  <si>
    <t>CT275</t>
  </si>
  <si>
    <t>MK372a</t>
  </si>
  <si>
    <t>MK372</t>
  </si>
  <si>
    <t>MK372b</t>
  </si>
  <si>
    <t>MK372c</t>
  </si>
  <si>
    <t>ET012a</t>
  </si>
  <si>
    <t>ET012</t>
  </si>
  <si>
    <t>ET701a</t>
  </si>
  <si>
    <t>ET701</t>
  </si>
  <si>
    <t>ET701b</t>
  </si>
  <si>
    <t>MK169a</t>
  </si>
  <si>
    <t>MK169b</t>
  </si>
  <si>
    <t>MK107b</t>
  </si>
  <si>
    <t>PT001c</t>
  </si>
  <si>
    <t>MK915a</t>
  </si>
  <si>
    <t>MK915</t>
  </si>
  <si>
    <t>MK915b</t>
  </si>
  <si>
    <t>MK915c</t>
  </si>
  <si>
    <t>MK149b</t>
  </si>
  <si>
    <t>MK149a</t>
  </si>
  <si>
    <t>MK143a</t>
  </si>
  <si>
    <t>MK265a</t>
  </si>
  <si>
    <t>MK265</t>
  </si>
  <si>
    <t>MK039a</t>
  </si>
  <si>
    <t>MK039b</t>
  </si>
  <si>
    <t>MK039c</t>
  </si>
  <si>
    <t>MK048a</t>
  </si>
  <si>
    <t>MK030a</t>
  </si>
  <si>
    <t>CT112b</t>
  </si>
  <si>
    <t>Lynwood-MountlakeTe*</t>
  </si>
  <si>
    <t>CT112</t>
  </si>
  <si>
    <t>ET018a</t>
  </si>
  <si>
    <t>ET018</t>
  </si>
  <si>
    <t>ET018b</t>
  </si>
  <si>
    <t>ET003a</t>
  </si>
  <si>
    <t>ET003</t>
  </si>
  <si>
    <t>MK203a</t>
  </si>
  <si>
    <t>MK245a</t>
  </si>
  <si>
    <t>MK245</t>
  </si>
  <si>
    <t>MK245b</t>
  </si>
  <si>
    <t>MK245c</t>
  </si>
  <si>
    <t>MK245d</t>
  </si>
  <si>
    <t>MK890a</t>
  </si>
  <si>
    <t>MK890</t>
  </si>
  <si>
    <t>MK206a</t>
  </si>
  <si>
    <t>MK209a</t>
  </si>
  <si>
    <t>MK209c</t>
  </si>
  <si>
    <t>MK209b</t>
  </si>
  <si>
    <t>MK046b</t>
  </si>
  <si>
    <t>MK010d</t>
  </si>
  <si>
    <t>MK011a</t>
  </si>
  <si>
    <t>MK011d</t>
  </si>
  <si>
    <t>MK208a</t>
  </si>
  <si>
    <t>MK004a</t>
  </si>
  <si>
    <t>MK004c</t>
  </si>
  <si>
    <t>MK004d</t>
  </si>
  <si>
    <t>MK048i</t>
  </si>
  <si>
    <t>MK005h</t>
  </si>
  <si>
    <t>MK064a</t>
  </si>
  <si>
    <t>MK075c</t>
  </si>
  <si>
    <t>MK927b</t>
  </si>
  <si>
    <t>MK927d</t>
  </si>
  <si>
    <t>CT870a</t>
  </si>
  <si>
    <t>EdmondsP&amp;R-UDistrict</t>
  </si>
  <si>
    <t>CT870</t>
  </si>
  <si>
    <t>CT275a</t>
  </si>
  <si>
    <t>Everett-Monroe</t>
  </si>
  <si>
    <t>CT270a</t>
  </si>
  <si>
    <t>Everett-Monroe-Gold*</t>
  </si>
  <si>
    <t>CT230a</t>
  </si>
  <si>
    <t>SmokeyPoint-Daringt*</t>
  </si>
  <si>
    <t>CT230</t>
  </si>
  <si>
    <t>CT230b</t>
  </si>
  <si>
    <t>Darington-SmokeyPoi*</t>
  </si>
  <si>
    <t>CT222a</t>
  </si>
  <si>
    <t>TulalipBay-Marysvil*</t>
  </si>
  <si>
    <t>CT222</t>
  </si>
  <si>
    <t>CT222b</t>
  </si>
  <si>
    <t>Marysville-TulalipB*</t>
  </si>
  <si>
    <t>CT131a</t>
  </si>
  <si>
    <t>AuroraVillage-Edmon*</t>
  </si>
  <si>
    <t>CT131</t>
  </si>
  <si>
    <t>CT131b</t>
  </si>
  <si>
    <t>EdmondsCC-AuroraVil*</t>
  </si>
  <si>
    <t>CT110a</t>
  </si>
  <si>
    <t>Edmonds-LynwoodTC</t>
  </si>
  <si>
    <t>CT110</t>
  </si>
  <si>
    <t>CT110b</t>
  </si>
  <si>
    <t>LynwoodTC-Edmonds</t>
  </si>
  <si>
    <t>WFSBIa</t>
  </si>
  <si>
    <t>WSF SEA-BAINB ISL</t>
  </si>
  <si>
    <t>WFSBI</t>
  </si>
  <si>
    <t>WFSBIb</t>
  </si>
  <si>
    <t>MK158a</t>
  </si>
  <si>
    <t>MK159a</t>
  </si>
  <si>
    <t>MK162a</t>
  </si>
  <si>
    <t>MK162b</t>
  </si>
  <si>
    <t>MK173a</t>
  </si>
  <si>
    <t>MK175a</t>
  </si>
  <si>
    <t>MK177a</t>
  </si>
  <si>
    <t>MK179a</t>
  </si>
  <si>
    <t>MK190a</t>
  </si>
  <si>
    <t>MK192a</t>
  </si>
  <si>
    <t>MK192b</t>
  </si>
  <si>
    <t>MK941a</t>
  </si>
  <si>
    <t>MK941</t>
  </si>
  <si>
    <t>ST577a</t>
  </si>
  <si>
    <t>ST577</t>
  </si>
  <si>
    <t>MK152a</t>
  </si>
  <si>
    <t>MK140b</t>
  </si>
  <si>
    <t>MK140c</t>
  </si>
  <si>
    <t>MK140d</t>
  </si>
  <si>
    <t>ST535a</t>
  </si>
  <si>
    <t>BellevueTC-Lynwood</t>
  </si>
  <si>
    <t>ST535</t>
  </si>
  <si>
    <t>CT441a</t>
  </si>
  <si>
    <t>EdmondsP&amp;R-Overlake</t>
  </si>
  <si>
    <t>CT441</t>
  </si>
  <si>
    <t>CT119a</t>
  </si>
  <si>
    <t>LynwoodTC-Meadowdale</t>
  </si>
  <si>
    <t>CT119</t>
  </si>
  <si>
    <t>CT119b</t>
  </si>
  <si>
    <t>Meadowdale-LynwoodTC</t>
  </si>
  <si>
    <t>CT118a</t>
  </si>
  <si>
    <t>AuroraVillage-AshWa*</t>
  </si>
  <si>
    <t>CT118</t>
  </si>
  <si>
    <t>CT118b</t>
  </si>
  <si>
    <t>AshWayP&amp;R-AuroraVil*</t>
  </si>
  <si>
    <t>CT113a</t>
  </si>
  <si>
    <t>LynwoodTC-Mukilteo</t>
  </si>
  <si>
    <t>CT113</t>
  </si>
  <si>
    <t>CT113b</t>
  </si>
  <si>
    <t>Mukilteo-LynwoodTC</t>
  </si>
  <si>
    <t>CT116a</t>
  </si>
  <si>
    <t>Edmonds-SilverFirs-*</t>
  </si>
  <si>
    <t>CT116</t>
  </si>
  <si>
    <t>CT116b</t>
  </si>
  <si>
    <t>MillCreek-SilverFir*</t>
  </si>
  <si>
    <t>CT115a</t>
  </si>
  <si>
    <t>CT115</t>
  </si>
  <si>
    <t>CT115b</t>
  </si>
  <si>
    <t>MK065d</t>
  </si>
  <si>
    <t>MK065e</t>
  </si>
  <si>
    <t>MK065f</t>
  </si>
  <si>
    <t>MK065g</t>
  </si>
  <si>
    <t>MK248a</t>
  </si>
  <si>
    <t>MK291a</t>
  </si>
  <si>
    <t>MK929a</t>
  </si>
  <si>
    <t>MK030b</t>
  </si>
  <si>
    <t>MK067a</t>
  </si>
  <si>
    <t>MK067b</t>
  </si>
  <si>
    <t>MK067c</t>
  </si>
  <si>
    <t>MK067d</t>
  </si>
  <si>
    <t>MK070b</t>
  </si>
  <si>
    <t>MK070c</t>
  </si>
  <si>
    <t>CT871a</t>
  </si>
  <si>
    <t>UDistrict-EdmondsP&amp;R</t>
  </si>
  <si>
    <t>CT871</t>
  </si>
  <si>
    <t>CT855a</t>
  </si>
  <si>
    <t>Lynwood-UDistrict</t>
  </si>
  <si>
    <t>CT855</t>
  </si>
  <si>
    <t>CT851b</t>
  </si>
  <si>
    <t>CT851</t>
  </si>
  <si>
    <t>WFSVPa</t>
  </si>
  <si>
    <t>WSF SEA-VASHON PO</t>
  </si>
  <si>
    <t>WFSVP</t>
  </si>
  <si>
    <t>WFSVPb</t>
  </si>
  <si>
    <t>ET072a</t>
  </si>
  <si>
    <t>ET072</t>
  </si>
  <si>
    <t>MK101a</t>
  </si>
  <si>
    <t>MK101b</t>
  </si>
  <si>
    <t>MK101c</t>
  </si>
  <si>
    <t>MK101d</t>
  </si>
  <si>
    <t>MK101e</t>
  </si>
  <si>
    <t>MK106a</t>
  </si>
  <si>
    <t>MK106b</t>
  </si>
  <si>
    <t>MK106c</t>
  </si>
  <si>
    <t>MK106d</t>
  </si>
  <si>
    <t>MK106e</t>
  </si>
  <si>
    <t>MK106f</t>
  </si>
  <si>
    <t>MK128b</t>
  </si>
  <si>
    <t>MK150a</t>
  </si>
  <si>
    <t>MK150b</t>
  </si>
  <si>
    <t>MK150c</t>
  </si>
  <si>
    <t>MK255b</t>
  </si>
  <si>
    <t>MK255</t>
  </si>
  <si>
    <t>MK255c</t>
  </si>
  <si>
    <t>MK316a</t>
  </si>
  <si>
    <t>MK316</t>
  </si>
  <si>
    <t>MK036a</t>
  </si>
  <si>
    <t>MK036b</t>
  </si>
  <si>
    <t>MK036c</t>
  </si>
  <si>
    <t>MK036d</t>
  </si>
  <si>
    <t>MK036e</t>
  </si>
  <si>
    <t>MK036f</t>
  </si>
  <si>
    <t>MK036g</t>
  </si>
  <si>
    <t>MK041a</t>
  </si>
  <si>
    <t>MK041b</t>
  </si>
  <si>
    <t>MK041d</t>
  </si>
  <si>
    <t>MK041e</t>
  </si>
  <si>
    <t>MK600a</t>
  </si>
  <si>
    <t>MK600</t>
  </si>
  <si>
    <t>MK071b</t>
  </si>
  <si>
    <t>MK072a</t>
  </si>
  <si>
    <t>MK073c</t>
  </si>
  <si>
    <t>MK073d</t>
  </si>
  <si>
    <t>MK074a</t>
  </si>
  <si>
    <t>MK076a</t>
  </si>
  <si>
    <t>ST599d</t>
  </si>
  <si>
    <t>MK102a</t>
  </si>
  <si>
    <t>RLCRLa</t>
  </si>
  <si>
    <t>COMMTR RL TAC-SEA</t>
  </si>
  <si>
    <t>RLCRL</t>
  </si>
  <si>
    <t>RLLRd</t>
  </si>
  <si>
    <t>LightRail SeaTac-Sea</t>
  </si>
  <si>
    <t>RLLRC</t>
  </si>
  <si>
    <t>LightRail Sea-Seatac</t>
  </si>
  <si>
    <t>RLCRLb</t>
  </si>
  <si>
    <t>COMMTR RL SEA-TAC</t>
  </si>
  <si>
    <t>PT061a</t>
  </si>
  <si>
    <t>61 Northeast Tacoma</t>
  </si>
  <si>
    <t>PT061</t>
  </si>
  <si>
    <t>PT061b</t>
  </si>
  <si>
    <t>PT060a</t>
  </si>
  <si>
    <t>60  Port of Tacoma</t>
  </si>
  <si>
    <t>PT060</t>
  </si>
  <si>
    <t>MK099a</t>
  </si>
  <si>
    <t>MK011b</t>
  </si>
  <si>
    <t>MK011c</t>
  </si>
  <si>
    <t>MK013a</t>
  </si>
  <si>
    <t>MK013c</t>
  </si>
  <si>
    <t>MK015c</t>
  </si>
  <si>
    <t>MK015d</t>
  </si>
  <si>
    <t>MK015e</t>
  </si>
  <si>
    <t>MK017d</t>
  </si>
  <si>
    <t>MK017e</t>
  </si>
  <si>
    <t>MK018b</t>
  </si>
  <si>
    <t>MK018c</t>
  </si>
  <si>
    <t>MK018d</t>
  </si>
  <si>
    <t>MK019b</t>
  </si>
  <si>
    <t>MK002b</t>
  </si>
  <si>
    <t>MK024a</t>
  </si>
  <si>
    <t>MK026b</t>
  </si>
  <si>
    <t>MK028d</t>
  </si>
  <si>
    <t>MK028h</t>
  </si>
  <si>
    <t>MK028j</t>
  </si>
  <si>
    <t>MK003a</t>
  </si>
  <si>
    <t>MK033b</t>
  </si>
  <si>
    <t>MK358a</t>
  </si>
  <si>
    <t>MK005a</t>
  </si>
  <si>
    <t>MK005c</t>
  </si>
  <si>
    <t>MK005f</t>
  </si>
  <si>
    <t>MK005g</t>
  </si>
  <si>
    <t>MK066a</t>
  </si>
  <si>
    <t>MK066b</t>
  </si>
  <si>
    <t>MK066c</t>
  </si>
  <si>
    <t>MK099b</t>
  </si>
  <si>
    <t>WFSBRa</t>
  </si>
  <si>
    <t>WSF SEA-BREMERTON</t>
  </si>
  <si>
    <t>WFSBR</t>
  </si>
  <si>
    <t>WFSBRb</t>
  </si>
  <si>
    <t>RLCRLc</t>
  </si>
  <si>
    <t>COMMTR RL EV-SEA</t>
  </si>
  <si>
    <t>RLCRLd</t>
  </si>
  <si>
    <t>COMMTR RL SEA-EV</t>
  </si>
  <si>
    <t>MK015a</t>
  </si>
  <si>
    <t>MK016a</t>
  </si>
  <si>
    <t>MK016b</t>
  </si>
  <si>
    <t>MK016c</t>
  </si>
  <si>
    <t>MK018e</t>
  </si>
  <si>
    <t>MK002d</t>
  </si>
  <si>
    <t>MK994a</t>
  </si>
  <si>
    <t>MK994</t>
  </si>
  <si>
    <t>ST594b</t>
  </si>
  <si>
    <t>594 Seattle-Lakewood</t>
  </si>
  <si>
    <t>ST594</t>
  </si>
  <si>
    <t>ST592d</t>
  </si>
  <si>
    <t>592 Seattle-Dupont</t>
  </si>
  <si>
    <t>ST590d</t>
  </si>
  <si>
    <t>590 Seattle-Tacoma</t>
  </si>
  <si>
    <t>ST590</t>
  </si>
  <si>
    <t>ST574b</t>
  </si>
  <si>
    <t>574 Lakewood-Seatac</t>
  </si>
  <si>
    <t>ST574</t>
  </si>
  <si>
    <t>ST574c</t>
  </si>
  <si>
    <t>574 Seatac-Lakewood</t>
  </si>
  <si>
    <t>PT402a</t>
  </si>
  <si>
    <t>402 MERIDIAN</t>
  </si>
  <si>
    <t>PT402</t>
  </si>
  <si>
    <t>PT402b</t>
  </si>
  <si>
    <t>PT402c</t>
  </si>
  <si>
    <t>PT402d</t>
  </si>
  <si>
    <t>PT402e</t>
  </si>
  <si>
    <t>ST578a</t>
  </si>
  <si>
    <t>578 Seattle-Puyallup</t>
  </si>
  <si>
    <t>ST578</t>
  </si>
  <si>
    <t>ST578b</t>
  </si>
  <si>
    <t>Puyallup-Seattle</t>
  </si>
  <si>
    <t>MK140a</t>
  </si>
  <si>
    <t>MK010a</t>
  </si>
  <si>
    <t>MK010b</t>
  </si>
  <si>
    <t>PT102a</t>
  </si>
  <si>
    <t>102 GIG HR-TAC EX</t>
  </si>
  <si>
    <t>PT102</t>
  </si>
  <si>
    <t>KTWD16</t>
  </si>
  <si>
    <t>WD16 FRGRND OVRLD</t>
  </si>
  <si>
    <t>MK196a</t>
  </si>
  <si>
    <t>ST595a</t>
  </si>
  <si>
    <t>595 GigHarbor-Seatt*</t>
  </si>
  <si>
    <t>ST595</t>
  </si>
  <si>
    <t>ST594a</t>
  </si>
  <si>
    <t>594 Lakewood-Seattle</t>
  </si>
  <si>
    <t>ST593a</t>
  </si>
  <si>
    <t>593 Tacoma-Seattle</t>
  </si>
  <si>
    <t>ST593</t>
  </si>
  <si>
    <t>ST592a</t>
  </si>
  <si>
    <t>592 Dupont-Seattle</t>
  </si>
  <si>
    <t>ST592b</t>
  </si>
  <si>
    <t>ST590a</t>
  </si>
  <si>
    <t>590 Tacoma-Seattle</t>
  </si>
  <si>
    <t>ST590b</t>
  </si>
  <si>
    <t>MK110a</t>
  </si>
  <si>
    <t>MK110b</t>
  </si>
  <si>
    <t>MK153a</t>
  </si>
  <si>
    <t>MK153b</t>
  </si>
  <si>
    <t>MK247a</t>
  </si>
  <si>
    <t>MK247</t>
  </si>
  <si>
    <t>MK161a</t>
  </si>
  <si>
    <t>MK015b</t>
  </si>
  <si>
    <t>CT880b</t>
  </si>
  <si>
    <t>Mukilteo-UDistrict</t>
  </si>
  <si>
    <t>ET014a</t>
  </si>
  <si>
    <t>ET014</t>
  </si>
  <si>
    <t>KT009a</t>
  </si>
  <si>
    <t>SouthPark</t>
  </si>
  <si>
    <t>KT009</t>
  </si>
  <si>
    <t>KT081a</t>
  </si>
  <si>
    <t>KT081</t>
  </si>
  <si>
    <t>KT013a</t>
  </si>
  <si>
    <t>13 PARKWOOD E LTD</t>
  </si>
  <si>
    <t>KT013</t>
  </si>
  <si>
    <t>KT013b</t>
  </si>
  <si>
    <t>KT015a</t>
  </si>
  <si>
    <t>15 MCWLIAMS-SHTTL</t>
  </si>
  <si>
    <t>KT015</t>
  </si>
  <si>
    <t>KT019a</t>
  </si>
  <si>
    <t>19 CRSSROADS SHTL</t>
  </si>
  <si>
    <t>KT019</t>
  </si>
  <si>
    <t>KT021a</t>
  </si>
  <si>
    <t>21 PERRY AVENUE</t>
  </si>
  <si>
    <t>KT021</t>
  </si>
  <si>
    <t>KT021b</t>
  </si>
  <si>
    <t>KT029a</t>
  </si>
  <si>
    <t>29 TRENTON AVENUE</t>
  </si>
  <si>
    <t>KT029</t>
  </si>
  <si>
    <t>KT029b</t>
  </si>
  <si>
    <t>KTWD15</t>
  </si>
  <si>
    <t>WD15 CENT VL LOOP</t>
  </si>
  <si>
    <t>KTWD22</t>
  </si>
  <si>
    <t>WD22 WOODMERE</t>
  </si>
  <si>
    <t>KTWD23</t>
  </si>
  <si>
    <t>WD23 KINGSTON</t>
  </si>
  <si>
    <t>KTWD25</t>
  </si>
  <si>
    <t>WD25 SUQUAMISH</t>
  </si>
  <si>
    <t>PT406a</t>
  </si>
  <si>
    <t>406 BUCKLEY</t>
  </si>
  <si>
    <t>PT406</t>
  </si>
  <si>
    <t>PT406b</t>
  </si>
  <si>
    <t>ET003b</t>
  </si>
  <si>
    <t>ET008a</t>
  </si>
  <si>
    <t>ET008</t>
  </si>
  <si>
    <t>ET008b</t>
  </si>
  <si>
    <t>MK113a</t>
  </si>
  <si>
    <t>MK116a</t>
  </si>
  <si>
    <t>MK118c</t>
  </si>
  <si>
    <t>MK119b</t>
  </si>
  <si>
    <t>MK120a</t>
  </si>
  <si>
    <t>MK120b</t>
  </si>
  <si>
    <t>MK120c</t>
  </si>
  <si>
    <t>MK121b</t>
  </si>
  <si>
    <t>MK121c</t>
  </si>
  <si>
    <t>MK121d</t>
  </si>
  <si>
    <t>MK122a</t>
  </si>
  <si>
    <t>MK122b</t>
  </si>
  <si>
    <t>MK125a</t>
  </si>
  <si>
    <t>MK125b</t>
  </si>
  <si>
    <t>MK125c</t>
  </si>
  <si>
    <t>MK125d</t>
  </si>
  <si>
    <t>MK125e</t>
  </si>
  <si>
    <t>MK132d</t>
  </si>
  <si>
    <t>MK021a</t>
  </si>
  <si>
    <t>MK021b</t>
  </si>
  <si>
    <t>MK021c</t>
  </si>
  <si>
    <t>MK022a</t>
  </si>
  <si>
    <t>MK022b</t>
  </si>
  <si>
    <t>MK037a</t>
  </si>
  <si>
    <t>MK054a</t>
  </si>
  <si>
    <t>MK054b</t>
  </si>
  <si>
    <t>MK054c</t>
  </si>
  <si>
    <t>MK054d</t>
  </si>
  <si>
    <t>MK054e</t>
  </si>
  <si>
    <t>MK054f</t>
  </si>
  <si>
    <t>MK054g</t>
  </si>
  <si>
    <t>MK054h</t>
  </si>
  <si>
    <t>MK055a</t>
  </si>
  <si>
    <t>MK055b</t>
  </si>
  <si>
    <t>MK055c</t>
  </si>
  <si>
    <t>MK056a</t>
  </si>
  <si>
    <t>MK056b</t>
  </si>
  <si>
    <t>MK056c</t>
  </si>
  <si>
    <t>MK057a</t>
  </si>
  <si>
    <t>MK057b</t>
  </si>
  <si>
    <t>KT036a</t>
  </si>
  <si>
    <t>36 RIDGETOP SHTTL</t>
  </si>
  <si>
    <t>KT036</t>
  </si>
  <si>
    <t>KTWD17</t>
  </si>
  <si>
    <t>WD17 FOSTERWOOD</t>
  </si>
  <si>
    <t>KT037a</t>
  </si>
  <si>
    <t>37 FAIRGRNDS SHTL</t>
  </si>
  <si>
    <t>KT037</t>
  </si>
  <si>
    <t>MK230c</t>
  </si>
  <si>
    <t>MK230d</t>
  </si>
  <si>
    <t>MK238b</t>
  </si>
  <si>
    <t>MK236b</t>
  </si>
  <si>
    <t>ET070b</t>
  </si>
  <si>
    <t>ET070</t>
  </si>
  <si>
    <t>MK132c</t>
  </si>
  <si>
    <t>MK131c</t>
  </si>
  <si>
    <t>MK121a</t>
  </si>
  <si>
    <t>MK180a</t>
  </si>
  <si>
    <t>MK180b</t>
  </si>
  <si>
    <t>MK180c</t>
  </si>
  <si>
    <t>MK232a</t>
  </si>
  <si>
    <t>MK232</t>
  </si>
  <si>
    <t>MK232b</t>
  </si>
  <si>
    <t>MK232c</t>
  </si>
  <si>
    <t>MK250a</t>
  </si>
  <si>
    <t>MK250</t>
  </si>
  <si>
    <t>MK252a</t>
  </si>
  <si>
    <t>MK252</t>
  </si>
  <si>
    <t>MK260a</t>
  </si>
  <si>
    <t>MK260</t>
  </si>
  <si>
    <t>MK266a</t>
  </si>
  <si>
    <t>MK266</t>
  </si>
  <si>
    <t>MK268a</t>
  </si>
  <si>
    <t>MK268</t>
  </si>
  <si>
    <t>MK277a</t>
  </si>
  <si>
    <t>MK277</t>
  </si>
  <si>
    <t>ST545e</t>
  </si>
  <si>
    <t>ST545</t>
  </si>
  <si>
    <t>ST545f</t>
  </si>
  <si>
    <t>CT424a</t>
  </si>
  <si>
    <t>Snohomish-Seattle</t>
  </si>
  <si>
    <t>CT424</t>
  </si>
  <si>
    <t>MK273a</t>
  </si>
  <si>
    <t>MK273</t>
  </si>
  <si>
    <t>ST535b</t>
  </si>
  <si>
    <t>Lynwood-BellevueTC</t>
  </si>
  <si>
    <t>MK111a</t>
  </si>
  <si>
    <t>MK111b</t>
  </si>
  <si>
    <t>MK114a</t>
  </si>
  <si>
    <t>MK202a</t>
  </si>
  <si>
    <t>MK202b</t>
  </si>
  <si>
    <t>MK202c</t>
  </si>
  <si>
    <t>MK210a</t>
  </si>
  <si>
    <t>MK211a</t>
  </si>
  <si>
    <t>MK212a</t>
  </si>
  <si>
    <t>MK212b</t>
  </si>
  <si>
    <t>MK212c</t>
  </si>
  <si>
    <t>MK214a</t>
  </si>
  <si>
    <t>MK214</t>
  </si>
  <si>
    <t>MK215a</t>
  </si>
  <si>
    <t>MK215</t>
  </si>
  <si>
    <t>MK216a</t>
  </si>
  <si>
    <t>MK216</t>
  </si>
  <si>
    <t>MK217a</t>
  </si>
  <si>
    <t>MK217</t>
  </si>
  <si>
    <t>MK225a</t>
  </si>
  <si>
    <t>MK225</t>
  </si>
  <si>
    <t>MK225b</t>
  </si>
  <si>
    <t>MK229a</t>
  </si>
  <si>
    <t>MK229</t>
  </si>
  <si>
    <t>ST550b</t>
  </si>
  <si>
    <t>ST550</t>
  </si>
  <si>
    <t>ST550c</t>
  </si>
  <si>
    <t>ST550d</t>
  </si>
  <si>
    <t>ST550e</t>
  </si>
  <si>
    <t>ST554a</t>
  </si>
  <si>
    <t>ST554</t>
  </si>
  <si>
    <t>MK218a</t>
  </si>
  <si>
    <t>MK218</t>
  </si>
  <si>
    <t>ST554b</t>
  </si>
  <si>
    <t>CT821a</t>
  </si>
  <si>
    <t>Marysville-UDistrict</t>
  </si>
  <si>
    <t>CT821</t>
  </si>
  <si>
    <t>CT701a</t>
  </si>
  <si>
    <t>Swift-Aurora-Everett</t>
  </si>
  <si>
    <t>CT701</t>
  </si>
  <si>
    <t>CT701b</t>
  </si>
  <si>
    <t>Swift-Everett-Aurora</t>
  </si>
  <si>
    <t>ST532a</t>
  </si>
  <si>
    <t>BellevueTC-EverettS*</t>
  </si>
  <si>
    <t>ST532</t>
  </si>
  <si>
    <t>ST513b</t>
  </si>
  <si>
    <t>Everett-Seattle</t>
  </si>
  <si>
    <t>ST513</t>
  </si>
  <si>
    <t>ST510c</t>
  </si>
  <si>
    <t>ST510</t>
  </si>
  <si>
    <t>CT425a</t>
  </si>
  <si>
    <t>LakeStevens-Seattle</t>
  </si>
  <si>
    <t>CT425</t>
  </si>
  <si>
    <t>CT422a</t>
  </si>
  <si>
    <t>Stanwood-Seattle</t>
  </si>
  <si>
    <t>CT422</t>
  </si>
  <si>
    <t>CT421b</t>
  </si>
  <si>
    <t>Marysville-Seattle</t>
  </si>
  <si>
    <t>CT421</t>
  </si>
  <si>
    <t>CT202a</t>
  </si>
  <si>
    <t>LynwoodTC-SmokeyPoi*</t>
  </si>
  <si>
    <t>CT202</t>
  </si>
  <si>
    <t>CT202b</t>
  </si>
  <si>
    <t>SmokeyPoint-Lynwood*</t>
  </si>
  <si>
    <t>CT201a</t>
  </si>
  <si>
    <t>CT201</t>
  </si>
  <si>
    <t>CT201b</t>
  </si>
  <si>
    <t>CT200b</t>
  </si>
  <si>
    <t>CT200</t>
  </si>
  <si>
    <t>ET017a</t>
  </si>
  <si>
    <t>ET017</t>
  </si>
  <si>
    <t>ET017b</t>
  </si>
  <si>
    <t>ET029a</t>
  </si>
  <si>
    <t>ET029</t>
  </si>
  <si>
    <t>ET029b</t>
  </si>
  <si>
    <t>MK133a</t>
  </si>
  <si>
    <t>MK197a</t>
  </si>
  <si>
    <t>MK205a</t>
  </si>
  <si>
    <t>MK205b</t>
  </si>
  <si>
    <t>MK242a</t>
  </si>
  <si>
    <t>MK242</t>
  </si>
  <si>
    <t>MK025c</t>
  </si>
  <si>
    <t>MK255a</t>
  </si>
  <si>
    <t>MK256a</t>
  </si>
  <si>
    <t>MK256</t>
  </si>
  <si>
    <t>MK257a</t>
  </si>
  <si>
    <t>MK257</t>
  </si>
  <si>
    <t>MK301a</t>
  </si>
  <si>
    <t>MK301</t>
  </si>
  <si>
    <t>MK301b</t>
  </si>
  <si>
    <t>MK301c</t>
  </si>
  <si>
    <t>MK301d</t>
  </si>
  <si>
    <t>MK303a</t>
  </si>
  <si>
    <t>MK303</t>
  </si>
  <si>
    <t>MK304a</t>
  </si>
  <si>
    <t>MK304</t>
  </si>
  <si>
    <t>MK306a</t>
  </si>
  <si>
    <t>MK306</t>
  </si>
  <si>
    <t>MK308a</t>
  </si>
  <si>
    <t>MK308</t>
  </si>
  <si>
    <t>MK311a</t>
  </si>
  <si>
    <t>MK311</t>
  </si>
  <si>
    <t>MK311b</t>
  </si>
  <si>
    <t>MK312a</t>
  </si>
  <si>
    <t>MK312</t>
  </si>
  <si>
    <t>MK312b</t>
  </si>
  <si>
    <t>MK355a</t>
  </si>
  <si>
    <t>MK355</t>
  </si>
  <si>
    <t>MK355b</t>
  </si>
  <si>
    <t>ST522b</t>
  </si>
  <si>
    <t>ST522</t>
  </si>
  <si>
    <t>ST522c</t>
  </si>
  <si>
    <t>ST545a</t>
  </si>
  <si>
    <t>ST545b</t>
  </si>
  <si>
    <t>ST545c</t>
  </si>
  <si>
    <t>ST545d</t>
  </si>
  <si>
    <t>MK071a</t>
  </si>
  <si>
    <t>MK071c</t>
  </si>
  <si>
    <t>MK072b</t>
  </si>
  <si>
    <t>MK072c</t>
  </si>
  <si>
    <t>MK073b</t>
  </si>
  <si>
    <t>MK073e</t>
  </si>
  <si>
    <t>MK077a</t>
  </si>
  <si>
    <t>MK987a</t>
  </si>
  <si>
    <t>MK987</t>
  </si>
  <si>
    <t>MK988a</t>
  </si>
  <si>
    <t>MK988</t>
  </si>
  <si>
    <t>MK049a</t>
  </si>
  <si>
    <t>MK049b</t>
  </si>
  <si>
    <t>MK049c</t>
  </si>
  <si>
    <t>MK049d</t>
  </si>
  <si>
    <t>MK049e</t>
  </si>
  <si>
    <t>ST511a</t>
  </si>
  <si>
    <t>Seattle-AshWayP&amp;R</t>
  </si>
  <si>
    <t>ST511</t>
  </si>
  <si>
    <t>ST511c</t>
  </si>
  <si>
    <t>AshWayP&amp;R-Seattle</t>
  </si>
  <si>
    <t>ST511d</t>
  </si>
  <si>
    <t>ST510a</t>
  </si>
  <si>
    <t>Seattle-Everett</t>
  </si>
  <si>
    <t>CT477a</t>
  </si>
  <si>
    <t>Brier-Seattle</t>
  </si>
  <si>
    <t>CT477</t>
  </si>
  <si>
    <t>CT435a</t>
  </si>
  <si>
    <t>MaysPond-Seattle</t>
  </si>
  <si>
    <t>CT435</t>
  </si>
  <si>
    <t>CT417a</t>
  </si>
  <si>
    <t>Mukilteo-Seattle</t>
  </si>
  <si>
    <t>CT417</t>
  </si>
  <si>
    <t>CT416a</t>
  </si>
  <si>
    <t>Edmonds-Seattle</t>
  </si>
  <si>
    <t>CT416</t>
  </si>
  <si>
    <t>CT415a</t>
  </si>
  <si>
    <t>LincolnWay-Seattle</t>
  </si>
  <si>
    <t>CT415</t>
  </si>
  <si>
    <t>CT414c</t>
  </si>
  <si>
    <t>McCollumP&amp;R-Seattle</t>
  </si>
  <si>
    <t>CT414</t>
  </si>
  <si>
    <t>CT413a</t>
  </si>
  <si>
    <t>SwampCreek-Seattle</t>
  </si>
  <si>
    <t>CT413</t>
  </si>
  <si>
    <t>CT412a</t>
  </si>
  <si>
    <t>SilverFirs-Seattle</t>
  </si>
  <si>
    <t>CT412</t>
  </si>
  <si>
    <t>CT411a</t>
  </si>
  <si>
    <t>SR99-MareinerP&amp;R-SR*</t>
  </si>
  <si>
    <t>CT411</t>
  </si>
  <si>
    <t>CT410a</t>
  </si>
  <si>
    <t>SR99-MarinerP&amp;R-Sea*</t>
  </si>
  <si>
    <t>CT410</t>
  </si>
  <si>
    <t>CT408b</t>
  </si>
  <si>
    <t>MountlakeTerrace-Se*</t>
  </si>
  <si>
    <t>CT408</t>
  </si>
  <si>
    <t>CT406b</t>
  </si>
  <si>
    <t>Seaview-Seattle</t>
  </si>
  <si>
    <t>CT406</t>
  </si>
  <si>
    <t>CT402b</t>
  </si>
  <si>
    <t>Lynwood-Seattle</t>
  </si>
  <si>
    <t>CT402</t>
  </si>
  <si>
    <t>CT401b</t>
  </si>
  <si>
    <t>CT401</t>
  </si>
  <si>
    <t>CT404a</t>
  </si>
  <si>
    <t>CT404</t>
  </si>
  <si>
    <t>ST586a</t>
  </si>
  <si>
    <t>586 Tacoma-UDistrict</t>
  </si>
  <si>
    <t>ST586</t>
  </si>
  <si>
    <t>MK041c</t>
  </si>
  <si>
    <t>MK073a</t>
  </si>
  <si>
    <t>MK073f</t>
  </si>
  <si>
    <t>MK301e</t>
  </si>
  <si>
    <t>ST522a</t>
  </si>
  <si>
    <t>MK661a</t>
  </si>
  <si>
    <t>MK661</t>
  </si>
  <si>
    <t>MK167a</t>
  </si>
  <si>
    <t>MK222a</t>
  </si>
  <si>
    <t>MK222</t>
  </si>
  <si>
    <t>MK222b</t>
  </si>
  <si>
    <t>MK230a</t>
  </si>
  <si>
    <t>MK230b</t>
  </si>
  <si>
    <t>MK233a</t>
  </si>
  <si>
    <t>MK233</t>
  </si>
  <si>
    <t>MK233b</t>
  </si>
  <si>
    <t>MK240a</t>
  </si>
  <si>
    <t>MK240</t>
  </si>
  <si>
    <t>MK240b</t>
  </si>
  <si>
    <t>MK240c</t>
  </si>
  <si>
    <t>MK240d</t>
  </si>
  <si>
    <t>MK249a</t>
  </si>
  <si>
    <t>MK249</t>
  </si>
  <si>
    <t>MK249b</t>
  </si>
  <si>
    <t>MK249c</t>
  </si>
  <si>
    <t>MK249d</t>
  </si>
  <si>
    <t>MK249e</t>
  </si>
  <si>
    <t>MK253a</t>
  </si>
  <si>
    <t>MK253</t>
  </si>
  <si>
    <t>MK253b</t>
  </si>
  <si>
    <t>MK253c</t>
  </si>
  <si>
    <t>MK253d</t>
  </si>
  <si>
    <t>MK253e</t>
  </si>
  <si>
    <t>MK261a</t>
  </si>
  <si>
    <t>MK261</t>
  </si>
  <si>
    <t>MK271a</t>
  </si>
  <si>
    <t>MK271</t>
  </si>
  <si>
    <t>MK271b</t>
  </si>
  <si>
    <t>MK271c</t>
  </si>
  <si>
    <t>MK271d</t>
  </si>
  <si>
    <t>MK272a</t>
  </si>
  <si>
    <t>MK272</t>
  </si>
  <si>
    <t>ST555a</t>
  </si>
  <si>
    <t>ST555</t>
  </si>
  <si>
    <t>ST555b</t>
  </si>
  <si>
    <t>ST560c</t>
  </si>
  <si>
    <t>ST560</t>
  </si>
  <si>
    <t>ST560d</t>
  </si>
  <si>
    <t>ST560e</t>
  </si>
  <si>
    <t>MK885a</t>
  </si>
  <si>
    <t>MK885</t>
  </si>
  <si>
    <t>MK921a</t>
  </si>
  <si>
    <t>MK921</t>
  </si>
  <si>
    <t>MK921b</t>
  </si>
  <si>
    <t>MK989a</t>
  </si>
  <si>
    <t>MK989</t>
  </si>
  <si>
    <t>ST556a</t>
  </si>
  <si>
    <t>ST556</t>
  </si>
  <si>
    <t>ST556b</t>
  </si>
  <si>
    <t>ST566f</t>
  </si>
  <si>
    <t>ST566</t>
  </si>
  <si>
    <t>ST550a</t>
  </si>
  <si>
    <t>ST560a</t>
  </si>
  <si>
    <t>ST560b</t>
  </si>
  <si>
    <t>ST566a</t>
  </si>
  <si>
    <t>ST566b</t>
  </si>
  <si>
    <t>ST566c</t>
  </si>
  <si>
    <t>ST566d</t>
  </si>
  <si>
    <t>ST566e</t>
  </si>
  <si>
    <t>MK342a</t>
  </si>
  <si>
    <t>MK342</t>
  </si>
  <si>
    <t>MK889a</t>
  </si>
  <si>
    <t>MK889</t>
  </si>
  <si>
    <t>MK060a</t>
  </si>
  <si>
    <t>MK060b</t>
  </si>
  <si>
    <t>MK008a</t>
  </si>
  <si>
    <t>MK008b</t>
  </si>
  <si>
    <t>MK009a</t>
  </si>
  <si>
    <t>MK009b</t>
  </si>
  <si>
    <t>MK243a</t>
  </si>
  <si>
    <t>MK243</t>
  </si>
  <si>
    <t>MK982a</t>
  </si>
  <si>
    <t>MK982</t>
  </si>
  <si>
    <t>MK986a</t>
  </si>
  <si>
    <t>MK986</t>
  </si>
  <si>
    <t>PT207c</t>
  </si>
  <si>
    <t>MK935b</t>
  </si>
  <si>
    <t>ST540c</t>
  </si>
  <si>
    <t>MK927c</t>
  </si>
  <si>
    <t>CT112a</t>
  </si>
  <si>
    <t>EdmondsCC-Mountlake*</t>
  </si>
  <si>
    <t>MK886b</t>
  </si>
  <si>
    <t>Difference</t>
  </si>
  <si>
    <t>MK213</t>
  </si>
  <si>
    <t>213 Mercer I PnR Coven</t>
  </si>
  <si>
    <t>214 NBND-ISS-SCBD</t>
  </si>
  <si>
    <t>215 N Bend to Iss</t>
  </si>
  <si>
    <t>216 SAMMSH-SEACBD</t>
  </si>
  <si>
    <t>217 N IS-EGT-SCBD</t>
  </si>
  <si>
    <t>218 ISS HLND-SCBD</t>
  </si>
  <si>
    <t>219 FACT-NEWCS CW</t>
  </si>
  <si>
    <t>221 Ed Hill-Xroad</t>
  </si>
  <si>
    <t>222 OVRL-EGT-BELV</t>
  </si>
  <si>
    <t>225 OVLK-EGT-SCBD</t>
  </si>
  <si>
    <t>229 OVLK-EGT-SCBD</t>
  </si>
  <si>
    <t>230 KNGSG-BTC-RED</t>
  </si>
  <si>
    <t>232 DUVLL-RED-BEL</t>
  </si>
  <si>
    <t>233 AVNDL-OVLK-BL</t>
  </si>
  <si>
    <t>234 KENMR-KRK-BEL</t>
  </si>
  <si>
    <t>236 WOOD-KNGT-KRK</t>
  </si>
  <si>
    <t>MK237</t>
  </si>
  <si>
    <t>237 Woodvil - BellTC</t>
  </si>
  <si>
    <t>238 BTHL-KNGT-KRK</t>
  </si>
  <si>
    <t>240 BEL-NEWC-RENT</t>
  </si>
  <si>
    <t>242 NRTHCTY-OVRLK</t>
  </si>
  <si>
    <t>243 JC PK-LKC-BEL</t>
  </si>
  <si>
    <t>244 Kenmore P&amp;R t</t>
  </si>
  <si>
    <t>245 KRK-OVRLK-FCT</t>
  </si>
  <si>
    <t>247 OVRLK-RNT-KNT</t>
  </si>
  <si>
    <t>248 Avondl-Redmnd</t>
  </si>
  <si>
    <t>249 BEL-OVRLK-RDM</t>
  </si>
  <si>
    <t>250 RED-OVLK-SCBD</t>
  </si>
  <si>
    <t>251 UW BTH-RD-KRK</t>
  </si>
  <si>
    <t>252 KINGSGTE-SCBD</t>
  </si>
  <si>
    <t>253 RED-OVRLK-BEL</t>
  </si>
  <si>
    <t>255 JNTA-KRK-SCBD</t>
  </si>
  <si>
    <t>256 OVERLK-SEACBD</t>
  </si>
  <si>
    <t>257 BRICKYRD-SCBD</t>
  </si>
  <si>
    <t>260 JUANTA-SEACBD</t>
  </si>
  <si>
    <t>261 OVLK-BTC-SCBD</t>
  </si>
  <si>
    <t>265 RED-HGHT-SCBD</t>
  </si>
  <si>
    <t>266 REDMND-SEACBD</t>
  </si>
  <si>
    <t xml:space="preserve">268 REDMN-SEACBD </t>
  </si>
  <si>
    <t>269 OVLK-SAHL-ISS</t>
  </si>
  <si>
    <t>271 ISSQH-BELV-UW</t>
  </si>
  <si>
    <t>272 EGT-CRSRDS-UW</t>
  </si>
  <si>
    <t>277 JUANITA-UW WB</t>
  </si>
  <si>
    <t>301 RICH BCH-SCBD</t>
  </si>
  <si>
    <t>303 AUR VL-1ST HL</t>
  </si>
  <si>
    <t>304 RICH BCH-SCBD</t>
  </si>
  <si>
    <t>306 KENMOR-SEACBD</t>
  </si>
  <si>
    <t>308 LKFOR PK-SCBD</t>
  </si>
  <si>
    <t>311 DUV-WDNV-SCBD</t>
  </si>
  <si>
    <t>312 UW BTH-SEACBD</t>
  </si>
  <si>
    <t>316 Meridian PK SCBD</t>
  </si>
  <si>
    <t>330 SHRL CC-LKCTY</t>
  </si>
  <si>
    <t>331 KENMOR-SHR CC</t>
  </si>
  <si>
    <t>342 ShorlnPnR RentonTC</t>
  </si>
  <si>
    <t>345 SHRL CC-NGATE</t>
  </si>
  <si>
    <t>346 AUR VIL-NGATE</t>
  </si>
  <si>
    <t>347 MTLK TER-NGTE</t>
  </si>
  <si>
    <t>348 RICH BCH-NGTE</t>
  </si>
  <si>
    <t>355 ShrlnCC-SCBD</t>
  </si>
  <si>
    <t>358 AUR VL-SEACBD</t>
  </si>
  <si>
    <t>372 WDNVL-BTHL-UW</t>
  </si>
  <si>
    <t>373 AURVL-15TH-UW</t>
  </si>
  <si>
    <t>600 SCBD-GR HLT R</t>
  </si>
  <si>
    <t>661 ROYAL BROUGH-</t>
  </si>
  <si>
    <t>915 AUBRN-ENUMCLW</t>
  </si>
  <si>
    <t>921 BELV-SOMERSET</t>
  </si>
  <si>
    <t>941 STR LK-1ST HL</t>
  </si>
  <si>
    <t>MK952</t>
  </si>
  <si>
    <t>952 Auburn-KnyDale-Ev</t>
  </si>
  <si>
    <t>52 TCC-TCOMA MALL</t>
  </si>
  <si>
    <t>55 Tacoma Mall-Pa</t>
  </si>
  <si>
    <t>60  Port of Tacom</t>
  </si>
  <si>
    <t>61 Northeast Taco</t>
  </si>
  <si>
    <t>204 Lakewood-Park</t>
  </si>
  <si>
    <t>206 Pacific Hwy-T</t>
  </si>
  <si>
    <t>407 Bonney Lake-P</t>
  </si>
  <si>
    <t>408 Sumner to Bon</t>
  </si>
  <si>
    <t>409 Puyallup-Sumn</t>
  </si>
  <si>
    <t>444  Parkland-Spa</t>
  </si>
  <si>
    <t>PT446</t>
  </si>
  <si>
    <t xml:space="preserve">446 Canyon Rd Shill  </t>
  </si>
  <si>
    <t>490 South Hill-Ta</t>
  </si>
  <si>
    <t>496 Sumner Sounde</t>
  </si>
  <si>
    <t>497 Lakeland Hill</t>
  </si>
  <si>
    <t>501 Milton-Federa</t>
  </si>
  <si>
    <t>101 MAR PR-AUR VL</t>
  </si>
  <si>
    <t>105 Bothell-Marin</t>
  </si>
  <si>
    <t>106 Bothell-Marin</t>
  </si>
  <si>
    <t>110 LYNWD TC-EDMD</t>
  </si>
  <si>
    <t>112 EDM CC-MKLTEO</t>
  </si>
  <si>
    <t>113 LynwdTC-Mukil</t>
  </si>
  <si>
    <t>115 EDMDS-MILL CK</t>
  </si>
  <si>
    <t>116 EDM-ECC-SL FR</t>
  </si>
  <si>
    <t>118 AUR VL-ASH WY</t>
  </si>
  <si>
    <t>119 LYN TC-MEDWDL</t>
  </si>
  <si>
    <t>120 Bothell-Lynwo</t>
  </si>
  <si>
    <t>121 LYN TC-UW BTH</t>
  </si>
  <si>
    <t>130 LYN TC-AUR VL</t>
  </si>
  <si>
    <t>131 EDM CC-AUR VL</t>
  </si>
  <si>
    <t>190 MUKLTO-EDM CC</t>
  </si>
  <si>
    <t>200 ARLNGTN-EV ST</t>
  </si>
  <si>
    <t>201 SMK PT-LYN TC</t>
  </si>
  <si>
    <t>202 ARLNGTN-EV ST</t>
  </si>
  <si>
    <t>CT207</t>
  </si>
  <si>
    <t>207 Smokey Rt Mysvil-Boe</t>
  </si>
  <si>
    <t>221 QL CDA-LK STV</t>
  </si>
  <si>
    <t>222 TulalipBay-Ma</t>
  </si>
  <si>
    <t>CT227</t>
  </si>
  <si>
    <t>227 Arlington-Mville</t>
  </si>
  <si>
    <t>230 DRNGTN-SMK PT</t>
  </si>
  <si>
    <t>240 STNWD-ARLNGTN</t>
  </si>
  <si>
    <t>CT247</t>
  </si>
  <si>
    <t>247 Stanwd-Marysville</t>
  </si>
  <si>
    <t>270 EVRT-GOLD BAR</t>
  </si>
  <si>
    <t>CT271</t>
  </si>
  <si>
    <t>271 Everett-Gold Bar</t>
  </si>
  <si>
    <t xml:space="preserve">275 MONR-EVT STN </t>
  </si>
  <si>
    <t>CT277</t>
  </si>
  <si>
    <t>277 Gold Bar-Everett</t>
  </si>
  <si>
    <t>280 GRAN FLLS-EVT</t>
  </si>
  <si>
    <t>401 Lynwood-Seatt</t>
  </si>
  <si>
    <t>402 Lynwood-Seatt</t>
  </si>
  <si>
    <t>404 Edmonds-Seatt</t>
  </si>
  <si>
    <t>CT405</t>
  </si>
  <si>
    <t>405 EdmondsPnR SCBD</t>
  </si>
  <si>
    <t xml:space="preserve">406 SEAVIEW-SCBD </t>
  </si>
  <si>
    <t>408 MTLK TER-SCBD</t>
  </si>
  <si>
    <t>410 MARNR PR-SCBD</t>
  </si>
  <si>
    <t>411 S EVERTT-SCBD</t>
  </si>
  <si>
    <t>412 SLVR FRS-SCBD</t>
  </si>
  <si>
    <t>413 Ashway PnR SCBD</t>
  </si>
  <si>
    <t>414 McCollumP&amp;R-S</t>
  </si>
  <si>
    <t xml:space="preserve"> 415 LincolnWay-S</t>
  </si>
  <si>
    <t>416 Edmonds-Seatt</t>
  </si>
  <si>
    <t>417 MKLTEO-SEACBD</t>
  </si>
  <si>
    <t>421 Marysville-Se</t>
  </si>
  <si>
    <t>422 Stanwood-SCBD</t>
  </si>
  <si>
    <t>424 SNOH-MNR-SCBD</t>
  </si>
  <si>
    <t>425 LkStevens-Sea</t>
  </si>
  <si>
    <t>435 MaysPond-Seat</t>
  </si>
  <si>
    <t>441 EdmDsP&amp;R-Ovrl</t>
  </si>
  <si>
    <t>477 Brier-Seattle</t>
  </si>
  <si>
    <t>701 Swift-Aurora-Everett#N/A</t>
  </si>
  <si>
    <t>CT810</t>
  </si>
  <si>
    <t>810 McCollum PnR Udist</t>
  </si>
  <si>
    <t>812 McCollum PnR Udist</t>
  </si>
  <si>
    <t>821 Marysville-UD</t>
  </si>
  <si>
    <t>851 EdmdsP&amp;R-Udis</t>
  </si>
  <si>
    <t>855 LYNWOOD TC-UW</t>
  </si>
  <si>
    <t>860 MARINER PR-UW</t>
  </si>
  <si>
    <t>870 EDMONDS-UW SB</t>
  </si>
  <si>
    <t>871 EDM-MTLKTR-UW</t>
  </si>
  <si>
    <t>880 MUKILTEO-UW S</t>
  </si>
  <si>
    <t>CT885</t>
  </si>
  <si>
    <t>885 Swamp Ck Udist</t>
  </si>
  <si>
    <t>8 TREMONT NB</t>
  </si>
  <si>
    <t>19 SouthPark</t>
  </si>
  <si>
    <t>11 Crosstown LTD</t>
  </si>
  <si>
    <t>32Pouls-Silverdal</t>
  </si>
  <si>
    <t>KT043</t>
  </si>
  <si>
    <t>43 Viking Ave</t>
  </si>
  <si>
    <t>81 ANNAPOLIS CMTR</t>
  </si>
  <si>
    <t>KT600</t>
  </si>
  <si>
    <t>WD200 Bethel Burley</t>
  </si>
  <si>
    <t>KT601</t>
  </si>
  <si>
    <t>KT602</t>
  </si>
  <si>
    <t>KT603</t>
  </si>
  <si>
    <t>KT604</t>
  </si>
  <si>
    <t>KT605</t>
  </si>
  <si>
    <t>KT606</t>
  </si>
  <si>
    <t>KT607</t>
  </si>
  <si>
    <t>KT608</t>
  </si>
  <si>
    <t>KT609</t>
  </si>
  <si>
    <t>KT610</t>
  </si>
  <si>
    <t>KT611</t>
  </si>
  <si>
    <t>KT612</t>
  </si>
  <si>
    <t>KT613</t>
  </si>
  <si>
    <t>KT614</t>
  </si>
  <si>
    <t>KT615</t>
  </si>
  <si>
    <t>KT616</t>
  </si>
  <si>
    <t>KT617</t>
  </si>
  <si>
    <t>KT618</t>
  </si>
  <si>
    <t>KT619</t>
  </si>
  <si>
    <t>KT620</t>
  </si>
  <si>
    <t>KT621</t>
  </si>
  <si>
    <t>KT622</t>
  </si>
  <si>
    <t>KT623</t>
  </si>
  <si>
    <t>KT624</t>
  </si>
  <si>
    <t>KT625</t>
  </si>
  <si>
    <t>KT627</t>
  </si>
  <si>
    <t>WD27 Port Orch-Bangor</t>
  </si>
  <si>
    <t>KT628</t>
  </si>
  <si>
    <t>WD 28 Olympic Fjord</t>
  </si>
  <si>
    <t>MK510</t>
  </si>
  <si>
    <t>510 Everett-Seatt</t>
  </si>
  <si>
    <t>MK511</t>
  </si>
  <si>
    <t>511 ASH WY-SEACBD</t>
  </si>
  <si>
    <t>MK513</t>
  </si>
  <si>
    <t>513 Everett-SCBD</t>
  </si>
  <si>
    <t>MK522</t>
  </si>
  <si>
    <t>522 WOODNV-SEACBD</t>
  </si>
  <si>
    <t>MK532</t>
  </si>
  <si>
    <t>532 BELVUE-EVERTT</t>
  </si>
  <si>
    <t>MK535</t>
  </si>
  <si>
    <t>535 BELV-LYNNWOOD</t>
  </si>
  <si>
    <t>MK540</t>
  </si>
  <si>
    <t>540 REDMOND-UW WB</t>
  </si>
  <si>
    <t>MK545</t>
  </si>
  <si>
    <t>545 RED-SCBD-HLGT</t>
  </si>
  <si>
    <t>MK550</t>
  </si>
  <si>
    <t>550 BELLVU-SEACBD</t>
  </si>
  <si>
    <t>MK554</t>
  </si>
  <si>
    <t>554 ISSAQ-SEA CBD</t>
  </si>
  <si>
    <t>MK555</t>
  </si>
  <si>
    <t>555 ISSAQ-BTC-NGT</t>
  </si>
  <si>
    <t>MK556</t>
  </si>
  <si>
    <t>556 ISSAQ-BTC-NGT</t>
  </si>
  <si>
    <t>MK560</t>
  </si>
  <si>
    <t>560 BEL-STAC-WSEA</t>
  </si>
  <si>
    <t>MK566</t>
  </si>
  <si>
    <t>566 ISSAQ-NGATE E</t>
  </si>
  <si>
    <t>PT574</t>
  </si>
  <si>
    <t>574 Lakewood-Seat</t>
  </si>
  <si>
    <t>MK577</t>
  </si>
  <si>
    <t>577 FED WY-SEACBD</t>
  </si>
  <si>
    <t>PT578</t>
  </si>
  <si>
    <t>578 Seattle-Puyal</t>
  </si>
  <si>
    <t>586 Tacoma-UDistr</t>
  </si>
  <si>
    <t>590 Tacoma-Seattl</t>
  </si>
  <si>
    <t>592 Tacoma-Seattl</t>
  </si>
  <si>
    <t>593 Tacoma-SCBD</t>
  </si>
  <si>
    <t>594 Lakewood-Seat</t>
  </si>
  <si>
    <t>595 GigHarbor-Sea</t>
  </si>
  <si>
    <t>599 LAKEWD-TAC EX</t>
  </si>
  <si>
    <t>2 BOEING-WALNUT S</t>
  </si>
  <si>
    <t>3 W Casino Rd-Evr</t>
  </si>
  <si>
    <t>4 N Everett Circu</t>
  </si>
  <si>
    <t>5 Everett Circ SB</t>
  </si>
  <si>
    <t>7 EVERGRN-N COLBY</t>
  </si>
  <si>
    <t>8 MERRIL CK-EV ST</t>
  </si>
  <si>
    <t>9 AIRPORT RD-EVCC</t>
  </si>
  <si>
    <t>12 Mall Circl</t>
  </si>
  <si>
    <t>14 Mall Circl</t>
  </si>
  <si>
    <t>17 Mall Statn NB</t>
  </si>
  <si>
    <t>18 Mukilteo-Evert</t>
  </si>
  <si>
    <t>25 Everett Circl</t>
  </si>
  <si>
    <t>27 Murphys Conr-M</t>
  </si>
  <si>
    <t>29 Mall Sta - Col</t>
  </si>
  <si>
    <t>70 Mukilteo to Bo</t>
  </si>
  <si>
    <t>ET079</t>
  </si>
  <si>
    <t>79 Everett-Marysville</t>
  </si>
  <si>
    <t>701 Mall Station</t>
  </si>
  <si>
    <t>ET702</t>
  </si>
  <si>
    <t>702 Everett Station</t>
  </si>
  <si>
    <t>ST001</t>
  </si>
  <si>
    <t>CR Tacoma-Seattle S</t>
  </si>
  <si>
    <t>ST003</t>
  </si>
  <si>
    <t>CR Everett-Seattle N</t>
  </si>
  <si>
    <t>ST011</t>
  </si>
  <si>
    <t>LR Seattle-SeaTac</t>
  </si>
  <si>
    <t>ST010</t>
  </si>
  <si>
    <t>LR Tacoma</t>
  </si>
  <si>
    <t>SC001</t>
  </si>
  <si>
    <t>SC Monorail</t>
  </si>
  <si>
    <t>WF975</t>
  </si>
  <si>
    <t>Vashon FF</t>
  </si>
  <si>
    <t>KT501</t>
  </si>
  <si>
    <t>Ft Fer Brem-Pt Or</t>
  </si>
  <si>
    <t>KT502</t>
  </si>
  <si>
    <t>Ft Fer Brem-Annap</t>
  </si>
  <si>
    <t>WF001</t>
  </si>
  <si>
    <t>WSF Edmnds-Kngstn</t>
  </si>
  <si>
    <t>WF002</t>
  </si>
  <si>
    <t>WSF Fauntlr-Vashn</t>
  </si>
  <si>
    <t>WF003</t>
  </si>
  <si>
    <t>WSF Fauntlr-Swrth</t>
  </si>
  <si>
    <t>WF004</t>
  </si>
  <si>
    <t>WSF Pt Defi-Tahlq</t>
  </si>
  <si>
    <t>WF005</t>
  </si>
  <si>
    <t>WSF Sea-Bainb Is</t>
  </si>
  <si>
    <t>WF006</t>
  </si>
  <si>
    <t xml:space="preserve">WSF Sea-Bremerton </t>
  </si>
  <si>
    <t>WF007</t>
  </si>
  <si>
    <t>WF008</t>
  </si>
  <si>
    <t>WSF Vashn-Sthwrth</t>
  </si>
  <si>
    <t>Code</t>
  </si>
  <si>
    <t>MK</t>
  </si>
  <si>
    <t>PT</t>
  </si>
  <si>
    <t>CT</t>
  </si>
  <si>
    <t>KT</t>
  </si>
  <si>
    <t>ET</t>
  </si>
  <si>
    <t>ST</t>
  </si>
  <si>
    <t>LR</t>
  </si>
  <si>
    <t>SC</t>
  </si>
  <si>
    <t>Lookup Code</t>
  </si>
  <si>
    <t>id_check</t>
  </si>
  <si>
    <t>Error?</t>
  </si>
  <si>
    <t>(Checks that all IDs are the same across time periods. Reports any inconsistency.)</t>
  </si>
  <si>
    <t xml:space="preserve">Soundcast transit boardings by line, for AM and MD time periods. </t>
  </si>
  <si>
    <t>File Name</t>
  </si>
  <si>
    <t>Transit_Summary.xlsm</t>
  </si>
  <si>
    <t>6to7_transit.csv</t>
  </si>
  <si>
    <t>7to8_transit.csv</t>
  </si>
  <si>
    <t>8to9_transit.csv</t>
  </si>
  <si>
    <t>Macro requires 3 files to be saved within the same directory as this spreadsheet:</t>
  </si>
  <si>
    <t>Contents and Functions</t>
  </si>
  <si>
    <t xml:space="preserve">This macro imports transit boarding times from Emme outputs. Currently only AM time periods are imported. </t>
  </si>
  <si>
    <t>Macros</t>
  </si>
  <si>
    <t>Errors</t>
  </si>
  <si>
    <t>701 Swift-Aurora-Everett</t>
  </si>
  <si>
    <t>9to10_board</t>
  </si>
  <si>
    <t>9to10_time</t>
  </si>
  <si>
    <t>10to14_board</t>
  </si>
  <si>
    <t>10to14_time</t>
  </si>
  <si>
    <t>14to15_board</t>
  </si>
  <si>
    <t>14to15_time</t>
  </si>
  <si>
    <t>sum _MD</t>
  </si>
  <si>
    <t>MD_Boardings</t>
  </si>
  <si>
    <t>emmeid</t>
  </si>
  <si>
    <t>mode</t>
  </si>
  <si>
    <t>Rlcod</t>
  </si>
  <si>
    <t>MK912</t>
  </si>
  <si>
    <t>MK914</t>
  </si>
  <si>
    <t>MK916</t>
  </si>
  <si>
    <t>CD202</t>
  </si>
  <si>
    <t>CT114</t>
  </si>
  <si>
    <t>KT051</t>
  </si>
  <si>
    <t>CR</t>
  </si>
  <si>
    <t>Observed</t>
  </si>
  <si>
    <t>Type</t>
  </si>
  <si>
    <t>Model</t>
  </si>
  <si>
    <t>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</si>
</sst>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4" x14ac:knownFonts="1">
    <font>
      <sz val="11"/>
      <color theme="1"/>
      <name val="Calibri"/>
      <family val="2"/>
      <scheme val="minor"/>
    </font>
    <font>
      <sz val="1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9" fontId="3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0" applyFont="1"/>
    <xf numFmtId="1" fontId="1" fillId="0" borderId="0" xfId="0" applyNumberFormat="1" applyFont="1"/>
    <xf numFmtId="3" fontId="1" fillId="0" borderId="0" xfId="0" applyNumberFormat="1" applyFont="1"/>
    <xf numFmtId="164" fontId="1" fillId="0" borderId="0" xfId="0" applyNumberFormat="1" applyFon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20" fillId="0" borderId="10" xfId="0" applyFont="1" applyFill="1" applyBorder="1" applyAlignment="1">
      <alignment horizontal="center" wrapText="1"/>
    </xf>
    <xf numFmtId="0" fontId="0" fillId="0" borderId="15" xfId="0" applyBorder="1"/>
    <xf numFmtId="0" fontId="1" fillId="0" borderId="15" xfId="0" applyFont="1" applyBorder="1"/>
    <xf numFmtId="0" fontId="2" fillId="2" borderId="0" xfId="0" applyFont="1" applyFill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14" xfId="0" applyBorder="1"/>
    <xf numFmtId="0" fontId="0" fillId="0" borderId="21" xfId="0" applyBorder="1"/>
    <xf numFmtId="0" fontId="2" fillId="34" borderId="16" xfId="0" applyFont="1" applyFill="1" applyBorder="1"/>
    <xf numFmtId="0" fontId="0" fillId="34" borderId="17" xfId="0" applyFill="1" applyBorder="1"/>
    <xf numFmtId="0" fontId="0" fillId="34" borderId="18" xfId="0" applyFill="1" applyBorder="1"/>
    <xf numFmtId="0" fontId="2" fillId="34" borderId="11" xfId="0" applyFont="1" applyFill="1" applyBorder="1"/>
    <xf numFmtId="0" fontId="0" fillId="34" borderId="12" xfId="0" applyFill="1" applyBorder="1"/>
    <xf numFmtId="0" fontId="0" fillId="34" borderId="13" xfId="0" applyFill="1" applyBorder="1"/>
    <xf numFmtId="0" fontId="0" fillId="0" borderId="0" xfId="0" applyBorder="1" applyAlignment="1">
      <alignment vertical="top"/>
    </xf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0" xfId="0" applyFill="1" applyBorder="1"/>
    <xf numFmtId="0" fontId="0" fillId="0" borderId="20" xfId="0" applyFill="1" applyBorder="1" applyAlignment="1">
      <alignment vertical="top"/>
    </xf>
    <xf numFmtId="0" fontId="0" fillId="0" borderId="20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21" xfId="0" applyFill="1" applyBorder="1"/>
    <xf numFmtId="0" fontId="0" fillId="0" borderId="0" xfId="0" applyFill="1" applyBorder="1" applyAlignment="1">
      <alignment horizontal="left"/>
    </xf>
    <xf numFmtId="0" fontId="20" fillId="0" borderId="1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2" fillId="0" borderId="10" xfId="0" applyFont="1" applyFill="1" applyBorder="1" applyAlignment="1">
      <alignment horizontal="center" wrapText="1"/>
    </xf>
    <xf numFmtId="0" fontId="20" fillId="0" borderId="10" xfId="0" applyFont="1" applyFill="1" applyBorder="1"/>
    <xf numFmtId="0" fontId="0" fillId="0" borderId="10" xfId="0" applyFill="1" applyBorder="1" applyAlignment="1">
      <alignment horizontal="right"/>
    </xf>
    <xf numFmtId="3" fontId="23" fillId="0" borderId="10" xfId="0" applyNumberFormat="1" applyFont="1" applyFill="1" applyBorder="1" applyAlignment="1">
      <alignment horizontal="right"/>
    </xf>
    <xf numFmtId="3" fontId="21" fillId="0" borderId="10" xfId="0" applyNumberFormat="1" applyFont="1" applyFill="1" applyBorder="1" applyAlignment="1">
      <alignment horizontal="right"/>
    </xf>
    <xf numFmtId="9" fontId="22" fillId="0" borderId="10" xfId="42" applyFont="1" applyFill="1" applyBorder="1" applyAlignment="1">
      <alignment horizontal="right"/>
    </xf>
    <xf numFmtId="0" fontId="20" fillId="0" borderId="10" xfId="0" applyFont="1" applyFill="1" applyBorder="1" applyAlignment="1">
      <alignment horizontal="right"/>
    </xf>
    <xf numFmtId="0" fontId="20" fillId="35" borderId="10" xfId="0" applyFont="1" applyFill="1" applyBorder="1"/>
    <xf numFmtId="0" fontId="0" fillId="35" borderId="10" xfId="0" applyFill="1" applyBorder="1" applyAlignment="1">
      <alignment horizontal="right"/>
    </xf>
    <xf numFmtId="3" fontId="23" fillId="35" borderId="10" xfId="0" applyNumberFormat="1" applyFont="1" applyFill="1" applyBorder="1" applyAlignment="1">
      <alignment horizontal="right"/>
    </xf>
    <xf numFmtId="3" fontId="21" fillId="35" borderId="10" xfId="0" applyNumberFormat="1" applyFont="1" applyFill="1" applyBorder="1" applyAlignment="1">
      <alignment horizontal="right"/>
    </xf>
    <xf numFmtId="9" fontId="22" fillId="35" borderId="10" xfId="42" applyFont="1" applyFill="1" applyBorder="1" applyAlignment="1">
      <alignment horizontal="right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6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2" fillId="34" borderId="11" xfId="0" applyFont="1" applyFill="1" applyBorder="1" applyAlignment="1">
      <alignment horizontal="left" vertical="top" wrapText="1"/>
    </xf>
    <xf numFmtId="0" fontId="2" fillId="34" borderId="12" xfId="0" applyFont="1" applyFill="1" applyBorder="1" applyAlignment="1">
      <alignment horizontal="left" vertical="top" wrapText="1"/>
    </xf>
    <xf numFmtId="0" fontId="2" fillId="34" borderId="13" xfId="0" applyFont="1" applyFill="1" applyBorder="1" applyAlignment="1">
      <alignment horizontal="left" vertical="top" wrapText="1"/>
    </xf>
    <xf numFmtId="0" fontId="19" fillId="0" borderId="10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Transit</a:t>
            </a:r>
            <a:r>
              <a:rPr lang="en-US" baseline="0"/>
              <a:t> Boardings</a:t>
            </a:r>
            <a:endParaRPr lang="en-US"/>
          </a:p>
        </c:rich>
      </c:tx>
      <c:layout>
        <c:manualLayout>
          <c:xMode val="edge"/>
          <c:yMode val="edge"/>
          <c:x val="0.19522922134733162"/>
          <c:y val="2.777777777777777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AM_BoardingByRoute!$H$2</c:f>
              <c:strCache>
                <c:ptCount val="1"/>
                <c:pt idx="0">
                  <c:v>AM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7.5867049101859138E-2"/>
                  <c:y val="-0.12217302253461604"/>
                </c:manualLayout>
              </c:layout>
              <c:numFmt formatCode="General" sourceLinked="0"/>
            </c:trendlineLbl>
          </c:trendline>
          <c:xVal>
            <c:numRef>
              <c:f>AM_BoardingByRoute!$G$3:$G$426</c:f>
              <c:numCache>
                <c:formatCode>0</c:formatCode>
                <c:ptCount val="424"/>
                <c:pt idx="0">
                  <c:v>540.79999999999995</c:v>
                </c:pt>
                <c:pt idx="1">
                  <c:v>1400.3</c:v>
                </c:pt>
                <c:pt idx="2">
                  <c:v>1299.7</c:v>
                </c:pt>
                <c:pt idx="3">
                  <c:v>1217.0999999999999</c:v>
                </c:pt>
                <c:pt idx="4">
                  <c:v>1388.2</c:v>
                </c:pt>
                <c:pt idx="5">
                  <c:v>1981.7</c:v>
                </c:pt>
                <c:pt idx="6">
                  <c:v>1485.6</c:v>
                </c:pt>
                <c:pt idx="7">
                  <c:v>578</c:v>
                </c:pt>
                <c:pt idx="8">
                  <c:v>855</c:v>
                </c:pt>
                <c:pt idx="9">
                  <c:v>640</c:v>
                </c:pt>
                <c:pt idx="10">
                  <c:v>1384.5</c:v>
                </c:pt>
                <c:pt idx="11">
                  <c:v>607.5</c:v>
                </c:pt>
                <c:pt idx="12">
                  <c:v>1046.2</c:v>
                </c:pt>
                <c:pt idx="13">
                  <c:v>1488.5</c:v>
                </c:pt>
                <c:pt idx="14">
                  <c:v>819.3</c:v>
                </c:pt>
                <c:pt idx="15">
                  <c:v>833.9</c:v>
                </c:pt>
                <c:pt idx="16">
                  <c:v>1066.3</c:v>
                </c:pt>
                <c:pt idx="17">
                  <c:v>122</c:v>
                </c:pt>
                <c:pt idx="18">
                  <c:v>870.19999999999936</c:v>
                </c:pt>
                <c:pt idx="19">
                  <c:v>425.7</c:v>
                </c:pt>
                <c:pt idx="20">
                  <c:v>338.4</c:v>
                </c:pt>
                <c:pt idx="21">
                  <c:v>376.9</c:v>
                </c:pt>
                <c:pt idx="22">
                  <c:v>293.8</c:v>
                </c:pt>
                <c:pt idx="23">
                  <c:v>840.2</c:v>
                </c:pt>
                <c:pt idx="24">
                  <c:v>337.4</c:v>
                </c:pt>
                <c:pt idx="25">
                  <c:v>1129.5999999999999</c:v>
                </c:pt>
                <c:pt idx="26">
                  <c:v>449.1</c:v>
                </c:pt>
                <c:pt idx="27">
                  <c:v>320.7</c:v>
                </c:pt>
                <c:pt idx="28">
                  <c:v>525.5</c:v>
                </c:pt>
                <c:pt idx="29">
                  <c:v>104.3</c:v>
                </c:pt>
                <c:pt idx="30">
                  <c:v>22.3</c:v>
                </c:pt>
                <c:pt idx="31">
                  <c:v>1678.6</c:v>
                </c:pt>
                <c:pt idx="32">
                  <c:v>191.1</c:v>
                </c:pt>
                <c:pt idx="33">
                  <c:v>6.1</c:v>
                </c:pt>
                <c:pt idx="34">
                  <c:v>391.5</c:v>
                </c:pt>
                <c:pt idx="35">
                  <c:v>2096.9</c:v>
                </c:pt>
                <c:pt idx="36">
                  <c:v>19.5</c:v>
                </c:pt>
                <c:pt idx="37">
                  <c:v>950.5</c:v>
                </c:pt>
                <c:pt idx="38">
                  <c:v>938.9</c:v>
                </c:pt>
                <c:pt idx="39">
                  <c:v>79</c:v>
                </c:pt>
                <c:pt idx="40">
                  <c:v>100.8</c:v>
                </c:pt>
                <c:pt idx="41">
                  <c:v>2033.9</c:v>
                </c:pt>
                <c:pt idx="42">
                  <c:v>952.39999999999941</c:v>
                </c:pt>
                <c:pt idx="43">
                  <c:v>44</c:v>
                </c:pt>
                <c:pt idx="44">
                  <c:v>7.4</c:v>
                </c:pt>
                <c:pt idx="45">
                  <c:v>873.6</c:v>
                </c:pt>
                <c:pt idx="46">
                  <c:v>542.20000000000005</c:v>
                </c:pt>
                <c:pt idx="47">
                  <c:v>395.7</c:v>
                </c:pt>
                <c:pt idx="48">
                  <c:v>161.30000000000001</c:v>
                </c:pt>
                <c:pt idx="49">
                  <c:v>788.6</c:v>
                </c:pt>
                <c:pt idx="50">
                  <c:v>389</c:v>
                </c:pt>
                <c:pt idx="51">
                  <c:v>519</c:v>
                </c:pt>
                <c:pt idx="52">
                  <c:v>617.9</c:v>
                </c:pt>
                <c:pt idx="53">
                  <c:v>306.8</c:v>
                </c:pt>
                <c:pt idx="54">
                  <c:v>336</c:v>
                </c:pt>
                <c:pt idx="55">
                  <c:v>847.3</c:v>
                </c:pt>
                <c:pt idx="56">
                  <c:v>614.1</c:v>
                </c:pt>
                <c:pt idx="57">
                  <c:v>751.29999999999916</c:v>
                </c:pt>
                <c:pt idx="58">
                  <c:v>721.5</c:v>
                </c:pt>
                <c:pt idx="59">
                  <c:v>362.4</c:v>
                </c:pt>
                <c:pt idx="60">
                  <c:v>1048.7</c:v>
                </c:pt>
                <c:pt idx="61">
                  <c:v>406.7</c:v>
                </c:pt>
                <c:pt idx="62">
                  <c:v>343.3</c:v>
                </c:pt>
                <c:pt idx="63">
                  <c:v>168.1</c:v>
                </c:pt>
                <c:pt idx="64">
                  <c:v>830.2</c:v>
                </c:pt>
                <c:pt idx="65">
                  <c:v>168.9</c:v>
                </c:pt>
                <c:pt idx="66">
                  <c:v>212</c:v>
                </c:pt>
                <c:pt idx="67">
                  <c:v>924.5</c:v>
                </c:pt>
                <c:pt idx="68">
                  <c:v>265.3</c:v>
                </c:pt>
                <c:pt idx="69">
                  <c:v>67.599999999999994</c:v>
                </c:pt>
                <c:pt idx="70">
                  <c:v>324.3</c:v>
                </c:pt>
                <c:pt idx="71">
                  <c:v>183.9</c:v>
                </c:pt>
                <c:pt idx="72">
                  <c:v>133.9</c:v>
                </c:pt>
                <c:pt idx="73">
                  <c:v>194</c:v>
                </c:pt>
                <c:pt idx="74">
                  <c:v>11</c:v>
                </c:pt>
                <c:pt idx="75">
                  <c:v>26.2</c:v>
                </c:pt>
                <c:pt idx="76">
                  <c:v>1326.8</c:v>
                </c:pt>
                <c:pt idx="77">
                  <c:v>340.9</c:v>
                </c:pt>
                <c:pt idx="78">
                  <c:v>260.8</c:v>
                </c:pt>
                <c:pt idx="79">
                  <c:v>117.5</c:v>
                </c:pt>
                <c:pt idx="80">
                  <c:v>601.4</c:v>
                </c:pt>
                <c:pt idx="81">
                  <c:v>601.4</c:v>
                </c:pt>
                <c:pt idx="82">
                  <c:v>506.2</c:v>
                </c:pt>
                <c:pt idx="83">
                  <c:v>14.7</c:v>
                </c:pt>
                <c:pt idx="84">
                  <c:v>288.60000000000002</c:v>
                </c:pt>
                <c:pt idx="85">
                  <c:v>513.70000000000005</c:v>
                </c:pt>
                <c:pt idx="86">
                  <c:v>112.2</c:v>
                </c:pt>
                <c:pt idx="87">
                  <c:v>120.8</c:v>
                </c:pt>
                <c:pt idx="88">
                  <c:v>42.9</c:v>
                </c:pt>
                <c:pt idx="89">
                  <c:v>364.8</c:v>
                </c:pt>
                <c:pt idx="90">
                  <c:v>251.8</c:v>
                </c:pt>
                <c:pt idx="91">
                  <c:v>119.3</c:v>
                </c:pt>
                <c:pt idx="92">
                  <c:v>10.5</c:v>
                </c:pt>
                <c:pt idx="93">
                  <c:v>1124.2</c:v>
                </c:pt>
                <c:pt idx="94">
                  <c:v>107.5</c:v>
                </c:pt>
                <c:pt idx="95">
                  <c:v>170.7</c:v>
                </c:pt>
                <c:pt idx="96">
                  <c:v>29.2</c:v>
                </c:pt>
                <c:pt idx="97">
                  <c:v>80.8</c:v>
                </c:pt>
                <c:pt idx="98">
                  <c:v>55.1</c:v>
                </c:pt>
                <c:pt idx="99">
                  <c:v>85.3</c:v>
                </c:pt>
                <c:pt idx="100">
                  <c:v>172</c:v>
                </c:pt>
                <c:pt idx="101">
                  <c:v>215.4</c:v>
                </c:pt>
                <c:pt idx="102">
                  <c:v>158.69999999999999</c:v>
                </c:pt>
                <c:pt idx="103">
                  <c:v>137.1</c:v>
                </c:pt>
                <c:pt idx="104">
                  <c:v>208.5</c:v>
                </c:pt>
                <c:pt idx="105">
                  <c:v>247.7</c:v>
                </c:pt>
                <c:pt idx="106">
                  <c:v>160.1</c:v>
                </c:pt>
                <c:pt idx="107">
                  <c:v>161.5</c:v>
                </c:pt>
                <c:pt idx="108">
                  <c:v>377.2</c:v>
                </c:pt>
                <c:pt idx="109">
                  <c:v>37.299999999999997</c:v>
                </c:pt>
                <c:pt idx="110">
                  <c:v>748</c:v>
                </c:pt>
                <c:pt idx="111">
                  <c:v>93.5</c:v>
                </c:pt>
                <c:pt idx="112">
                  <c:v>313.8</c:v>
                </c:pt>
                <c:pt idx="113">
                  <c:v>195.4</c:v>
                </c:pt>
                <c:pt idx="114">
                  <c:v>719.1</c:v>
                </c:pt>
                <c:pt idx="115">
                  <c:v>305.60000000000002</c:v>
                </c:pt>
                <c:pt idx="116">
                  <c:v>59.8</c:v>
                </c:pt>
                <c:pt idx="117">
                  <c:v>168.2</c:v>
                </c:pt>
                <c:pt idx="118">
                  <c:v>98.8</c:v>
                </c:pt>
                <c:pt idx="119">
                  <c:v>153.9</c:v>
                </c:pt>
                <c:pt idx="120">
                  <c:v>94.4</c:v>
                </c:pt>
                <c:pt idx="121">
                  <c:v>143.69999999999999</c:v>
                </c:pt>
                <c:pt idx="122">
                  <c:v>272.7</c:v>
                </c:pt>
                <c:pt idx="123">
                  <c:v>61.3</c:v>
                </c:pt>
                <c:pt idx="124">
                  <c:v>4.8</c:v>
                </c:pt>
                <c:pt idx="125">
                  <c:v>132.1</c:v>
                </c:pt>
                <c:pt idx="126">
                  <c:v>24.1</c:v>
                </c:pt>
                <c:pt idx="127">
                  <c:v>6.5</c:v>
                </c:pt>
                <c:pt idx="128">
                  <c:v>87.5</c:v>
                </c:pt>
                <c:pt idx="129">
                  <c:v>36.5</c:v>
                </c:pt>
                <c:pt idx="130">
                  <c:v>38.4</c:v>
                </c:pt>
                <c:pt idx="131">
                  <c:v>36.700000000000003</c:v>
                </c:pt>
                <c:pt idx="132">
                  <c:v>53</c:v>
                </c:pt>
                <c:pt idx="133">
                  <c:v>85.1</c:v>
                </c:pt>
                <c:pt idx="134">
                  <c:v>113</c:v>
                </c:pt>
                <c:pt idx="135">
                  <c:v>659.5</c:v>
                </c:pt>
                <c:pt idx="136">
                  <c:v>318</c:v>
                </c:pt>
                <c:pt idx="137">
                  <c:v>135.5</c:v>
                </c:pt>
                <c:pt idx="138">
                  <c:v>287.89999999999998</c:v>
                </c:pt>
                <c:pt idx="139">
                  <c:v>142.6</c:v>
                </c:pt>
                <c:pt idx="140">
                  <c:v>701.7</c:v>
                </c:pt>
                <c:pt idx="141">
                  <c:v>57.3</c:v>
                </c:pt>
                <c:pt idx="142">
                  <c:v>234.1</c:v>
                </c:pt>
                <c:pt idx="143">
                  <c:v>124.5</c:v>
                </c:pt>
                <c:pt idx="144">
                  <c:v>89.4</c:v>
                </c:pt>
                <c:pt idx="145">
                  <c:v>160.30000000000001</c:v>
                </c:pt>
                <c:pt idx="146">
                  <c:v>428.6</c:v>
                </c:pt>
                <c:pt idx="147">
                  <c:v>135.19999999999999</c:v>
                </c:pt>
                <c:pt idx="148">
                  <c:v>164.5</c:v>
                </c:pt>
                <c:pt idx="149">
                  <c:v>279.39999999999998</c:v>
                </c:pt>
                <c:pt idx="150">
                  <c:v>98.7</c:v>
                </c:pt>
                <c:pt idx="151">
                  <c:v>43.7</c:v>
                </c:pt>
                <c:pt idx="152">
                  <c:v>172.9</c:v>
                </c:pt>
                <c:pt idx="153">
                  <c:v>450.1</c:v>
                </c:pt>
                <c:pt idx="154">
                  <c:v>229.5</c:v>
                </c:pt>
                <c:pt idx="155">
                  <c:v>114.6</c:v>
                </c:pt>
                <c:pt idx="156">
                  <c:v>120.3</c:v>
                </c:pt>
                <c:pt idx="157">
                  <c:v>478.2</c:v>
                </c:pt>
                <c:pt idx="158">
                  <c:v>27.7</c:v>
                </c:pt>
                <c:pt idx="159">
                  <c:v>137.80000000000001</c:v>
                </c:pt>
                <c:pt idx="160">
                  <c:v>121.3</c:v>
                </c:pt>
                <c:pt idx="161">
                  <c:v>114.5</c:v>
                </c:pt>
                <c:pt idx="162">
                  <c:v>73</c:v>
                </c:pt>
                <c:pt idx="163">
                  <c:v>274.5</c:v>
                </c:pt>
                <c:pt idx="164">
                  <c:v>424.1</c:v>
                </c:pt>
                <c:pt idx="165">
                  <c:v>786.1</c:v>
                </c:pt>
                <c:pt idx="166">
                  <c:v>85.6</c:v>
                </c:pt>
                <c:pt idx="167">
                  <c:v>182.2</c:v>
                </c:pt>
                <c:pt idx="168">
                  <c:v>89.8</c:v>
                </c:pt>
                <c:pt idx="169">
                  <c:v>145.6</c:v>
                </c:pt>
                <c:pt idx="170">
                  <c:v>182.3</c:v>
                </c:pt>
                <c:pt idx="171">
                  <c:v>141.1</c:v>
                </c:pt>
                <c:pt idx="172">
                  <c:v>114.3</c:v>
                </c:pt>
                <c:pt idx="173">
                  <c:v>144.19999999999999</c:v>
                </c:pt>
                <c:pt idx="174">
                  <c:v>900.7</c:v>
                </c:pt>
                <c:pt idx="175">
                  <c:v>186</c:v>
                </c:pt>
                <c:pt idx="176">
                  <c:v>129.4</c:v>
                </c:pt>
                <c:pt idx="177">
                  <c:v>749.3</c:v>
                </c:pt>
                <c:pt idx="178">
                  <c:v>543.70000000000005</c:v>
                </c:pt>
                <c:pt idx="179">
                  <c:v>196.7</c:v>
                </c:pt>
                <c:pt idx="180">
                  <c:v>189.7</c:v>
                </c:pt>
                <c:pt idx="181">
                  <c:v>115.6</c:v>
                </c:pt>
                <c:pt idx="182">
                  <c:v>275.3</c:v>
                </c:pt>
                <c:pt idx="183">
                  <c:v>680.9</c:v>
                </c:pt>
                <c:pt idx="184">
                  <c:v>364.9</c:v>
                </c:pt>
                <c:pt idx="185">
                  <c:v>101.3</c:v>
                </c:pt>
                <c:pt idx="186">
                  <c:v>214.8</c:v>
                </c:pt>
                <c:pt idx="187">
                  <c:v>128.69999999999999</c:v>
                </c:pt>
                <c:pt idx="188">
                  <c:v>219.7</c:v>
                </c:pt>
                <c:pt idx="189">
                  <c:v>232.8</c:v>
                </c:pt>
                <c:pt idx="190">
                  <c:v>197.7</c:v>
                </c:pt>
                <c:pt idx="191">
                  <c:v>204</c:v>
                </c:pt>
                <c:pt idx="192">
                  <c:v>398.9</c:v>
                </c:pt>
                <c:pt idx="193">
                  <c:v>1849.2</c:v>
                </c:pt>
                <c:pt idx="194">
                  <c:v>894.6</c:v>
                </c:pt>
                <c:pt idx="195">
                  <c:v>285.2</c:v>
                </c:pt>
                <c:pt idx="196">
                  <c:v>11.4</c:v>
                </c:pt>
                <c:pt idx="197">
                  <c:v>3.6</c:v>
                </c:pt>
                <c:pt idx="198">
                  <c:v>73.3</c:v>
                </c:pt>
                <c:pt idx="199">
                  <c:v>80.900000000000006</c:v>
                </c:pt>
                <c:pt idx="200">
                  <c:v>290.39999999999998</c:v>
                </c:pt>
                <c:pt idx="201">
                  <c:v>37.5</c:v>
                </c:pt>
                <c:pt idx="202">
                  <c:v>1152.909090909091</c:v>
                </c:pt>
                <c:pt idx="203">
                  <c:v>646.5</c:v>
                </c:pt>
                <c:pt idx="204">
                  <c:v>461.31818181818181</c:v>
                </c:pt>
                <c:pt idx="205">
                  <c:v>155</c:v>
                </c:pt>
                <c:pt idx="206">
                  <c:v>166.59090909090909</c:v>
                </c:pt>
                <c:pt idx="207">
                  <c:v>75.954545454545453</c:v>
                </c:pt>
                <c:pt idx="208">
                  <c:v>223.5</c:v>
                </c:pt>
                <c:pt idx="209">
                  <c:v>17</c:v>
                </c:pt>
                <c:pt idx="210">
                  <c:v>196.36363636363637</c:v>
                </c:pt>
                <c:pt idx="211">
                  <c:v>182.04545454545456</c:v>
                </c:pt>
                <c:pt idx="212">
                  <c:v>150.18181818181819</c:v>
                </c:pt>
                <c:pt idx="213">
                  <c:v>195.90909090909091</c:v>
                </c:pt>
                <c:pt idx="214">
                  <c:v>280.45454545454544</c:v>
                </c:pt>
                <c:pt idx="215">
                  <c:v>69.22727272727272</c:v>
                </c:pt>
                <c:pt idx="216">
                  <c:v>226.09090909090909</c:v>
                </c:pt>
                <c:pt idx="217">
                  <c:v>307.95454545454544</c:v>
                </c:pt>
                <c:pt idx="218">
                  <c:v>139.36363636363637</c:v>
                </c:pt>
                <c:pt idx="219">
                  <c:v>209.72727272727272</c:v>
                </c:pt>
                <c:pt idx="220">
                  <c:v>110.09090909090909</c:v>
                </c:pt>
                <c:pt idx="221">
                  <c:v>164.86363636363637</c:v>
                </c:pt>
                <c:pt idx="222">
                  <c:v>35.545454545454547</c:v>
                </c:pt>
                <c:pt idx="223">
                  <c:v>12</c:v>
                </c:pt>
                <c:pt idx="224">
                  <c:v>54.727272727272727</c:v>
                </c:pt>
                <c:pt idx="225">
                  <c:v>110.18181818181819</c:v>
                </c:pt>
                <c:pt idx="226">
                  <c:v>89.590909090909093</c:v>
                </c:pt>
                <c:pt idx="227">
                  <c:v>5.4545454545454541</c:v>
                </c:pt>
                <c:pt idx="228">
                  <c:v>302.63636363636363</c:v>
                </c:pt>
                <c:pt idx="229">
                  <c:v>305.72727272727275</c:v>
                </c:pt>
                <c:pt idx="230">
                  <c:v>164.81818181818181</c:v>
                </c:pt>
                <c:pt idx="231">
                  <c:v>29.045454545454547</c:v>
                </c:pt>
                <c:pt idx="232">
                  <c:v>138.09090909090909</c:v>
                </c:pt>
                <c:pt idx="233">
                  <c:v>226.22727272727275</c:v>
                </c:pt>
                <c:pt idx="234">
                  <c:v>82.090909090909093</c:v>
                </c:pt>
                <c:pt idx="235">
                  <c:v>151.68181818181819</c:v>
                </c:pt>
                <c:pt idx="236">
                  <c:v>275.59090909090912</c:v>
                </c:pt>
                <c:pt idx="237">
                  <c:v>10.136363636363637</c:v>
                </c:pt>
                <c:pt idx="238">
                  <c:v>4.6363636363636367</c:v>
                </c:pt>
                <c:pt idx="239">
                  <c:v>21.227272727272727</c:v>
                </c:pt>
                <c:pt idx="240">
                  <c:v>110.22727272727273</c:v>
                </c:pt>
                <c:pt idx="241">
                  <c:v>226.68181818181819</c:v>
                </c:pt>
                <c:pt idx="242">
                  <c:v>41.409090909090907</c:v>
                </c:pt>
                <c:pt idx="243">
                  <c:v>13.272727272727273</c:v>
                </c:pt>
                <c:pt idx="244">
                  <c:v>5.6818181818181817</c:v>
                </c:pt>
                <c:pt idx="245">
                  <c:v>75.681818181818187</c:v>
                </c:pt>
                <c:pt idx="246">
                  <c:v>59.545454545454547</c:v>
                </c:pt>
                <c:pt idx="247">
                  <c:v>84.72727272727272</c:v>
                </c:pt>
                <c:pt idx="248">
                  <c:v>54.31818181818182</c:v>
                </c:pt>
                <c:pt idx="249">
                  <c:v>194.40909090909091</c:v>
                </c:pt>
                <c:pt idx="250">
                  <c:v>158.86363636363637</c:v>
                </c:pt>
                <c:pt idx="251">
                  <c:v>37.31818181818182</c:v>
                </c:pt>
                <c:pt idx="252">
                  <c:v>62.227272727272727</c:v>
                </c:pt>
                <c:pt idx="253">
                  <c:v>326.78394485843756</c:v>
                </c:pt>
                <c:pt idx="254">
                  <c:v>245.18336953845946</c:v>
                </c:pt>
                <c:pt idx="255">
                  <c:v>19.257371176632681</c:v>
                </c:pt>
                <c:pt idx="256">
                  <c:v>107.82780989770201</c:v>
                </c:pt>
                <c:pt idx="257">
                  <c:v>248.20382865482011</c:v>
                </c:pt>
                <c:pt idx="258">
                  <c:v>176.17066117633328</c:v>
                </c:pt>
                <c:pt idx="259">
                  <c:v>318.67979996898356</c:v>
                </c:pt>
                <c:pt idx="260">
                  <c:v>250.34884382767353</c:v>
                </c:pt>
                <c:pt idx="261">
                  <c:v>258.61549388248829</c:v>
                </c:pt>
                <c:pt idx="262">
                  <c:v>63.855093634584932</c:v>
                </c:pt>
                <c:pt idx="263">
                  <c:v>8.3849976197628546</c:v>
                </c:pt>
                <c:pt idx="264">
                  <c:v>147.31197433610245</c:v>
                </c:pt>
                <c:pt idx="265">
                  <c:v>130.41101185556326</c:v>
                </c:pt>
                <c:pt idx="266">
                  <c:v>114.83193473913033</c:v>
                </c:pt>
                <c:pt idx="267">
                  <c:v>62.739119858047772</c:v>
                </c:pt>
                <c:pt idx="268">
                  <c:v>134.51904635283356</c:v>
                </c:pt>
                <c:pt idx="269">
                  <c:v>269.70191409064688</c:v>
                </c:pt>
                <c:pt idx="270">
                  <c:v>135.41479173790989</c:v>
                </c:pt>
                <c:pt idx="271">
                  <c:v>49.919164867472098</c:v>
                </c:pt>
                <c:pt idx="272">
                  <c:v>41.216483986358945</c:v>
                </c:pt>
                <c:pt idx="273">
                  <c:v>20.246523946148752</c:v>
                </c:pt>
                <c:pt idx="274">
                  <c:v>54.347578897242798</c:v>
                </c:pt>
                <c:pt idx="275">
                  <c:v>128.41044367310948</c:v>
                </c:pt>
                <c:pt idx="276">
                  <c:v>74.821535591529297</c:v>
                </c:pt>
                <c:pt idx="277">
                  <c:v>86.799572591295245</c:v>
                </c:pt>
                <c:pt idx="278">
                  <c:v>252.86361917605041</c:v>
                </c:pt>
                <c:pt idx="279">
                  <c:v>559.68184310587117</c:v>
                </c:pt>
                <c:pt idx="280">
                  <c:v>98.545463889533195</c:v>
                </c:pt>
                <c:pt idx="281">
                  <c:v>130.02013624664042</c:v>
                </c:pt>
                <c:pt idx="282">
                  <c:v>145.26609440056475</c:v>
                </c:pt>
                <c:pt idx="283">
                  <c:v>121.77372216091852</c:v>
                </c:pt>
                <c:pt idx="284">
                  <c:v>188.17565557948046</c:v>
                </c:pt>
                <c:pt idx="285">
                  <c:v>283.50899983744358</c:v>
                </c:pt>
                <c:pt idx="286">
                  <c:v>115.30896313304251</c:v>
                </c:pt>
                <c:pt idx="287">
                  <c:v>249.93148546320515</c:v>
                </c:pt>
                <c:pt idx="288">
                  <c:v>115.21482745383712</c:v>
                </c:pt>
                <c:pt idx="289">
                  <c:v>144.74226816393306</c:v>
                </c:pt>
                <c:pt idx="290">
                  <c:v>129.54123525191409</c:v>
                </c:pt>
                <c:pt idx="291">
                  <c:v>19.530052333710969</c:v>
                </c:pt>
                <c:pt idx="292">
                  <c:v>39.734462002133668</c:v>
                </c:pt>
                <c:pt idx="293">
                  <c:v>47.138703064289594</c:v>
                </c:pt>
                <c:pt idx="294">
                  <c:v>144.26384328190369</c:v>
                </c:pt>
                <c:pt idx="295">
                  <c:v>35.315983672745482</c:v>
                </c:pt>
                <c:pt idx="296">
                  <c:v>103.1818</c:v>
                </c:pt>
                <c:pt idx="297">
                  <c:v>534.03099468463847</c:v>
                </c:pt>
                <c:pt idx="298">
                  <c:v>82.196681849205518</c:v>
                </c:pt>
                <c:pt idx="299">
                  <c:v>57.292106804778442</c:v>
                </c:pt>
                <c:pt idx="300">
                  <c:v>133.17867640493739</c:v>
                </c:pt>
                <c:pt idx="301">
                  <c:v>280.78928293796383</c:v>
                </c:pt>
                <c:pt idx="302">
                  <c:v>163.95029895012226</c:v>
                </c:pt>
                <c:pt idx="303">
                  <c:v>122.40730956593393</c:v>
                </c:pt>
                <c:pt idx="304">
                  <c:v>19.960181160878378</c:v>
                </c:pt>
                <c:pt idx="305">
                  <c:v>206.30965332639028</c:v>
                </c:pt>
                <c:pt idx="306">
                  <c:v>41</c:v>
                </c:pt>
                <c:pt idx="307">
                  <c:v>13</c:v>
                </c:pt>
                <c:pt idx="308">
                  <c:v>23</c:v>
                </c:pt>
                <c:pt idx="309">
                  <c:v>203</c:v>
                </c:pt>
                <c:pt idx="310">
                  <c:v>46</c:v>
                </c:pt>
                <c:pt idx="311">
                  <c:v>95</c:v>
                </c:pt>
                <c:pt idx="312">
                  <c:v>58</c:v>
                </c:pt>
                <c:pt idx="313">
                  <c:v>49</c:v>
                </c:pt>
                <c:pt idx="314">
                  <c:v>56</c:v>
                </c:pt>
                <c:pt idx="315">
                  <c:v>72</c:v>
                </c:pt>
                <c:pt idx="316">
                  <c:v>46</c:v>
                </c:pt>
                <c:pt idx="317">
                  <c:v>57</c:v>
                </c:pt>
                <c:pt idx="318">
                  <c:v>5</c:v>
                </c:pt>
                <c:pt idx="319">
                  <c:v>66</c:v>
                </c:pt>
                <c:pt idx="320">
                  <c:v>60</c:v>
                </c:pt>
                <c:pt idx="321">
                  <c:v>38</c:v>
                </c:pt>
                <c:pt idx="322">
                  <c:v>37</c:v>
                </c:pt>
                <c:pt idx="323">
                  <c:v>28</c:v>
                </c:pt>
                <c:pt idx="324">
                  <c:v>35</c:v>
                </c:pt>
                <c:pt idx="325">
                  <c:v>24</c:v>
                </c:pt>
                <c:pt idx="326">
                  <c:v>9</c:v>
                </c:pt>
                <c:pt idx="327">
                  <c:v>11</c:v>
                </c:pt>
                <c:pt idx="328">
                  <c:v>17</c:v>
                </c:pt>
                <c:pt idx="329">
                  <c:v>8</c:v>
                </c:pt>
                <c:pt idx="330">
                  <c:v>60</c:v>
                </c:pt>
                <c:pt idx="331">
                  <c:v>6</c:v>
                </c:pt>
                <c:pt idx="332">
                  <c:v>54</c:v>
                </c:pt>
                <c:pt idx="333">
                  <c:v>189</c:v>
                </c:pt>
                <c:pt idx="334">
                  <c:v>106</c:v>
                </c:pt>
                <c:pt idx="335">
                  <c:v>4</c:v>
                </c:pt>
                <c:pt idx="336">
                  <c:v>41</c:v>
                </c:pt>
                <c:pt idx="337">
                  <c:v>26</c:v>
                </c:pt>
                <c:pt idx="338">
                  <c:v>50</c:v>
                </c:pt>
                <c:pt idx="339">
                  <c:v>30</c:v>
                </c:pt>
                <c:pt idx="340">
                  <c:v>42</c:v>
                </c:pt>
                <c:pt idx="341">
                  <c:v>27</c:v>
                </c:pt>
                <c:pt idx="342">
                  <c:v>30</c:v>
                </c:pt>
                <c:pt idx="343">
                  <c:v>22</c:v>
                </c:pt>
                <c:pt idx="344">
                  <c:v>20.272727272727273</c:v>
                </c:pt>
                <c:pt idx="345">
                  <c:v>28.40909090909091</c:v>
                </c:pt>
                <c:pt idx="346">
                  <c:v>30.272727272727273</c:v>
                </c:pt>
                <c:pt idx="347">
                  <c:v>21.863636363636363</c:v>
                </c:pt>
                <c:pt idx="348">
                  <c:v>32.772727272727273</c:v>
                </c:pt>
                <c:pt idx="349">
                  <c:v>33.636363636363633</c:v>
                </c:pt>
                <c:pt idx="350">
                  <c:v>31.181818181818183</c:v>
                </c:pt>
                <c:pt idx="351">
                  <c:v>27.40909090909091</c:v>
                </c:pt>
                <c:pt idx="352">
                  <c:v>26.40909090909091</c:v>
                </c:pt>
                <c:pt idx="353">
                  <c:v>33.5</c:v>
                </c:pt>
                <c:pt idx="354">
                  <c:v>25.681818181818183</c:v>
                </c:pt>
                <c:pt idx="355">
                  <c:v>23.545454545454547</c:v>
                </c:pt>
                <c:pt idx="356">
                  <c:v>25.636363636363637</c:v>
                </c:pt>
                <c:pt idx="357">
                  <c:v>28</c:v>
                </c:pt>
                <c:pt idx="358">
                  <c:v>35.227272727272727</c:v>
                </c:pt>
                <c:pt idx="359">
                  <c:v>32.045454545454547</c:v>
                </c:pt>
                <c:pt idx="360">
                  <c:v>25.59090909090909</c:v>
                </c:pt>
                <c:pt idx="361">
                  <c:v>27.681818181818183</c:v>
                </c:pt>
                <c:pt idx="362">
                  <c:v>30</c:v>
                </c:pt>
                <c:pt idx="363">
                  <c:v>28.40909090909091</c:v>
                </c:pt>
                <c:pt idx="364">
                  <c:v>35.863636363636367</c:v>
                </c:pt>
                <c:pt idx="365">
                  <c:v>34.863636363636367</c:v>
                </c:pt>
                <c:pt idx="366">
                  <c:v>30.454545454545453</c:v>
                </c:pt>
                <c:pt idx="367">
                  <c:v>30.136363636363637</c:v>
                </c:pt>
                <c:pt idx="368">
                  <c:v>31.59090909090909</c:v>
                </c:pt>
                <c:pt idx="369">
                  <c:v>32.272727272727273</c:v>
                </c:pt>
                <c:pt idx="370">
                  <c:v>16.727272727272727</c:v>
                </c:pt>
                <c:pt idx="371">
                  <c:v>15.954545454545455</c:v>
                </c:pt>
                <c:pt idx="372">
                  <c:v>770.46738732584618</c:v>
                </c:pt>
                <c:pt idx="373">
                  <c:v>825.79951282012041</c:v>
                </c:pt>
                <c:pt idx="374">
                  <c:v>811.5</c:v>
                </c:pt>
                <c:pt idx="375">
                  <c:v>356.58758311540225</c:v>
                </c:pt>
                <c:pt idx="376">
                  <c:v>419.78506038345648</c:v>
                </c:pt>
                <c:pt idx="377">
                  <c:v>334.8</c:v>
                </c:pt>
                <c:pt idx="378">
                  <c:v>1801.2</c:v>
                </c:pt>
                <c:pt idx="379">
                  <c:v>1999.2</c:v>
                </c:pt>
                <c:pt idx="380">
                  <c:v>388.2</c:v>
                </c:pt>
                <c:pt idx="381">
                  <c:v>205.4</c:v>
                </c:pt>
                <c:pt idx="382">
                  <c:v>260.3</c:v>
                </c:pt>
                <c:pt idx="383">
                  <c:v>375.2</c:v>
                </c:pt>
                <c:pt idx="384">
                  <c:v>666.2</c:v>
                </c:pt>
                <c:pt idx="385">
                  <c:v>667.9431511888921</c:v>
                </c:pt>
                <c:pt idx="386">
                  <c:v>505.1</c:v>
                </c:pt>
                <c:pt idx="387">
                  <c:v>250.82981347144971</c:v>
                </c:pt>
                <c:pt idx="388">
                  <c:v>128.49238167578321</c:v>
                </c:pt>
                <c:pt idx="389">
                  <c:v>476.96491931030135</c:v>
                </c:pt>
                <c:pt idx="390">
                  <c:v>228.91919067306267</c:v>
                </c:pt>
                <c:pt idx="391">
                  <c:v>483.0075070222212</c:v>
                </c:pt>
                <c:pt idx="392">
                  <c:v>134</c:v>
                </c:pt>
                <c:pt idx="393">
                  <c:v>20.886878599260136</c:v>
                </c:pt>
                <c:pt idx="394">
                  <c:v>54.590909090909093</c:v>
                </c:pt>
                <c:pt idx="395">
                  <c:v>73.318181818181813</c:v>
                </c:pt>
                <c:pt idx="396">
                  <c:v>30.90909090909091</c:v>
                </c:pt>
                <c:pt idx="397">
                  <c:v>24.636363636363637</c:v>
                </c:pt>
                <c:pt idx="398">
                  <c:v>267.72727272727275</c:v>
                </c:pt>
                <c:pt idx="399">
                  <c:v>94.36363636363636</c:v>
                </c:pt>
                <c:pt idx="400">
                  <c:v>387.45454545454544</c:v>
                </c:pt>
                <c:pt idx="401">
                  <c:v>22.545454545454547</c:v>
                </c:pt>
                <c:pt idx="402">
                  <c:v>18.181818181818183</c:v>
                </c:pt>
                <c:pt idx="403">
                  <c:v>50</c:v>
                </c:pt>
                <c:pt idx="404">
                  <c:v>78.409090909090907</c:v>
                </c:pt>
                <c:pt idx="405">
                  <c:v>23.59090909090909</c:v>
                </c:pt>
                <c:pt idx="406">
                  <c:v>14</c:v>
                </c:pt>
                <c:pt idx="407">
                  <c:v>189.63636363636363</c:v>
                </c:pt>
                <c:pt idx="408">
                  <c:v>57.454545454545453</c:v>
                </c:pt>
                <c:pt idx="409">
                  <c:v>19.045454545454547</c:v>
                </c:pt>
                <c:pt idx="410">
                  <c:v>1.1363636363636365</c:v>
                </c:pt>
                <c:pt idx="411">
                  <c:v>2.2272727272727271</c:v>
                </c:pt>
                <c:pt idx="412">
                  <c:v>4127.568181818182</c:v>
                </c:pt>
                <c:pt idx="413">
                  <c:v>548.72727272727275</c:v>
                </c:pt>
                <c:pt idx="414">
                  <c:v>2840</c:v>
                </c:pt>
                <c:pt idx="415">
                  <c:v>552.41</c:v>
                </c:pt>
                <c:pt idx="416">
                  <c:v>1596</c:v>
                </c:pt>
                <c:pt idx="417">
                  <c:v>260</c:v>
                </c:pt>
                <c:pt idx="418">
                  <c:v>393.99</c:v>
                </c:pt>
                <c:pt idx="419">
                  <c:v>164.91</c:v>
                </c:pt>
                <c:pt idx="420">
                  <c:v>43</c:v>
                </c:pt>
                <c:pt idx="421">
                  <c:v>16</c:v>
                </c:pt>
                <c:pt idx="422">
                  <c:v>594</c:v>
                </c:pt>
                <c:pt idx="423">
                  <c:v>195</c:v>
                </c:pt>
              </c:numCache>
            </c:numRef>
          </c:xVal>
          <c:yVal>
            <c:numRef>
              <c:f>AM_BoardingByRoute!$H$3:$H$426</c:f>
              <c:numCache>
                <c:formatCode>0</c:formatCode>
                <c:ptCount val="424"/>
                <c:pt idx="0">
                  <c:v>542.39409255981332</c:v>
                </c:pt>
                <c:pt idx="1">
                  <c:v>1082.5013999938947</c:v>
                </c:pt>
                <c:pt idx="2">
                  <c:v>701.18774199485665</c:v>
                </c:pt>
                <c:pt idx="3">
                  <c:v>669.67494726180951</c:v>
                </c:pt>
                <c:pt idx="4">
                  <c:v>1790.4957933425871</c:v>
                </c:pt>
                <c:pt idx="5">
                  <c:v>1908.9594230651821</c:v>
                </c:pt>
                <c:pt idx="6">
                  <c:v>892.44172668456793</c:v>
                </c:pt>
                <c:pt idx="7">
                  <c:v>438.2645492553699</c:v>
                </c:pt>
                <c:pt idx="8">
                  <c:v>582.26774024963208</c:v>
                </c:pt>
                <c:pt idx="9">
                  <c:v>788.36274814605406</c:v>
                </c:pt>
                <c:pt idx="10">
                  <c:v>305.38213852792933</c:v>
                </c:pt>
                <c:pt idx="11">
                  <c:v>739.31760883331106</c:v>
                </c:pt>
                <c:pt idx="12">
                  <c:v>571.50312611460629</c:v>
                </c:pt>
                <c:pt idx="13">
                  <c:v>1291.9572591781589</c:v>
                </c:pt>
                <c:pt idx="14">
                  <c:v>1032.3238372802707</c:v>
                </c:pt>
                <c:pt idx="15">
                  <c:v>804.07999801635629</c:v>
                </c:pt>
                <c:pt idx="16">
                  <c:v>950.8233728408793</c:v>
                </c:pt>
                <c:pt idx="17">
                  <c:v>122.75761985778789</c:v>
                </c:pt>
                <c:pt idx="18">
                  <c:v>871.91229438781488</c:v>
                </c:pt>
                <c:pt idx="19">
                  <c:v>328.57571029663063</c:v>
                </c:pt>
                <c:pt idx="20">
                  <c:v>454.18553352355912</c:v>
                </c:pt>
                <c:pt idx="21">
                  <c:v>613.69923591613713</c:v>
                </c:pt>
                <c:pt idx="22">
                  <c:v>369.02827739715525</c:v>
                </c:pt>
                <c:pt idx="23">
                  <c:v>822.11409759521348</c:v>
                </c:pt>
                <c:pt idx="24">
                  <c:v>81.88609433174102</c:v>
                </c:pt>
                <c:pt idx="25">
                  <c:v>971.55608272552354</c:v>
                </c:pt>
                <c:pt idx="26">
                  <c:v>415.01626205444279</c:v>
                </c:pt>
                <c:pt idx="27">
                  <c:v>411.49646377563431</c:v>
                </c:pt>
                <c:pt idx="28">
                  <c:v>699.95809555053506</c:v>
                </c:pt>
                <c:pt idx="29">
                  <c:v>79.392789840698001</c:v>
                </c:pt>
                <c:pt idx="30">
                  <c:v>7.8236135244369391</c:v>
                </c:pt>
                <c:pt idx="31">
                  <c:v>1884.1021447181661</c:v>
                </c:pt>
                <c:pt idx="32">
                  <c:v>280.35061645507767</c:v>
                </c:pt>
                <c:pt idx="33">
                  <c:v>3.200301945209501</c:v>
                </c:pt>
                <c:pt idx="34">
                  <c:v>468.38050460815327</c:v>
                </c:pt>
                <c:pt idx="35">
                  <c:v>2959.6694259643468</c:v>
                </c:pt>
                <c:pt idx="36">
                  <c:v>18.876079082488982</c:v>
                </c:pt>
                <c:pt idx="37">
                  <c:v>1137.9082193374595</c:v>
                </c:pt>
                <c:pt idx="38">
                  <c:v>1040.1081066131574</c:v>
                </c:pt>
                <c:pt idx="39">
                  <c:v>22.203183650970448</c:v>
                </c:pt>
                <c:pt idx="40">
                  <c:v>77.050733789801484</c:v>
                </c:pt>
                <c:pt idx="41">
                  <c:v>2050.2518664561167</c:v>
                </c:pt>
                <c:pt idx="42">
                  <c:v>903.16072797775109</c:v>
                </c:pt>
                <c:pt idx="43">
                  <c:v>35.818926513194938</c:v>
                </c:pt>
                <c:pt idx="44">
                  <c:v>26.860532999038671</c:v>
                </c:pt>
                <c:pt idx="45">
                  <c:v>1042.0323128700231</c:v>
                </c:pt>
                <c:pt idx="46">
                  <c:v>437.24695205688391</c:v>
                </c:pt>
                <c:pt idx="47">
                  <c:v>472.26602077484029</c:v>
                </c:pt>
                <c:pt idx="48">
                  <c:v>191.44411563873271</c:v>
                </c:pt>
                <c:pt idx="49">
                  <c:v>680.14968872070222</c:v>
                </c:pt>
                <c:pt idx="50">
                  <c:v>440.67831420898301</c:v>
                </c:pt>
                <c:pt idx="51">
                  <c:v>506.1356439590449</c:v>
                </c:pt>
                <c:pt idx="52">
                  <c:v>774.38268280029183</c:v>
                </c:pt>
                <c:pt idx="53">
                  <c:v>294.41004657745299</c:v>
                </c:pt>
                <c:pt idx="54">
                  <c:v>322.00906038284279</c:v>
                </c:pt>
                <c:pt idx="55">
                  <c:v>1139.3844680786099</c:v>
                </c:pt>
                <c:pt idx="56">
                  <c:v>694.62328147888013</c:v>
                </c:pt>
                <c:pt idx="57">
                  <c:v>659.52688407897836</c:v>
                </c:pt>
                <c:pt idx="58">
                  <c:v>990.10847568511758</c:v>
                </c:pt>
                <c:pt idx="59">
                  <c:v>380.83226776122899</c:v>
                </c:pt>
                <c:pt idx="60">
                  <c:v>1206.9316673278779</c:v>
                </c:pt>
                <c:pt idx="61">
                  <c:v>641.89031982421807</c:v>
                </c:pt>
                <c:pt idx="62">
                  <c:v>342.13757324218699</c:v>
                </c:pt>
                <c:pt idx="63">
                  <c:v>238.49534606933582</c:v>
                </c:pt>
                <c:pt idx="64">
                  <c:v>1052.4700002670256</c:v>
                </c:pt>
                <c:pt idx="65">
                  <c:v>259.08279037475518</c:v>
                </c:pt>
                <c:pt idx="66">
                  <c:v>148.41173934936489</c:v>
                </c:pt>
                <c:pt idx="67">
                  <c:v>849.90789413452103</c:v>
                </c:pt>
                <c:pt idx="68">
                  <c:v>214.48904585838275</c:v>
                </c:pt>
                <c:pt idx="69">
                  <c:v>49.293129920959409</c:v>
                </c:pt>
                <c:pt idx="70">
                  <c:v>430.44103813171233</c:v>
                </c:pt>
                <c:pt idx="71">
                  <c:v>69.215881347656108</c:v>
                </c:pt>
                <c:pt idx="72">
                  <c:v>159.35672378540019</c:v>
                </c:pt>
                <c:pt idx="73">
                  <c:v>105.4516410827635</c:v>
                </c:pt>
                <c:pt idx="74">
                  <c:v>113.80643284320813</c:v>
                </c:pt>
                <c:pt idx="75">
                  <c:v>55.683440238237296</c:v>
                </c:pt>
                <c:pt idx="76">
                  <c:v>1458.3905525207506</c:v>
                </c:pt>
                <c:pt idx="77">
                  <c:v>744.62056636810109</c:v>
                </c:pt>
                <c:pt idx="78">
                  <c:v>344.83378219604469</c:v>
                </c:pt>
                <c:pt idx="79">
                  <c:v>156.79384994506819</c:v>
                </c:pt>
                <c:pt idx="80">
                  <c:v>767.08453178405546</c:v>
                </c:pt>
                <c:pt idx="81">
                  <c:v>468.83471965789744</c:v>
                </c:pt>
                <c:pt idx="82">
                  <c:v>297.23168563842751</c:v>
                </c:pt>
                <c:pt idx="83">
                  <c:v>3.5508858934044758</c:v>
                </c:pt>
                <c:pt idx="84">
                  <c:v>183.58930015563939</c:v>
                </c:pt>
                <c:pt idx="85">
                  <c:v>319.56878900527897</c:v>
                </c:pt>
                <c:pt idx="86">
                  <c:v>73.984378814697109</c:v>
                </c:pt>
                <c:pt idx="87">
                  <c:v>141.2675514221188</c:v>
                </c:pt>
                <c:pt idx="88">
                  <c:v>32.908321857452307</c:v>
                </c:pt>
                <c:pt idx="89">
                  <c:v>627.09842443466152</c:v>
                </c:pt>
                <c:pt idx="90">
                  <c:v>106.1133594512939</c:v>
                </c:pt>
                <c:pt idx="91">
                  <c:v>235.63703918456997</c:v>
                </c:pt>
                <c:pt idx="92">
                  <c:v>38.509097695350597</c:v>
                </c:pt>
                <c:pt idx="93">
                  <c:v>1885.4654998779283</c:v>
                </c:pt>
                <c:pt idx="94">
                  <c:v>81.3489341735838</c:v>
                </c:pt>
                <c:pt idx="95">
                  <c:v>186.11367988586389</c:v>
                </c:pt>
                <c:pt idx="96">
                  <c:v>14.218103170394881</c:v>
                </c:pt>
                <c:pt idx="97">
                  <c:v>91.979736328124915</c:v>
                </c:pt>
                <c:pt idx="98">
                  <c:v>61.441800117492583</c:v>
                </c:pt>
                <c:pt idx="99">
                  <c:v>94.097858428954893</c:v>
                </c:pt>
                <c:pt idx="100">
                  <c:v>140.5198516845702</c:v>
                </c:pt>
                <c:pt idx="101">
                  <c:v>137.0092887878416</c:v>
                </c:pt>
                <c:pt idx="102">
                  <c:v>294.53044509887627</c:v>
                </c:pt>
                <c:pt idx="103">
                  <c:v>123.40458202362052</c:v>
                </c:pt>
                <c:pt idx="104">
                  <c:v>266.9517116546628</c:v>
                </c:pt>
                <c:pt idx="105">
                  <c:v>312.64719009399403</c:v>
                </c:pt>
                <c:pt idx="106">
                  <c:v>134.1656417846678</c:v>
                </c:pt>
                <c:pt idx="107">
                  <c:v>226.37581443786598</c:v>
                </c:pt>
                <c:pt idx="108">
                  <c:v>595.10576629638479</c:v>
                </c:pt>
                <c:pt idx="109">
                  <c:v>22.126908779144273</c:v>
                </c:pt>
                <c:pt idx="110">
                  <c:v>729.07479953765721</c:v>
                </c:pt>
                <c:pt idx="111">
                  <c:v>76.078964233398295</c:v>
                </c:pt>
                <c:pt idx="112">
                  <c:v>667.35725402831906</c:v>
                </c:pt>
                <c:pt idx="113">
                  <c:v>356.86673736572101</c:v>
                </c:pt>
                <c:pt idx="114">
                  <c:v>663.68273162841729</c:v>
                </c:pt>
                <c:pt idx="115">
                  <c:v>464.01636123657204</c:v>
                </c:pt>
                <c:pt idx="116">
                  <c:v>115.42515659332261</c:v>
                </c:pt>
                <c:pt idx="117">
                  <c:v>203.98847484588589</c:v>
                </c:pt>
                <c:pt idx="118">
                  <c:v>83.168804645538231</c:v>
                </c:pt>
                <c:pt idx="119">
                  <c:v>155.4752597808837</c:v>
                </c:pt>
                <c:pt idx="120">
                  <c:v>128.26593875884979</c:v>
                </c:pt>
                <c:pt idx="121">
                  <c:v>226.74800872802729</c:v>
                </c:pt>
                <c:pt idx="122">
                  <c:v>227.09779357910099</c:v>
                </c:pt>
                <c:pt idx="123">
                  <c:v>41.700386285781818</c:v>
                </c:pt>
                <c:pt idx="124">
                  <c:v>22.849999427795399</c:v>
                </c:pt>
                <c:pt idx="125">
                  <c:v>402.11991214752038</c:v>
                </c:pt>
                <c:pt idx="126">
                  <c:v>23.938461720943419</c:v>
                </c:pt>
                <c:pt idx="127">
                  <c:v>97.264587402343579</c:v>
                </c:pt>
                <c:pt idx="128">
                  <c:v>167.81388854980437</c:v>
                </c:pt>
                <c:pt idx="129">
                  <c:v>4.2067078351974398</c:v>
                </c:pt>
                <c:pt idx="130">
                  <c:v>14.836272239685051</c:v>
                </c:pt>
                <c:pt idx="131">
                  <c:v>14.29509210586547</c:v>
                </c:pt>
                <c:pt idx="132">
                  <c:v>63.933762073516647</c:v>
                </c:pt>
                <c:pt idx="133">
                  <c:v>138.5481529235839</c:v>
                </c:pt>
                <c:pt idx="134">
                  <c:v>97.461021423339716</c:v>
                </c:pt>
                <c:pt idx="135">
                  <c:v>779.81819152831827</c:v>
                </c:pt>
                <c:pt idx="136">
                  <c:v>395.6124343872055</c:v>
                </c:pt>
                <c:pt idx="137">
                  <c:v>197.2023925781248</c:v>
                </c:pt>
                <c:pt idx="138">
                  <c:v>368.22260284423686</c:v>
                </c:pt>
                <c:pt idx="139">
                  <c:v>211.50228500366188</c:v>
                </c:pt>
                <c:pt idx="140">
                  <c:v>424.67998504638609</c:v>
                </c:pt>
                <c:pt idx="141">
                  <c:v>95.975276947021086</c:v>
                </c:pt>
                <c:pt idx="142">
                  <c:v>458.69759368896428</c:v>
                </c:pt>
                <c:pt idx="143">
                  <c:v>306.12429046630831</c:v>
                </c:pt>
                <c:pt idx="144">
                  <c:v>128.49705123901339</c:v>
                </c:pt>
                <c:pt idx="145">
                  <c:v>203.19301986694319</c:v>
                </c:pt>
                <c:pt idx="146">
                  <c:v>1269.2634484171826</c:v>
                </c:pt>
                <c:pt idx="147">
                  <c:v>230.26617240905745</c:v>
                </c:pt>
                <c:pt idx="148">
                  <c:v>375.48693275451649</c:v>
                </c:pt>
                <c:pt idx="149">
                  <c:v>947.81696510314805</c:v>
                </c:pt>
                <c:pt idx="150">
                  <c:v>205.58260540664173</c:v>
                </c:pt>
                <c:pt idx="151">
                  <c:v>0</c:v>
                </c:pt>
                <c:pt idx="152">
                  <c:v>354.36428260803189</c:v>
                </c:pt>
                <c:pt idx="153">
                  <c:v>823.77969741821107</c:v>
                </c:pt>
                <c:pt idx="154">
                  <c:v>506.06826782226301</c:v>
                </c:pt>
                <c:pt idx="155">
                  <c:v>136.39451980590812</c:v>
                </c:pt>
                <c:pt idx="156">
                  <c:v>178.25625228881822</c:v>
                </c:pt>
                <c:pt idx="157">
                  <c:v>1139.8458147048932</c:v>
                </c:pt>
                <c:pt idx="158">
                  <c:v>64.772436141967603</c:v>
                </c:pt>
                <c:pt idx="159">
                  <c:v>273.83378601074196</c:v>
                </c:pt>
                <c:pt idx="160">
                  <c:v>860.56235504150243</c:v>
                </c:pt>
                <c:pt idx="161">
                  <c:v>149.30329132080061</c:v>
                </c:pt>
                <c:pt idx="162">
                  <c:v>180.98930239677401</c:v>
                </c:pt>
                <c:pt idx="163">
                  <c:v>415.0018920898429</c:v>
                </c:pt>
                <c:pt idx="164">
                  <c:v>916.96740150451512</c:v>
                </c:pt>
                <c:pt idx="165">
                  <c:v>1591.6378707885733</c:v>
                </c:pt>
                <c:pt idx="166">
                  <c:v>552.07484436034997</c:v>
                </c:pt>
                <c:pt idx="167">
                  <c:v>347.74482727050679</c:v>
                </c:pt>
                <c:pt idx="168">
                  <c:v>128.4626731872558</c:v>
                </c:pt>
                <c:pt idx="169">
                  <c:v>398.95533752441298</c:v>
                </c:pt>
                <c:pt idx="170">
                  <c:v>222.08379364013661</c:v>
                </c:pt>
                <c:pt idx="171">
                  <c:v>302.16883850097588</c:v>
                </c:pt>
                <c:pt idx="172">
                  <c:v>202.36744689941398</c:v>
                </c:pt>
                <c:pt idx="173">
                  <c:v>390.26621723174964</c:v>
                </c:pt>
                <c:pt idx="174">
                  <c:v>1910.2504882812427</c:v>
                </c:pt>
                <c:pt idx="175">
                  <c:v>300.29402923583831</c:v>
                </c:pt>
                <c:pt idx="176">
                  <c:v>235.71160125732411</c:v>
                </c:pt>
                <c:pt idx="177">
                  <c:v>587.63031673431249</c:v>
                </c:pt>
                <c:pt idx="178">
                  <c:v>526.44789886474405</c:v>
                </c:pt>
                <c:pt idx="179">
                  <c:v>161.33499526977531</c:v>
                </c:pt>
                <c:pt idx="180">
                  <c:v>229.0954246520987</c:v>
                </c:pt>
                <c:pt idx="181">
                  <c:v>68.364969253539812</c:v>
                </c:pt>
                <c:pt idx="182">
                  <c:v>437.29940032958922</c:v>
                </c:pt>
                <c:pt idx="183">
                  <c:v>871.25188064574991</c:v>
                </c:pt>
                <c:pt idx="184">
                  <c:v>232.47194671630854</c:v>
                </c:pt>
                <c:pt idx="185">
                  <c:v>55.585753679275463</c:v>
                </c:pt>
                <c:pt idx="186">
                  <c:v>165.59062838554343</c:v>
                </c:pt>
                <c:pt idx="187">
                  <c:v>274.77459716796733</c:v>
                </c:pt>
                <c:pt idx="188">
                  <c:v>158.35846042633028</c:v>
                </c:pt>
                <c:pt idx="189">
                  <c:v>205.89050483703579</c:v>
                </c:pt>
                <c:pt idx="190">
                  <c:v>282.25354385375971</c:v>
                </c:pt>
                <c:pt idx="191">
                  <c:v>372.6316223144529</c:v>
                </c:pt>
                <c:pt idx="192">
                  <c:v>367.03932380676201</c:v>
                </c:pt>
                <c:pt idx="193">
                  <c:v>3119.5275878906232</c:v>
                </c:pt>
                <c:pt idx="194">
                  <c:v>885.2840003967267</c:v>
                </c:pt>
                <c:pt idx="195">
                  <c:v>383.74641418456804</c:v>
                </c:pt>
                <c:pt idx="196">
                  <c:v>23.58628845214842</c:v>
                </c:pt>
                <c:pt idx="197">
                  <c:v>6.6354705095290907</c:v>
                </c:pt>
                <c:pt idx="198">
                  <c:v>63.914534091949356</c:v>
                </c:pt>
                <c:pt idx="199">
                  <c:v>294.90290069580038</c:v>
                </c:pt>
                <c:pt idx="200">
                  <c:v>79.123928070068203</c:v>
                </c:pt>
                <c:pt idx="201">
                  <c:v>0</c:v>
                </c:pt>
                <c:pt idx="202">
                  <c:v>2773.7270355224537</c:v>
                </c:pt>
                <c:pt idx="203">
                  <c:v>1462.7129960060095</c:v>
                </c:pt>
                <c:pt idx="204">
                  <c:v>971.64350843429372</c:v>
                </c:pt>
                <c:pt idx="205">
                  <c:v>114.8404397964475</c:v>
                </c:pt>
                <c:pt idx="206">
                  <c:v>289.21071434020979</c:v>
                </c:pt>
                <c:pt idx="207">
                  <c:v>119.6164741516111</c:v>
                </c:pt>
                <c:pt idx="208">
                  <c:v>263.3333873748777</c:v>
                </c:pt>
                <c:pt idx="209">
                  <c:v>10.29299688339232</c:v>
                </c:pt>
                <c:pt idx="210">
                  <c:v>77.094901084899846</c:v>
                </c:pt>
                <c:pt idx="211">
                  <c:v>267.17508697509732</c:v>
                </c:pt>
                <c:pt idx="212">
                  <c:v>156.48871135711633</c:v>
                </c:pt>
                <c:pt idx="213">
                  <c:v>143.10745620727525</c:v>
                </c:pt>
                <c:pt idx="214">
                  <c:v>327.93365383148171</c:v>
                </c:pt>
                <c:pt idx="215">
                  <c:v>80.018344879150163</c:v>
                </c:pt>
                <c:pt idx="216">
                  <c:v>256.33749389648398</c:v>
                </c:pt>
                <c:pt idx="217">
                  <c:v>479.76952743530228</c:v>
                </c:pt>
                <c:pt idx="218">
                  <c:v>161.63436317443819</c:v>
                </c:pt>
                <c:pt idx="219">
                  <c:v>187.13295745849581</c:v>
                </c:pt>
                <c:pt idx="220">
                  <c:v>181.05547904968228</c:v>
                </c:pt>
                <c:pt idx="221">
                  <c:v>171.70048046112032</c:v>
                </c:pt>
                <c:pt idx="222">
                  <c:v>51.502394199371309</c:v>
                </c:pt>
                <c:pt idx="223">
                  <c:v>99.078796386718608</c:v>
                </c:pt>
                <c:pt idx="224">
                  <c:v>116.04730272293068</c:v>
                </c:pt>
                <c:pt idx="225">
                  <c:v>248.94641494750942</c:v>
                </c:pt>
                <c:pt idx="226">
                  <c:v>265.87233734130837</c:v>
                </c:pt>
                <c:pt idx="227">
                  <c:v>2.3922078013420052</c:v>
                </c:pt>
                <c:pt idx="228">
                  <c:v>248.46319389343228</c:v>
                </c:pt>
                <c:pt idx="229">
                  <c:v>503.58182525634572</c:v>
                </c:pt>
                <c:pt idx="230">
                  <c:v>154.85691070556609</c:v>
                </c:pt>
                <c:pt idx="231">
                  <c:v>19.530949592590289</c:v>
                </c:pt>
                <c:pt idx="232">
                  <c:v>81.539621591567766</c:v>
                </c:pt>
                <c:pt idx="233">
                  <c:v>121.5127334594725</c:v>
                </c:pt>
                <c:pt idx="234">
                  <c:v>101.50133228301969</c:v>
                </c:pt>
                <c:pt idx="235">
                  <c:v>239.52523803710883</c:v>
                </c:pt>
                <c:pt idx="236">
                  <c:v>516.94614744186345</c:v>
                </c:pt>
                <c:pt idx="237">
                  <c:v>5.1333333402872086</c:v>
                </c:pt>
                <c:pt idx="238">
                  <c:v>6.6666670143604195E-2</c:v>
                </c:pt>
                <c:pt idx="239">
                  <c:v>0</c:v>
                </c:pt>
                <c:pt idx="240">
                  <c:v>276.33411026000942</c:v>
                </c:pt>
                <c:pt idx="241">
                  <c:v>287.72049975395169</c:v>
                </c:pt>
                <c:pt idx="242">
                  <c:v>28.704005002975435</c:v>
                </c:pt>
                <c:pt idx="243">
                  <c:v>16.5763018131256</c:v>
                </c:pt>
                <c:pt idx="244">
                  <c:v>0</c:v>
                </c:pt>
                <c:pt idx="245">
                  <c:v>151.90649032592762</c:v>
                </c:pt>
                <c:pt idx="246">
                  <c:v>20.787745952606191</c:v>
                </c:pt>
                <c:pt idx="247">
                  <c:v>68.042628288268929</c:v>
                </c:pt>
                <c:pt idx="248">
                  <c:v>0</c:v>
                </c:pt>
                <c:pt idx="249">
                  <c:v>398.18479919433571</c:v>
                </c:pt>
                <c:pt idx="250">
                  <c:v>409.42977142333939</c:v>
                </c:pt>
                <c:pt idx="251">
                  <c:v>20.122513294219949</c:v>
                </c:pt>
                <c:pt idx="252">
                  <c:v>34.516501128673461</c:v>
                </c:pt>
                <c:pt idx="253">
                  <c:v>609.32039642333871</c:v>
                </c:pt>
                <c:pt idx="254">
                  <c:v>405.36340332031227</c:v>
                </c:pt>
                <c:pt idx="255">
                  <c:v>49.151424884796057</c:v>
                </c:pt>
                <c:pt idx="256">
                  <c:v>77.847758293151799</c:v>
                </c:pt>
                <c:pt idx="257">
                  <c:v>275.61708259582497</c:v>
                </c:pt>
                <c:pt idx="258">
                  <c:v>617.45001983642237</c:v>
                </c:pt>
                <c:pt idx="259">
                  <c:v>545.26665115356286</c:v>
                </c:pt>
                <c:pt idx="260">
                  <c:v>483.90570068359182</c:v>
                </c:pt>
                <c:pt idx="261">
                  <c:v>275.87547492980929</c:v>
                </c:pt>
                <c:pt idx="262">
                  <c:v>54.471185684204002</c:v>
                </c:pt>
                <c:pt idx="263">
                  <c:v>15.13291311264037</c:v>
                </c:pt>
                <c:pt idx="264">
                  <c:v>192.28944396972628</c:v>
                </c:pt>
                <c:pt idx="265">
                  <c:v>97.699099540710193</c:v>
                </c:pt>
                <c:pt idx="266">
                  <c:v>115.1564359664913</c:v>
                </c:pt>
                <c:pt idx="267">
                  <c:v>28.435123443603487</c:v>
                </c:pt>
                <c:pt idx="268">
                  <c:v>502.26646423339702</c:v>
                </c:pt>
                <c:pt idx="269">
                  <c:v>956.70467376708802</c:v>
                </c:pt>
                <c:pt idx="270">
                  <c:v>527.09227561950581</c:v>
                </c:pt>
                <c:pt idx="271">
                  <c:v>99.956589698791362</c:v>
                </c:pt>
                <c:pt idx="272">
                  <c:v>57.872756958007699</c:v>
                </c:pt>
                <c:pt idx="273">
                  <c:v>24.809257864952059</c:v>
                </c:pt>
                <c:pt idx="274">
                  <c:v>60.402220726013155</c:v>
                </c:pt>
                <c:pt idx="275">
                  <c:v>276.53423213958706</c:v>
                </c:pt>
                <c:pt idx="276">
                  <c:v>92.735754966735499</c:v>
                </c:pt>
                <c:pt idx="277">
                  <c:v>215.41213417053189</c:v>
                </c:pt>
                <c:pt idx="278">
                  <c:v>295.51564025878878</c:v>
                </c:pt>
                <c:pt idx="279">
                  <c:v>459.10214233398352</c:v>
                </c:pt>
                <c:pt idx="280">
                  <c:v>183.84166717529291</c:v>
                </c:pt>
                <c:pt idx="281">
                  <c:v>208.51110839843687</c:v>
                </c:pt>
                <c:pt idx="282">
                  <c:v>154.57762908935541</c:v>
                </c:pt>
                <c:pt idx="283">
                  <c:v>175.9094963073729</c:v>
                </c:pt>
                <c:pt idx="284">
                  <c:v>198.49214172363259</c:v>
                </c:pt>
                <c:pt idx="285">
                  <c:v>202.04145050048808</c:v>
                </c:pt>
                <c:pt idx="286">
                  <c:v>508.27066040038903</c:v>
                </c:pt>
                <c:pt idx="287">
                  <c:v>457.05773162841695</c:v>
                </c:pt>
                <c:pt idx="288">
                  <c:v>215.8890495300291</c:v>
                </c:pt>
                <c:pt idx="289">
                  <c:v>89.5966472625731</c:v>
                </c:pt>
                <c:pt idx="290">
                  <c:v>121.5086555480956</c:v>
                </c:pt>
                <c:pt idx="291">
                  <c:v>16.141591548919671</c:v>
                </c:pt>
                <c:pt idx="292">
                  <c:v>51.956288337707306</c:v>
                </c:pt>
                <c:pt idx="293">
                  <c:v>16.884640932083112</c:v>
                </c:pt>
                <c:pt idx="294">
                  <c:v>96.769398689269906</c:v>
                </c:pt>
                <c:pt idx="295">
                  <c:v>45.255367279052678</c:v>
                </c:pt>
                <c:pt idx="296">
                  <c:v>121.77031517028799</c:v>
                </c:pt>
                <c:pt idx="297">
                  <c:v>1548.4923706054672</c:v>
                </c:pt>
                <c:pt idx="298">
                  <c:v>152.84169006347651</c:v>
                </c:pt>
                <c:pt idx="299">
                  <c:v>119.24929618835439</c:v>
                </c:pt>
                <c:pt idx="300">
                  <c:v>220.279155731201</c:v>
                </c:pt>
                <c:pt idx="301">
                  <c:v>298.76546478271331</c:v>
                </c:pt>
                <c:pt idx="302">
                  <c:v>311.5556411743151</c:v>
                </c:pt>
                <c:pt idx="303">
                  <c:v>176.57869720458959</c:v>
                </c:pt>
                <c:pt idx="304">
                  <c:v>53.375865936279197</c:v>
                </c:pt>
                <c:pt idx="305">
                  <c:v>451.16973114013604</c:v>
                </c:pt>
                <c:pt idx="306">
                  <c:v>5.9827119261026338</c:v>
                </c:pt>
                <c:pt idx="307">
                  <c:v>9.399894714355451</c:v>
                </c:pt>
                <c:pt idx="308">
                  <c:v>15.594526290893551</c:v>
                </c:pt>
                <c:pt idx="309">
                  <c:v>105.09371042251568</c:v>
                </c:pt>
                <c:pt idx="310">
                  <c:v>33.014328420162144</c:v>
                </c:pt>
                <c:pt idx="311">
                  <c:v>143.0189590454099</c:v>
                </c:pt>
                <c:pt idx="312">
                  <c:v>161.7333602905272</c:v>
                </c:pt>
                <c:pt idx="313">
                  <c:v>28.507204771041849</c:v>
                </c:pt>
                <c:pt idx="314">
                  <c:v>59.972920417785502</c:v>
                </c:pt>
                <c:pt idx="315">
                  <c:v>93.01091289520221</c:v>
                </c:pt>
                <c:pt idx="316">
                  <c:v>58.453534126281497</c:v>
                </c:pt>
                <c:pt idx="317">
                  <c:v>5.3344460278749404</c:v>
                </c:pt>
                <c:pt idx="318">
                  <c:v>28.453627943992593</c:v>
                </c:pt>
                <c:pt idx="319">
                  <c:v>55.891166210174418</c:v>
                </c:pt>
                <c:pt idx="320">
                  <c:v>55.941288471221768</c:v>
                </c:pt>
                <c:pt idx="321">
                  <c:v>62.516788959503103</c:v>
                </c:pt>
                <c:pt idx="322">
                  <c:v>39.624374866485482</c:v>
                </c:pt>
                <c:pt idx="323">
                  <c:v>14.741270035505279</c:v>
                </c:pt>
                <c:pt idx="324">
                  <c:v>41.777904510497976</c:v>
                </c:pt>
                <c:pt idx="325">
                  <c:v>2.5714287459850276</c:v>
                </c:pt>
                <c:pt idx="326">
                  <c:v>0</c:v>
                </c:pt>
                <c:pt idx="327">
                  <c:v>2.3214285969734183</c:v>
                </c:pt>
                <c:pt idx="328">
                  <c:v>3.065844058990467</c:v>
                </c:pt>
                <c:pt idx="329">
                  <c:v>0</c:v>
                </c:pt>
                <c:pt idx="330">
                  <c:v>4.79262530803679</c:v>
                </c:pt>
                <c:pt idx="331">
                  <c:v>1.25</c:v>
                </c:pt>
                <c:pt idx="332">
                  <c:v>27.471883893012972</c:v>
                </c:pt>
                <c:pt idx="333">
                  <c:v>182.31282162666292</c:v>
                </c:pt>
                <c:pt idx="334">
                  <c:v>70.180502459406682</c:v>
                </c:pt>
                <c:pt idx="335">
                  <c:v>16.652381896972642</c:v>
                </c:pt>
                <c:pt idx="336">
                  <c:v>23.810487508773711</c:v>
                </c:pt>
                <c:pt idx="337">
                  <c:v>14.282547235488879</c:v>
                </c:pt>
                <c:pt idx="338">
                  <c:v>18.548366785049428</c:v>
                </c:pt>
                <c:pt idx="339">
                  <c:v>1.3799999952316215</c:v>
                </c:pt>
                <c:pt idx="340">
                  <c:v>15.52499985694884</c:v>
                </c:pt>
                <c:pt idx="341">
                  <c:v>5.2999999523162824</c:v>
                </c:pt>
                <c:pt idx="342">
                  <c:v>9.375</c:v>
                </c:pt>
                <c:pt idx="343">
                  <c:v>18.548366785049428</c:v>
                </c:pt>
                <c:pt idx="344">
                  <c:v>0</c:v>
                </c:pt>
                <c:pt idx="345">
                  <c:v>10.70580589771269</c:v>
                </c:pt>
                <c:pt idx="346">
                  <c:v>14.848719120025619</c:v>
                </c:pt>
                <c:pt idx="347">
                  <c:v>3.1153846979141231</c:v>
                </c:pt>
                <c:pt idx="348">
                  <c:v>31.832842826843219</c:v>
                </c:pt>
                <c:pt idx="349">
                  <c:v>28.379732131957908</c:v>
                </c:pt>
                <c:pt idx="350">
                  <c:v>26.923765182495053</c:v>
                </c:pt>
                <c:pt idx="351">
                  <c:v>8.779615163803081</c:v>
                </c:pt>
                <c:pt idx="352">
                  <c:v>24.808345794677727</c:v>
                </c:pt>
                <c:pt idx="353">
                  <c:v>28.363739013671779</c:v>
                </c:pt>
                <c:pt idx="354">
                  <c:v>48.443459510803095</c:v>
                </c:pt>
                <c:pt idx="355">
                  <c:v>31.479810714721619</c:v>
                </c:pt>
                <c:pt idx="356">
                  <c:v>17.076359510421739</c:v>
                </c:pt>
                <c:pt idx="357">
                  <c:v>5.88437712192533</c:v>
                </c:pt>
                <c:pt idx="358">
                  <c:v>18.459034442901601</c:v>
                </c:pt>
                <c:pt idx="359">
                  <c:v>65.634570121764995</c:v>
                </c:pt>
                <c:pt idx="360">
                  <c:v>15.832853794097879</c:v>
                </c:pt>
                <c:pt idx="361">
                  <c:v>10.08247852325438</c:v>
                </c:pt>
                <c:pt idx="362">
                  <c:v>25.794990062713591</c:v>
                </c:pt>
                <c:pt idx="363">
                  <c:v>49.630400657653695</c:v>
                </c:pt>
                <c:pt idx="364">
                  <c:v>9.6566019058227397</c:v>
                </c:pt>
                <c:pt idx="365">
                  <c:v>23.39079904556273</c:v>
                </c:pt>
                <c:pt idx="366">
                  <c:v>107.7688579559325</c:v>
                </c:pt>
                <c:pt idx="367">
                  <c:v>56.437853813171202</c:v>
                </c:pt>
                <c:pt idx="368">
                  <c:v>23.671495914459218</c:v>
                </c:pt>
                <c:pt idx="369">
                  <c:v>98.432559967040802</c:v>
                </c:pt>
                <c:pt idx="370">
                  <c:v>0</c:v>
                </c:pt>
                <c:pt idx="371">
                  <c:v>0</c:v>
                </c:pt>
                <c:pt idx="372">
                  <c:v>765.46565628051519</c:v>
                </c:pt>
                <c:pt idx="373">
                  <c:v>873.56260871887071</c:v>
                </c:pt>
                <c:pt idx="374">
                  <c:v>840.2871551513648</c:v>
                </c:pt>
                <c:pt idx="375">
                  <c:v>199.07278442382801</c:v>
                </c:pt>
                <c:pt idx="376">
                  <c:v>1781.8648147582994</c:v>
                </c:pt>
                <c:pt idx="377">
                  <c:v>581.84638214111294</c:v>
                </c:pt>
                <c:pt idx="378">
                  <c:v>3679.1333312988222</c:v>
                </c:pt>
                <c:pt idx="379">
                  <c:v>4335.0994606018012</c:v>
                </c:pt>
                <c:pt idx="380">
                  <c:v>694.62707901000829</c:v>
                </c:pt>
                <c:pt idx="381">
                  <c:v>200.27739906311021</c:v>
                </c:pt>
                <c:pt idx="382">
                  <c:v>263.98800182342501</c:v>
                </c:pt>
                <c:pt idx="383">
                  <c:v>819.47416496276651</c:v>
                </c:pt>
                <c:pt idx="384">
                  <c:v>1371.0197601318328</c:v>
                </c:pt>
                <c:pt idx="385">
                  <c:v>390.91970443725563</c:v>
                </c:pt>
                <c:pt idx="386">
                  <c:v>71.216073036193706</c:v>
                </c:pt>
                <c:pt idx="387">
                  <c:v>53.358569443225733</c:v>
                </c:pt>
                <c:pt idx="388">
                  <c:v>99.220855712890398</c:v>
                </c:pt>
                <c:pt idx="389">
                  <c:v>895.08201408385958</c:v>
                </c:pt>
                <c:pt idx="390">
                  <c:v>475.6821005344388</c:v>
                </c:pt>
                <c:pt idx="391">
                  <c:v>219.33415031433071</c:v>
                </c:pt>
                <c:pt idx="392">
                  <c:v>141.5113143920897</c:v>
                </c:pt>
                <c:pt idx="393">
                  <c:v>940.03137796744477</c:v>
                </c:pt>
                <c:pt idx="394">
                  <c:v>135.35621643066389</c:v>
                </c:pt>
                <c:pt idx="395">
                  <c:v>444.56584548950138</c:v>
                </c:pt>
                <c:pt idx="396">
                  <c:v>241.13842010498041</c:v>
                </c:pt>
                <c:pt idx="397">
                  <c:v>1.579740226268767</c:v>
                </c:pt>
                <c:pt idx="398">
                  <c:v>230.05519723892186</c:v>
                </c:pt>
                <c:pt idx="399">
                  <c:v>398.10556411743141</c:v>
                </c:pt>
                <c:pt idx="400">
                  <c:v>280.56724351644436</c:v>
                </c:pt>
                <c:pt idx="401">
                  <c:v>44.133047103881722</c:v>
                </c:pt>
                <c:pt idx="402">
                  <c:v>112.26157379150371</c:v>
                </c:pt>
                <c:pt idx="403">
                  <c:v>262.8771533966061</c:v>
                </c:pt>
                <c:pt idx="404">
                  <c:v>130.31023406982411</c:v>
                </c:pt>
                <c:pt idx="405">
                  <c:v>86.403608322143398</c:v>
                </c:pt>
                <c:pt idx="406">
                  <c:v>105.79213237762433</c:v>
                </c:pt>
                <c:pt idx="407">
                  <c:v>152.17706680297832</c:v>
                </c:pt>
                <c:pt idx="408">
                  <c:v>18.93119001388548</c:v>
                </c:pt>
                <c:pt idx="409">
                  <c:v>0</c:v>
                </c:pt>
                <c:pt idx="410">
                  <c:v>33.680463790893519</c:v>
                </c:pt>
                <c:pt idx="411">
                  <c:v>0</c:v>
                </c:pt>
                <c:pt idx="412">
                  <c:v>3808.952316284167</c:v>
                </c:pt>
                <c:pt idx="413">
                  <c:v>23.210668563842752</c:v>
                </c:pt>
                <c:pt idx="414">
                  <c:v>3783.495773315427</c:v>
                </c:pt>
                <c:pt idx="415">
                  <c:v>1236.6676769256592</c:v>
                </c:pt>
                <c:pt idx="416">
                  <c:v>0</c:v>
                </c:pt>
                <c:pt idx="417">
                  <c:v>0</c:v>
                </c:pt>
                <c:pt idx="418">
                  <c:v>55.850087404250942</c:v>
                </c:pt>
                <c:pt idx="419">
                  <c:v>90.123958587646257</c:v>
                </c:pt>
                <c:pt idx="420">
                  <c:v>28.402880191802911</c:v>
                </c:pt>
                <c:pt idx="421">
                  <c:v>1</c:v>
                </c:pt>
                <c:pt idx="422">
                  <c:v>484.19246387481627</c:v>
                </c:pt>
                <c:pt idx="423">
                  <c:v>102.44239997863751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47072"/>
        <c:axId val="40549376"/>
      </c:scatterChart>
      <c:valAx>
        <c:axId val="4054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AM Transit Boardings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0549376"/>
        <c:crosses val="autoZero"/>
        <c:crossBetween val="midCat"/>
      </c:valAx>
      <c:valAx>
        <c:axId val="40549376"/>
        <c:scaling>
          <c:orientation val="minMax"/>
          <c:max val="500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</a:t>
                </a:r>
                <a:r>
                  <a:rPr lang="en-US" baseline="0"/>
                  <a:t> Modeled Transit Boardings</a:t>
                </a:r>
                <a:endParaRPr lang="en-US"/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054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Model  Metro</a:t>
            </a:r>
            <a:r>
              <a:rPr lang="en-US" baseline="0"/>
              <a:t> King County Routes</a:t>
            </a:r>
            <a:endParaRPr lang="en-US"/>
          </a:p>
        </c:rich>
      </c:tx>
      <c:layout>
        <c:manualLayout>
          <c:xMode val="edge"/>
          <c:yMode val="edge"/>
          <c:x val="0.16129155730533684"/>
          <c:y val="4.166666666666666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AM_BoardingByRoute!$H$2</c:f>
              <c:strCache>
                <c:ptCount val="1"/>
                <c:pt idx="0">
                  <c:v>AM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AM_BoardingByRoute!$G$3:$G$204</c:f>
              <c:numCache>
                <c:formatCode>0</c:formatCode>
                <c:ptCount val="202"/>
                <c:pt idx="0">
                  <c:v>540.79999999999995</c:v>
                </c:pt>
                <c:pt idx="1">
                  <c:v>1400.3</c:v>
                </c:pt>
                <c:pt idx="2">
                  <c:v>1299.7</c:v>
                </c:pt>
                <c:pt idx="3">
                  <c:v>1217.0999999999999</c:v>
                </c:pt>
                <c:pt idx="4">
                  <c:v>1388.2</c:v>
                </c:pt>
                <c:pt idx="5">
                  <c:v>1981.7</c:v>
                </c:pt>
                <c:pt idx="6">
                  <c:v>1485.6</c:v>
                </c:pt>
                <c:pt idx="7">
                  <c:v>578</c:v>
                </c:pt>
                <c:pt idx="8">
                  <c:v>855</c:v>
                </c:pt>
                <c:pt idx="9">
                  <c:v>640</c:v>
                </c:pt>
                <c:pt idx="10">
                  <c:v>1384.5</c:v>
                </c:pt>
                <c:pt idx="11">
                  <c:v>607.5</c:v>
                </c:pt>
                <c:pt idx="12">
                  <c:v>1046.2</c:v>
                </c:pt>
                <c:pt idx="13">
                  <c:v>1488.5</c:v>
                </c:pt>
                <c:pt idx="14">
                  <c:v>819.3</c:v>
                </c:pt>
                <c:pt idx="15">
                  <c:v>833.9</c:v>
                </c:pt>
                <c:pt idx="16">
                  <c:v>1066.3</c:v>
                </c:pt>
                <c:pt idx="17">
                  <c:v>122</c:v>
                </c:pt>
                <c:pt idx="18">
                  <c:v>870.19999999999936</c:v>
                </c:pt>
                <c:pt idx="19">
                  <c:v>425.7</c:v>
                </c:pt>
                <c:pt idx="20">
                  <c:v>338.4</c:v>
                </c:pt>
                <c:pt idx="21">
                  <c:v>376.9</c:v>
                </c:pt>
                <c:pt idx="22">
                  <c:v>293.8</c:v>
                </c:pt>
                <c:pt idx="23">
                  <c:v>840.2</c:v>
                </c:pt>
                <c:pt idx="24">
                  <c:v>337.4</c:v>
                </c:pt>
                <c:pt idx="25">
                  <c:v>1129.5999999999999</c:v>
                </c:pt>
                <c:pt idx="26">
                  <c:v>449.1</c:v>
                </c:pt>
                <c:pt idx="27">
                  <c:v>320.7</c:v>
                </c:pt>
                <c:pt idx="28">
                  <c:v>525.5</c:v>
                </c:pt>
                <c:pt idx="29">
                  <c:v>104.3</c:v>
                </c:pt>
                <c:pt idx="30">
                  <c:v>22.3</c:v>
                </c:pt>
                <c:pt idx="31">
                  <c:v>1678.6</c:v>
                </c:pt>
                <c:pt idx="32">
                  <c:v>191.1</c:v>
                </c:pt>
                <c:pt idx="33">
                  <c:v>6.1</c:v>
                </c:pt>
                <c:pt idx="34">
                  <c:v>391.5</c:v>
                </c:pt>
                <c:pt idx="35">
                  <c:v>2096.9</c:v>
                </c:pt>
                <c:pt idx="36">
                  <c:v>19.5</c:v>
                </c:pt>
                <c:pt idx="37">
                  <c:v>950.5</c:v>
                </c:pt>
                <c:pt idx="38">
                  <c:v>938.9</c:v>
                </c:pt>
                <c:pt idx="39">
                  <c:v>79</c:v>
                </c:pt>
                <c:pt idx="40">
                  <c:v>100.8</c:v>
                </c:pt>
                <c:pt idx="41">
                  <c:v>2033.9</c:v>
                </c:pt>
                <c:pt idx="42">
                  <c:v>952.39999999999941</c:v>
                </c:pt>
                <c:pt idx="43">
                  <c:v>44</c:v>
                </c:pt>
                <c:pt idx="44">
                  <c:v>7.4</c:v>
                </c:pt>
                <c:pt idx="45">
                  <c:v>873.6</c:v>
                </c:pt>
                <c:pt idx="46">
                  <c:v>542.20000000000005</c:v>
                </c:pt>
                <c:pt idx="47">
                  <c:v>395.7</c:v>
                </c:pt>
                <c:pt idx="48">
                  <c:v>161.30000000000001</c:v>
                </c:pt>
                <c:pt idx="49">
                  <c:v>788.6</c:v>
                </c:pt>
                <c:pt idx="50">
                  <c:v>389</c:v>
                </c:pt>
                <c:pt idx="51">
                  <c:v>519</c:v>
                </c:pt>
                <c:pt idx="52">
                  <c:v>617.9</c:v>
                </c:pt>
                <c:pt idx="53">
                  <c:v>306.8</c:v>
                </c:pt>
                <c:pt idx="54">
                  <c:v>336</c:v>
                </c:pt>
                <c:pt idx="55">
                  <c:v>847.3</c:v>
                </c:pt>
                <c:pt idx="56">
                  <c:v>614.1</c:v>
                </c:pt>
                <c:pt idx="57">
                  <c:v>751.29999999999916</c:v>
                </c:pt>
                <c:pt idx="58">
                  <c:v>721.5</c:v>
                </c:pt>
                <c:pt idx="59">
                  <c:v>362.4</c:v>
                </c:pt>
                <c:pt idx="60">
                  <c:v>1048.7</c:v>
                </c:pt>
                <c:pt idx="61">
                  <c:v>406.7</c:v>
                </c:pt>
                <c:pt idx="62">
                  <c:v>343.3</c:v>
                </c:pt>
                <c:pt idx="63">
                  <c:v>168.1</c:v>
                </c:pt>
                <c:pt idx="64">
                  <c:v>830.2</c:v>
                </c:pt>
                <c:pt idx="65">
                  <c:v>168.9</c:v>
                </c:pt>
                <c:pt idx="66">
                  <c:v>212</c:v>
                </c:pt>
                <c:pt idx="67">
                  <c:v>924.5</c:v>
                </c:pt>
                <c:pt idx="68">
                  <c:v>265.3</c:v>
                </c:pt>
                <c:pt idx="69">
                  <c:v>67.599999999999994</c:v>
                </c:pt>
                <c:pt idx="70">
                  <c:v>324.3</c:v>
                </c:pt>
                <c:pt idx="71">
                  <c:v>183.9</c:v>
                </c:pt>
                <c:pt idx="72">
                  <c:v>133.9</c:v>
                </c:pt>
                <c:pt idx="73">
                  <c:v>194</c:v>
                </c:pt>
                <c:pt idx="74">
                  <c:v>11</c:v>
                </c:pt>
                <c:pt idx="75">
                  <c:v>26.2</c:v>
                </c:pt>
                <c:pt idx="76">
                  <c:v>1326.8</c:v>
                </c:pt>
                <c:pt idx="77">
                  <c:v>340.9</c:v>
                </c:pt>
                <c:pt idx="78">
                  <c:v>260.8</c:v>
                </c:pt>
                <c:pt idx="79">
                  <c:v>117.5</c:v>
                </c:pt>
                <c:pt idx="80">
                  <c:v>601.4</c:v>
                </c:pt>
                <c:pt idx="81">
                  <c:v>601.4</c:v>
                </c:pt>
                <c:pt idx="82">
                  <c:v>506.2</c:v>
                </c:pt>
                <c:pt idx="83">
                  <c:v>14.7</c:v>
                </c:pt>
                <c:pt idx="84">
                  <c:v>288.60000000000002</c:v>
                </c:pt>
                <c:pt idx="85">
                  <c:v>513.70000000000005</c:v>
                </c:pt>
                <c:pt idx="86">
                  <c:v>112.2</c:v>
                </c:pt>
                <c:pt idx="87">
                  <c:v>120.8</c:v>
                </c:pt>
                <c:pt idx="88">
                  <c:v>42.9</c:v>
                </c:pt>
                <c:pt idx="89">
                  <c:v>364.8</c:v>
                </c:pt>
                <c:pt idx="90">
                  <c:v>251.8</c:v>
                </c:pt>
                <c:pt idx="91">
                  <c:v>119.3</c:v>
                </c:pt>
                <c:pt idx="92">
                  <c:v>10.5</c:v>
                </c:pt>
                <c:pt idx="93">
                  <c:v>1124.2</c:v>
                </c:pt>
                <c:pt idx="94">
                  <c:v>107.5</c:v>
                </c:pt>
                <c:pt idx="95">
                  <c:v>170.7</c:v>
                </c:pt>
                <c:pt idx="96">
                  <c:v>29.2</c:v>
                </c:pt>
                <c:pt idx="97">
                  <c:v>80.8</c:v>
                </c:pt>
                <c:pt idx="98">
                  <c:v>55.1</c:v>
                </c:pt>
                <c:pt idx="99">
                  <c:v>85.3</c:v>
                </c:pt>
                <c:pt idx="100">
                  <c:v>172</c:v>
                </c:pt>
                <c:pt idx="101">
                  <c:v>215.4</c:v>
                </c:pt>
                <c:pt idx="102">
                  <c:v>158.69999999999999</c:v>
                </c:pt>
                <c:pt idx="103">
                  <c:v>137.1</c:v>
                </c:pt>
                <c:pt idx="104">
                  <c:v>208.5</c:v>
                </c:pt>
                <c:pt idx="105">
                  <c:v>247.7</c:v>
                </c:pt>
                <c:pt idx="106">
                  <c:v>160.1</c:v>
                </c:pt>
                <c:pt idx="107">
                  <c:v>161.5</c:v>
                </c:pt>
                <c:pt idx="108">
                  <c:v>377.2</c:v>
                </c:pt>
                <c:pt idx="109">
                  <c:v>37.299999999999997</c:v>
                </c:pt>
                <c:pt idx="110">
                  <c:v>748</c:v>
                </c:pt>
                <c:pt idx="111">
                  <c:v>93.5</c:v>
                </c:pt>
                <c:pt idx="112">
                  <c:v>313.8</c:v>
                </c:pt>
                <c:pt idx="113">
                  <c:v>195.4</c:v>
                </c:pt>
                <c:pt idx="114">
                  <c:v>719.1</c:v>
                </c:pt>
                <c:pt idx="115">
                  <c:v>305.60000000000002</c:v>
                </c:pt>
                <c:pt idx="116">
                  <c:v>59.8</c:v>
                </c:pt>
                <c:pt idx="117">
                  <c:v>168.2</c:v>
                </c:pt>
                <c:pt idx="118">
                  <c:v>98.8</c:v>
                </c:pt>
                <c:pt idx="119">
                  <c:v>153.9</c:v>
                </c:pt>
                <c:pt idx="120">
                  <c:v>94.4</c:v>
                </c:pt>
                <c:pt idx="121">
                  <c:v>143.69999999999999</c:v>
                </c:pt>
                <c:pt idx="122">
                  <c:v>272.7</c:v>
                </c:pt>
                <c:pt idx="123">
                  <c:v>61.3</c:v>
                </c:pt>
                <c:pt idx="124">
                  <c:v>4.8</c:v>
                </c:pt>
                <c:pt idx="125">
                  <c:v>132.1</c:v>
                </c:pt>
                <c:pt idx="126">
                  <c:v>24.1</c:v>
                </c:pt>
                <c:pt idx="127">
                  <c:v>6.5</c:v>
                </c:pt>
                <c:pt idx="128">
                  <c:v>87.5</c:v>
                </c:pt>
                <c:pt idx="129">
                  <c:v>36.5</c:v>
                </c:pt>
                <c:pt idx="130">
                  <c:v>38.4</c:v>
                </c:pt>
                <c:pt idx="131">
                  <c:v>36.700000000000003</c:v>
                </c:pt>
                <c:pt idx="132">
                  <c:v>53</c:v>
                </c:pt>
                <c:pt idx="133">
                  <c:v>85.1</c:v>
                </c:pt>
                <c:pt idx="134">
                  <c:v>113</c:v>
                </c:pt>
                <c:pt idx="135">
                  <c:v>659.5</c:v>
                </c:pt>
                <c:pt idx="136">
                  <c:v>318</c:v>
                </c:pt>
                <c:pt idx="137">
                  <c:v>135.5</c:v>
                </c:pt>
                <c:pt idx="138">
                  <c:v>287.89999999999998</c:v>
                </c:pt>
                <c:pt idx="139">
                  <c:v>142.6</c:v>
                </c:pt>
                <c:pt idx="140">
                  <c:v>701.7</c:v>
                </c:pt>
                <c:pt idx="141">
                  <c:v>57.3</c:v>
                </c:pt>
                <c:pt idx="142">
                  <c:v>234.1</c:v>
                </c:pt>
                <c:pt idx="143">
                  <c:v>124.5</c:v>
                </c:pt>
                <c:pt idx="144">
                  <c:v>89.4</c:v>
                </c:pt>
                <c:pt idx="145">
                  <c:v>160.30000000000001</c:v>
                </c:pt>
                <c:pt idx="146">
                  <c:v>428.6</c:v>
                </c:pt>
                <c:pt idx="147">
                  <c:v>135.19999999999999</c:v>
                </c:pt>
                <c:pt idx="148">
                  <c:v>164.5</c:v>
                </c:pt>
                <c:pt idx="149">
                  <c:v>279.39999999999998</c:v>
                </c:pt>
                <c:pt idx="150">
                  <c:v>98.7</c:v>
                </c:pt>
                <c:pt idx="151">
                  <c:v>43.7</c:v>
                </c:pt>
                <c:pt idx="152">
                  <c:v>172.9</c:v>
                </c:pt>
                <c:pt idx="153">
                  <c:v>450.1</c:v>
                </c:pt>
                <c:pt idx="154">
                  <c:v>229.5</c:v>
                </c:pt>
                <c:pt idx="155">
                  <c:v>114.6</c:v>
                </c:pt>
                <c:pt idx="156">
                  <c:v>120.3</c:v>
                </c:pt>
                <c:pt idx="157">
                  <c:v>478.2</c:v>
                </c:pt>
                <c:pt idx="158">
                  <c:v>27.7</c:v>
                </c:pt>
                <c:pt idx="159">
                  <c:v>137.80000000000001</c:v>
                </c:pt>
                <c:pt idx="160">
                  <c:v>121.3</c:v>
                </c:pt>
                <c:pt idx="161">
                  <c:v>114.5</c:v>
                </c:pt>
                <c:pt idx="162">
                  <c:v>73</c:v>
                </c:pt>
                <c:pt idx="163">
                  <c:v>274.5</c:v>
                </c:pt>
                <c:pt idx="164">
                  <c:v>424.1</c:v>
                </c:pt>
                <c:pt idx="165">
                  <c:v>786.1</c:v>
                </c:pt>
                <c:pt idx="166">
                  <c:v>85.6</c:v>
                </c:pt>
                <c:pt idx="167">
                  <c:v>182.2</c:v>
                </c:pt>
                <c:pt idx="168">
                  <c:v>89.8</c:v>
                </c:pt>
                <c:pt idx="169">
                  <c:v>145.6</c:v>
                </c:pt>
                <c:pt idx="170">
                  <c:v>182.3</c:v>
                </c:pt>
                <c:pt idx="171">
                  <c:v>141.1</c:v>
                </c:pt>
                <c:pt idx="172">
                  <c:v>114.3</c:v>
                </c:pt>
                <c:pt idx="173">
                  <c:v>144.19999999999999</c:v>
                </c:pt>
                <c:pt idx="174">
                  <c:v>900.7</c:v>
                </c:pt>
                <c:pt idx="175">
                  <c:v>186</c:v>
                </c:pt>
                <c:pt idx="176">
                  <c:v>129.4</c:v>
                </c:pt>
                <c:pt idx="177">
                  <c:v>749.3</c:v>
                </c:pt>
                <c:pt idx="178">
                  <c:v>543.70000000000005</c:v>
                </c:pt>
                <c:pt idx="179">
                  <c:v>196.7</c:v>
                </c:pt>
                <c:pt idx="180">
                  <c:v>189.7</c:v>
                </c:pt>
                <c:pt idx="181">
                  <c:v>115.6</c:v>
                </c:pt>
                <c:pt idx="182">
                  <c:v>275.3</c:v>
                </c:pt>
                <c:pt idx="183">
                  <c:v>680.9</c:v>
                </c:pt>
                <c:pt idx="184">
                  <c:v>364.9</c:v>
                </c:pt>
                <c:pt idx="185">
                  <c:v>101.3</c:v>
                </c:pt>
                <c:pt idx="186">
                  <c:v>214.8</c:v>
                </c:pt>
                <c:pt idx="187">
                  <c:v>128.69999999999999</c:v>
                </c:pt>
                <c:pt idx="188">
                  <c:v>219.7</c:v>
                </c:pt>
                <c:pt idx="189">
                  <c:v>232.8</c:v>
                </c:pt>
                <c:pt idx="190">
                  <c:v>197.7</c:v>
                </c:pt>
                <c:pt idx="191">
                  <c:v>204</c:v>
                </c:pt>
                <c:pt idx="192">
                  <c:v>398.9</c:v>
                </c:pt>
                <c:pt idx="193">
                  <c:v>1849.2</c:v>
                </c:pt>
                <c:pt idx="194">
                  <c:v>894.6</c:v>
                </c:pt>
                <c:pt idx="195">
                  <c:v>285.2</c:v>
                </c:pt>
                <c:pt idx="196">
                  <c:v>11.4</c:v>
                </c:pt>
                <c:pt idx="197">
                  <c:v>3.6</c:v>
                </c:pt>
                <c:pt idx="198">
                  <c:v>73.3</c:v>
                </c:pt>
                <c:pt idx="199">
                  <c:v>80.900000000000006</c:v>
                </c:pt>
                <c:pt idx="200">
                  <c:v>290.39999999999998</c:v>
                </c:pt>
                <c:pt idx="201">
                  <c:v>37.5</c:v>
                </c:pt>
              </c:numCache>
            </c:numRef>
          </c:xVal>
          <c:yVal>
            <c:numRef>
              <c:f>AM_BoardingByRoute!$H$3:$H$204</c:f>
              <c:numCache>
                <c:formatCode>0</c:formatCode>
                <c:ptCount val="202"/>
                <c:pt idx="0">
                  <c:v>542.39409255981332</c:v>
                </c:pt>
                <c:pt idx="1">
                  <c:v>1082.5013999938947</c:v>
                </c:pt>
                <c:pt idx="2">
                  <c:v>701.18774199485665</c:v>
                </c:pt>
                <c:pt idx="3">
                  <c:v>669.67494726180951</c:v>
                </c:pt>
                <c:pt idx="4">
                  <c:v>1790.4957933425871</c:v>
                </c:pt>
                <c:pt idx="5">
                  <c:v>1908.9594230651821</c:v>
                </c:pt>
                <c:pt idx="6">
                  <c:v>892.44172668456793</c:v>
                </c:pt>
                <c:pt idx="7">
                  <c:v>438.2645492553699</c:v>
                </c:pt>
                <c:pt idx="8">
                  <c:v>582.26774024963208</c:v>
                </c:pt>
                <c:pt idx="9">
                  <c:v>788.36274814605406</c:v>
                </c:pt>
                <c:pt idx="10">
                  <c:v>305.38213852792933</c:v>
                </c:pt>
                <c:pt idx="11">
                  <c:v>739.31760883331106</c:v>
                </c:pt>
                <c:pt idx="12">
                  <c:v>571.50312611460629</c:v>
                </c:pt>
                <c:pt idx="13">
                  <c:v>1291.9572591781589</c:v>
                </c:pt>
                <c:pt idx="14">
                  <c:v>1032.3238372802707</c:v>
                </c:pt>
                <c:pt idx="15">
                  <c:v>804.07999801635629</c:v>
                </c:pt>
                <c:pt idx="16">
                  <c:v>950.8233728408793</c:v>
                </c:pt>
                <c:pt idx="17">
                  <c:v>122.75761985778789</c:v>
                </c:pt>
                <c:pt idx="18">
                  <c:v>871.91229438781488</c:v>
                </c:pt>
                <c:pt idx="19">
                  <c:v>328.57571029663063</c:v>
                </c:pt>
                <c:pt idx="20">
                  <c:v>454.18553352355912</c:v>
                </c:pt>
                <c:pt idx="21">
                  <c:v>613.69923591613713</c:v>
                </c:pt>
                <c:pt idx="22">
                  <c:v>369.02827739715525</c:v>
                </c:pt>
                <c:pt idx="23">
                  <c:v>822.11409759521348</c:v>
                </c:pt>
                <c:pt idx="24">
                  <c:v>81.88609433174102</c:v>
                </c:pt>
                <c:pt idx="25">
                  <c:v>971.55608272552354</c:v>
                </c:pt>
                <c:pt idx="26">
                  <c:v>415.01626205444279</c:v>
                </c:pt>
                <c:pt idx="27">
                  <c:v>411.49646377563431</c:v>
                </c:pt>
                <c:pt idx="28">
                  <c:v>699.95809555053506</c:v>
                </c:pt>
                <c:pt idx="29">
                  <c:v>79.392789840698001</c:v>
                </c:pt>
                <c:pt idx="30">
                  <c:v>7.8236135244369391</c:v>
                </c:pt>
                <c:pt idx="31">
                  <c:v>1884.1021447181661</c:v>
                </c:pt>
                <c:pt idx="32">
                  <c:v>280.35061645507767</c:v>
                </c:pt>
                <c:pt idx="33">
                  <c:v>3.200301945209501</c:v>
                </c:pt>
                <c:pt idx="34">
                  <c:v>468.38050460815327</c:v>
                </c:pt>
                <c:pt idx="35">
                  <c:v>2959.6694259643468</c:v>
                </c:pt>
                <c:pt idx="36">
                  <c:v>18.876079082488982</c:v>
                </c:pt>
                <c:pt idx="37">
                  <c:v>1137.9082193374595</c:v>
                </c:pt>
                <c:pt idx="38">
                  <c:v>1040.1081066131574</c:v>
                </c:pt>
                <c:pt idx="39">
                  <c:v>22.203183650970448</c:v>
                </c:pt>
                <c:pt idx="40">
                  <c:v>77.050733789801484</c:v>
                </c:pt>
                <c:pt idx="41">
                  <c:v>2050.2518664561167</c:v>
                </c:pt>
                <c:pt idx="42">
                  <c:v>903.16072797775109</c:v>
                </c:pt>
                <c:pt idx="43">
                  <c:v>35.818926513194938</c:v>
                </c:pt>
                <c:pt idx="44">
                  <c:v>26.860532999038671</c:v>
                </c:pt>
                <c:pt idx="45">
                  <c:v>1042.0323128700231</c:v>
                </c:pt>
                <c:pt idx="46">
                  <c:v>437.24695205688391</c:v>
                </c:pt>
                <c:pt idx="47">
                  <c:v>472.26602077484029</c:v>
                </c:pt>
                <c:pt idx="48">
                  <c:v>191.44411563873271</c:v>
                </c:pt>
                <c:pt idx="49">
                  <c:v>680.14968872070222</c:v>
                </c:pt>
                <c:pt idx="50">
                  <c:v>440.67831420898301</c:v>
                </c:pt>
                <c:pt idx="51">
                  <c:v>506.1356439590449</c:v>
                </c:pt>
                <c:pt idx="52">
                  <c:v>774.38268280029183</c:v>
                </c:pt>
                <c:pt idx="53">
                  <c:v>294.41004657745299</c:v>
                </c:pt>
                <c:pt idx="54">
                  <c:v>322.00906038284279</c:v>
                </c:pt>
                <c:pt idx="55">
                  <c:v>1139.3844680786099</c:v>
                </c:pt>
                <c:pt idx="56">
                  <c:v>694.62328147888013</c:v>
                </c:pt>
                <c:pt idx="57">
                  <c:v>659.52688407897836</c:v>
                </c:pt>
                <c:pt idx="58">
                  <c:v>990.10847568511758</c:v>
                </c:pt>
                <c:pt idx="59">
                  <c:v>380.83226776122899</c:v>
                </c:pt>
                <c:pt idx="60">
                  <c:v>1206.9316673278779</c:v>
                </c:pt>
                <c:pt idx="61">
                  <c:v>641.89031982421807</c:v>
                </c:pt>
                <c:pt idx="62">
                  <c:v>342.13757324218699</c:v>
                </c:pt>
                <c:pt idx="63">
                  <c:v>238.49534606933582</c:v>
                </c:pt>
                <c:pt idx="64">
                  <c:v>1052.4700002670256</c:v>
                </c:pt>
                <c:pt idx="65">
                  <c:v>259.08279037475518</c:v>
                </c:pt>
                <c:pt idx="66">
                  <c:v>148.41173934936489</c:v>
                </c:pt>
                <c:pt idx="67">
                  <c:v>849.90789413452103</c:v>
                </c:pt>
                <c:pt idx="68">
                  <c:v>214.48904585838275</c:v>
                </c:pt>
                <c:pt idx="69">
                  <c:v>49.293129920959409</c:v>
                </c:pt>
                <c:pt idx="70">
                  <c:v>430.44103813171233</c:v>
                </c:pt>
                <c:pt idx="71">
                  <c:v>69.215881347656108</c:v>
                </c:pt>
                <c:pt idx="72">
                  <c:v>159.35672378540019</c:v>
                </c:pt>
                <c:pt idx="73">
                  <c:v>105.4516410827635</c:v>
                </c:pt>
                <c:pt idx="74">
                  <c:v>113.80643284320813</c:v>
                </c:pt>
                <c:pt idx="75">
                  <c:v>55.683440238237296</c:v>
                </c:pt>
                <c:pt idx="76">
                  <c:v>1458.3905525207506</c:v>
                </c:pt>
                <c:pt idx="77">
                  <c:v>744.62056636810109</c:v>
                </c:pt>
                <c:pt idx="78">
                  <c:v>344.83378219604469</c:v>
                </c:pt>
                <c:pt idx="79">
                  <c:v>156.79384994506819</c:v>
                </c:pt>
                <c:pt idx="80">
                  <c:v>767.08453178405546</c:v>
                </c:pt>
                <c:pt idx="81">
                  <c:v>468.83471965789744</c:v>
                </c:pt>
                <c:pt idx="82">
                  <c:v>297.23168563842751</c:v>
                </c:pt>
                <c:pt idx="83">
                  <c:v>3.5508858934044758</c:v>
                </c:pt>
                <c:pt idx="84">
                  <c:v>183.58930015563939</c:v>
                </c:pt>
                <c:pt idx="85">
                  <c:v>319.56878900527897</c:v>
                </c:pt>
                <c:pt idx="86">
                  <c:v>73.984378814697109</c:v>
                </c:pt>
                <c:pt idx="87">
                  <c:v>141.2675514221188</c:v>
                </c:pt>
                <c:pt idx="88">
                  <c:v>32.908321857452307</c:v>
                </c:pt>
                <c:pt idx="89">
                  <c:v>627.09842443466152</c:v>
                </c:pt>
                <c:pt idx="90">
                  <c:v>106.1133594512939</c:v>
                </c:pt>
                <c:pt idx="91">
                  <c:v>235.63703918456997</c:v>
                </c:pt>
                <c:pt idx="92">
                  <c:v>38.509097695350597</c:v>
                </c:pt>
                <c:pt idx="93">
                  <c:v>1885.4654998779283</c:v>
                </c:pt>
                <c:pt idx="94">
                  <c:v>81.3489341735838</c:v>
                </c:pt>
                <c:pt idx="95">
                  <c:v>186.11367988586389</c:v>
                </c:pt>
                <c:pt idx="96">
                  <c:v>14.218103170394881</c:v>
                </c:pt>
                <c:pt idx="97">
                  <c:v>91.979736328124915</c:v>
                </c:pt>
                <c:pt idx="98">
                  <c:v>61.441800117492583</c:v>
                </c:pt>
                <c:pt idx="99">
                  <c:v>94.097858428954893</c:v>
                </c:pt>
                <c:pt idx="100">
                  <c:v>140.5198516845702</c:v>
                </c:pt>
                <c:pt idx="101">
                  <c:v>137.0092887878416</c:v>
                </c:pt>
                <c:pt idx="102">
                  <c:v>294.53044509887627</c:v>
                </c:pt>
                <c:pt idx="103">
                  <c:v>123.40458202362052</c:v>
                </c:pt>
                <c:pt idx="104">
                  <c:v>266.9517116546628</c:v>
                </c:pt>
                <c:pt idx="105">
                  <c:v>312.64719009399403</c:v>
                </c:pt>
                <c:pt idx="106">
                  <c:v>134.1656417846678</c:v>
                </c:pt>
                <c:pt idx="107">
                  <c:v>226.37581443786598</c:v>
                </c:pt>
                <c:pt idx="108">
                  <c:v>595.10576629638479</c:v>
                </c:pt>
                <c:pt idx="109">
                  <c:v>22.126908779144273</c:v>
                </c:pt>
                <c:pt idx="110">
                  <c:v>729.07479953765721</c:v>
                </c:pt>
                <c:pt idx="111">
                  <c:v>76.078964233398295</c:v>
                </c:pt>
                <c:pt idx="112">
                  <c:v>667.35725402831906</c:v>
                </c:pt>
                <c:pt idx="113">
                  <c:v>356.86673736572101</c:v>
                </c:pt>
                <c:pt idx="114">
                  <c:v>663.68273162841729</c:v>
                </c:pt>
                <c:pt idx="115">
                  <c:v>464.01636123657204</c:v>
                </c:pt>
                <c:pt idx="116">
                  <c:v>115.42515659332261</c:v>
                </c:pt>
                <c:pt idx="117">
                  <c:v>203.98847484588589</c:v>
                </c:pt>
                <c:pt idx="118">
                  <c:v>83.168804645538231</c:v>
                </c:pt>
                <c:pt idx="119">
                  <c:v>155.4752597808837</c:v>
                </c:pt>
                <c:pt idx="120">
                  <c:v>128.26593875884979</c:v>
                </c:pt>
                <c:pt idx="121">
                  <c:v>226.74800872802729</c:v>
                </c:pt>
                <c:pt idx="122">
                  <c:v>227.09779357910099</c:v>
                </c:pt>
                <c:pt idx="123">
                  <c:v>41.700386285781818</c:v>
                </c:pt>
                <c:pt idx="124">
                  <c:v>22.849999427795399</c:v>
                </c:pt>
                <c:pt idx="125">
                  <c:v>402.11991214752038</c:v>
                </c:pt>
                <c:pt idx="126">
                  <c:v>23.938461720943419</c:v>
                </c:pt>
                <c:pt idx="127">
                  <c:v>97.264587402343579</c:v>
                </c:pt>
                <c:pt idx="128">
                  <c:v>167.81388854980437</c:v>
                </c:pt>
                <c:pt idx="129">
                  <c:v>4.2067078351974398</c:v>
                </c:pt>
                <c:pt idx="130">
                  <c:v>14.836272239685051</c:v>
                </c:pt>
                <c:pt idx="131">
                  <c:v>14.29509210586547</c:v>
                </c:pt>
                <c:pt idx="132">
                  <c:v>63.933762073516647</c:v>
                </c:pt>
                <c:pt idx="133">
                  <c:v>138.5481529235839</c:v>
                </c:pt>
                <c:pt idx="134">
                  <c:v>97.461021423339716</c:v>
                </c:pt>
                <c:pt idx="135">
                  <c:v>779.81819152831827</c:v>
                </c:pt>
                <c:pt idx="136">
                  <c:v>395.6124343872055</c:v>
                </c:pt>
                <c:pt idx="137">
                  <c:v>197.2023925781248</c:v>
                </c:pt>
                <c:pt idx="138">
                  <c:v>368.22260284423686</c:v>
                </c:pt>
                <c:pt idx="139">
                  <c:v>211.50228500366188</c:v>
                </c:pt>
                <c:pt idx="140">
                  <c:v>424.67998504638609</c:v>
                </c:pt>
                <c:pt idx="141">
                  <c:v>95.975276947021086</c:v>
                </c:pt>
                <c:pt idx="142">
                  <c:v>458.69759368896428</c:v>
                </c:pt>
                <c:pt idx="143">
                  <c:v>306.12429046630831</c:v>
                </c:pt>
                <c:pt idx="144">
                  <c:v>128.49705123901339</c:v>
                </c:pt>
                <c:pt idx="145">
                  <c:v>203.19301986694319</c:v>
                </c:pt>
                <c:pt idx="146">
                  <c:v>1269.2634484171826</c:v>
                </c:pt>
                <c:pt idx="147">
                  <c:v>230.26617240905745</c:v>
                </c:pt>
                <c:pt idx="148">
                  <c:v>375.48693275451649</c:v>
                </c:pt>
                <c:pt idx="149">
                  <c:v>947.81696510314805</c:v>
                </c:pt>
                <c:pt idx="150">
                  <c:v>205.58260540664173</c:v>
                </c:pt>
                <c:pt idx="151">
                  <c:v>0</c:v>
                </c:pt>
                <c:pt idx="152">
                  <c:v>354.36428260803189</c:v>
                </c:pt>
                <c:pt idx="153">
                  <c:v>823.77969741821107</c:v>
                </c:pt>
                <c:pt idx="154">
                  <c:v>506.06826782226301</c:v>
                </c:pt>
                <c:pt idx="155">
                  <c:v>136.39451980590812</c:v>
                </c:pt>
                <c:pt idx="156">
                  <c:v>178.25625228881822</c:v>
                </c:pt>
                <c:pt idx="157">
                  <c:v>1139.8458147048932</c:v>
                </c:pt>
                <c:pt idx="158">
                  <c:v>64.772436141967603</c:v>
                </c:pt>
                <c:pt idx="159">
                  <c:v>273.83378601074196</c:v>
                </c:pt>
                <c:pt idx="160">
                  <c:v>860.56235504150243</c:v>
                </c:pt>
                <c:pt idx="161">
                  <c:v>149.30329132080061</c:v>
                </c:pt>
                <c:pt idx="162">
                  <c:v>180.98930239677401</c:v>
                </c:pt>
                <c:pt idx="163">
                  <c:v>415.0018920898429</c:v>
                </c:pt>
                <c:pt idx="164">
                  <c:v>916.96740150451512</c:v>
                </c:pt>
                <c:pt idx="165">
                  <c:v>1591.6378707885733</c:v>
                </c:pt>
                <c:pt idx="166">
                  <c:v>552.07484436034997</c:v>
                </c:pt>
                <c:pt idx="167">
                  <c:v>347.74482727050679</c:v>
                </c:pt>
                <c:pt idx="168">
                  <c:v>128.4626731872558</c:v>
                </c:pt>
                <c:pt idx="169">
                  <c:v>398.95533752441298</c:v>
                </c:pt>
                <c:pt idx="170">
                  <c:v>222.08379364013661</c:v>
                </c:pt>
                <c:pt idx="171">
                  <c:v>302.16883850097588</c:v>
                </c:pt>
                <c:pt idx="172">
                  <c:v>202.36744689941398</c:v>
                </c:pt>
                <c:pt idx="173">
                  <c:v>390.26621723174964</c:v>
                </c:pt>
                <c:pt idx="174">
                  <c:v>1910.2504882812427</c:v>
                </c:pt>
                <c:pt idx="175">
                  <c:v>300.29402923583831</c:v>
                </c:pt>
                <c:pt idx="176">
                  <c:v>235.71160125732411</c:v>
                </c:pt>
                <c:pt idx="177">
                  <c:v>587.63031673431249</c:v>
                </c:pt>
                <c:pt idx="178">
                  <c:v>526.44789886474405</c:v>
                </c:pt>
                <c:pt idx="179">
                  <c:v>161.33499526977531</c:v>
                </c:pt>
                <c:pt idx="180">
                  <c:v>229.0954246520987</c:v>
                </c:pt>
                <c:pt idx="181">
                  <c:v>68.364969253539812</c:v>
                </c:pt>
                <c:pt idx="182">
                  <c:v>437.29940032958922</c:v>
                </c:pt>
                <c:pt idx="183">
                  <c:v>871.25188064574991</c:v>
                </c:pt>
                <c:pt idx="184">
                  <c:v>232.47194671630854</c:v>
                </c:pt>
                <c:pt idx="185">
                  <c:v>55.585753679275463</c:v>
                </c:pt>
                <c:pt idx="186">
                  <c:v>165.59062838554343</c:v>
                </c:pt>
                <c:pt idx="187">
                  <c:v>274.77459716796733</c:v>
                </c:pt>
                <c:pt idx="188">
                  <c:v>158.35846042633028</c:v>
                </c:pt>
                <c:pt idx="189">
                  <c:v>205.89050483703579</c:v>
                </c:pt>
                <c:pt idx="190">
                  <c:v>282.25354385375971</c:v>
                </c:pt>
                <c:pt idx="191">
                  <c:v>372.6316223144529</c:v>
                </c:pt>
                <c:pt idx="192">
                  <c:v>367.03932380676201</c:v>
                </c:pt>
                <c:pt idx="193">
                  <c:v>3119.5275878906232</c:v>
                </c:pt>
                <c:pt idx="194">
                  <c:v>885.2840003967267</c:v>
                </c:pt>
                <c:pt idx="195">
                  <c:v>383.74641418456804</c:v>
                </c:pt>
                <c:pt idx="196">
                  <c:v>23.58628845214842</c:v>
                </c:pt>
                <c:pt idx="197">
                  <c:v>6.6354705095290907</c:v>
                </c:pt>
                <c:pt idx="198">
                  <c:v>63.914534091949356</c:v>
                </c:pt>
                <c:pt idx="199">
                  <c:v>294.90290069580038</c:v>
                </c:pt>
                <c:pt idx="200">
                  <c:v>79.123928070068203</c:v>
                </c:pt>
                <c:pt idx="20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56736"/>
        <c:axId val="42358272"/>
      </c:scatterChart>
      <c:valAx>
        <c:axId val="423567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2358272"/>
        <c:crosses val="autoZero"/>
        <c:crossBetween val="midCat"/>
      </c:valAx>
      <c:valAx>
        <c:axId val="42358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2356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Model Pierce Transit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AM_BoardingByRoute!$H$2</c:f>
              <c:strCache>
                <c:ptCount val="1"/>
                <c:pt idx="0">
                  <c:v>AM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AM_BoardingByRoute!$G$205:$G$255</c:f>
              <c:numCache>
                <c:formatCode>0</c:formatCode>
                <c:ptCount val="51"/>
                <c:pt idx="0">
                  <c:v>1152.909090909091</c:v>
                </c:pt>
                <c:pt idx="1">
                  <c:v>646.5</c:v>
                </c:pt>
                <c:pt idx="2">
                  <c:v>461.31818181818181</c:v>
                </c:pt>
                <c:pt idx="3">
                  <c:v>155</c:v>
                </c:pt>
                <c:pt idx="4">
                  <c:v>166.59090909090909</c:v>
                </c:pt>
                <c:pt idx="5">
                  <c:v>75.954545454545453</c:v>
                </c:pt>
                <c:pt idx="6">
                  <c:v>223.5</c:v>
                </c:pt>
                <c:pt idx="7">
                  <c:v>17</c:v>
                </c:pt>
                <c:pt idx="8">
                  <c:v>196.36363636363637</c:v>
                </c:pt>
                <c:pt idx="9">
                  <c:v>182.04545454545456</c:v>
                </c:pt>
                <c:pt idx="10">
                  <c:v>150.18181818181819</c:v>
                </c:pt>
                <c:pt idx="11">
                  <c:v>195.90909090909091</c:v>
                </c:pt>
                <c:pt idx="12">
                  <c:v>280.45454545454544</c:v>
                </c:pt>
                <c:pt idx="13">
                  <c:v>69.22727272727272</c:v>
                </c:pt>
                <c:pt idx="14">
                  <c:v>226.09090909090909</c:v>
                </c:pt>
                <c:pt idx="15">
                  <c:v>307.95454545454544</c:v>
                </c:pt>
                <c:pt idx="16">
                  <c:v>139.36363636363637</c:v>
                </c:pt>
                <c:pt idx="17">
                  <c:v>209.72727272727272</c:v>
                </c:pt>
                <c:pt idx="18">
                  <c:v>110.09090909090909</c:v>
                </c:pt>
                <c:pt idx="19">
                  <c:v>164.86363636363637</c:v>
                </c:pt>
                <c:pt idx="20">
                  <c:v>35.545454545454547</c:v>
                </c:pt>
                <c:pt idx="21">
                  <c:v>12</c:v>
                </c:pt>
                <c:pt idx="22">
                  <c:v>54.727272727272727</c:v>
                </c:pt>
                <c:pt idx="23">
                  <c:v>110.18181818181819</c:v>
                </c:pt>
                <c:pt idx="24">
                  <c:v>89.590909090909093</c:v>
                </c:pt>
                <c:pt idx="25">
                  <c:v>5.4545454545454541</c:v>
                </c:pt>
                <c:pt idx="26">
                  <c:v>302.63636363636363</c:v>
                </c:pt>
                <c:pt idx="27">
                  <c:v>305.72727272727275</c:v>
                </c:pt>
                <c:pt idx="28">
                  <c:v>164.81818181818181</c:v>
                </c:pt>
                <c:pt idx="29">
                  <c:v>29.045454545454547</c:v>
                </c:pt>
                <c:pt idx="30">
                  <c:v>138.09090909090909</c:v>
                </c:pt>
                <c:pt idx="31">
                  <c:v>226.22727272727275</c:v>
                </c:pt>
                <c:pt idx="32">
                  <c:v>82.090909090909093</c:v>
                </c:pt>
                <c:pt idx="33">
                  <c:v>151.68181818181819</c:v>
                </c:pt>
                <c:pt idx="34">
                  <c:v>275.59090909090912</c:v>
                </c:pt>
                <c:pt idx="35">
                  <c:v>10.136363636363637</c:v>
                </c:pt>
                <c:pt idx="36">
                  <c:v>4.6363636363636367</c:v>
                </c:pt>
                <c:pt idx="37">
                  <c:v>21.227272727272727</c:v>
                </c:pt>
                <c:pt idx="38">
                  <c:v>110.22727272727273</c:v>
                </c:pt>
                <c:pt idx="39">
                  <c:v>226.68181818181819</c:v>
                </c:pt>
                <c:pt idx="40">
                  <c:v>41.409090909090907</c:v>
                </c:pt>
                <c:pt idx="41">
                  <c:v>13.272727272727273</c:v>
                </c:pt>
                <c:pt idx="42">
                  <c:v>5.6818181818181817</c:v>
                </c:pt>
                <c:pt idx="43">
                  <c:v>75.681818181818187</c:v>
                </c:pt>
                <c:pt idx="44">
                  <c:v>59.545454545454547</c:v>
                </c:pt>
                <c:pt idx="45">
                  <c:v>84.72727272727272</c:v>
                </c:pt>
                <c:pt idx="46">
                  <c:v>54.31818181818182</c:v>
                </c:pt>
                <c:pt idx="47">
                  <c:v>194.40909090909091</c:v>
                </c:pt>
                <c:pt idx="48">
                  <c:v>158.86363636363637</c:v>
                </c:pt>
                <c:pt idx="49">
                  <c:v>37.31818181818182</c:v>
                </c:pt>
                <c:pt idx="50">
                  <c:v>62.227272727272727</c:v>
                </c:pt>
              </c:numCache>
            </c:numRef>
          </c:xVal>
          <c:yVal>
            <c:numRef>
              <c:f>AM_BoardingByRoute!$H$205:$H$255</c:f>
              <c:numCache>
                <c:formatCode>0</c:formatCode>
                <c:ptCount val="51"/>
                <c:pt idx="0">
                  <c:v>2773.7270355224537</c:v>
                </c:pt>
                <c:pt idx="1">
                  <c:v>1462.7129960060095</c:v>
                </c:pt>
                <c:pt idx="2">
                  <c:v>971.64350843429372</c:v>
                </c:pt>
                <c:pt idx="3">
                  <c:v>114.8404397964475</c:v>
                </c:pt>
                <c:pt idx="4">
                  <c:v>289.21071434020979</c:v>
                </c:pt>
                <c:pt idx="5">
                  <c:v>119.6164741516111</c:v>
                </c:pt>
                <c:pt idx="6">
                  <c:v>263.3333873748777</c:v>
                </c:pt>
                <c:pt idx="7">
                  <c:v>10.29299688339232</c:v>
                </c:pt>
                <c:pt idx="8">
                  <c:v>77.094901084899846</c:v>
                </c:pt>
                <c:pt idx="9">
                  <c:v>267.17508697509732</c:v>
                </c:pt>
                <c:pt idx="10">
                  <c:v>156.48871135711633</c:v>
                </c:pt>
                <c:pt idx="11">
                  <c:v>143.10745620727525</c:v>
                </c:pt>
                <c:pt idx="12">
                  <c:v>327.93365383148171</c:v>
                </c:pt>
                <c:pt idx="13">
                  <c:v>80.018344879150163</c:v>
                </c:pt>
                <c:pt idx="14">
                  <c:v>256.33749389648398</c:v>
                </c:pt>
                <c:pt idx="15">
                  <c:v>479.76952743530228</c:v>
                </c:pt>
                <c:pt idx="16">
                  <c:v>161.63436317443819</c:v>
                </c:pt>
                <c:pt idx="17">
                  <c:v>187.13295745849581</c:v>
                </c:pt>
                <c:pt idx="18">
                  <c:v>181.05547904968228</c:v>
                </c:pt>
                <c:pt idx="19">
                  <c:v>171.70048046112032</c:v>
                </c:pt>
                <c:pt idx="20">
                  <c:v>51.502394199371309</c:v>
                </c:pt>
                <c:pt idx="21">
                  <c:v>99.078796386718608</c:v>
                </c:pt>
                <c:pt idx="22">
                  <c:v>116.04730272293068</c:v>
                </c:pt>
                <c:pt idx="23">
                  <c:v>248.94641494750942</c:v>
                </c:pt>
                <c:pt idx="24">
                  <c:v>265.87233734130837</c:v>
                </c:pt>
                <c:pt idx="25">
                  <c:v>2.3922078013420052</c:v>
                </c:pt>
                <c:pt idx="26">
                  <c:v>248.46319389343228</c:v>
                </c:pt>
                <c:pt idx="27">
                  <c:v>503.58182525634572</c:v>
                </c:pt>
                <c:pt idx="28">
                  <c:v>154.85691070556609</c:v>
                </c:pt>
                <c:pt idx="29">
                  <c:v>19.530949592590289</c:v>
                </c:pt>
                <c:pt idx="30">
                  <c:v>81.539621591567766</c:v>
                </c:pt>
                <c:pt idx="31">
                  <c:v>121.5127334594725</c:v>
                </c:pt>
                <c:pt idx="32">
                  <c:v>101.50133228301969</c:v>
                </c:pt>
                <c:pt idx="33">
                  <c:v>239.52523803710883</c:v>
                </c:pt>
                <c:pt idx="34">
                  <c:v>516.94614744186345</c:v>
                </c:pt>
                <c:pt idx="35">
                  <c:v>5.1333333402872086</c:v>
                </c:pt>
                <c:pt idx="36">
                  <c:v>6.6666670143604195E-2</c:v>
                </c:pt>
                <c:pt idx="37">
                  <c:v>0</c:v>
                </c:pt>
                <c:pt idx="38">
                  <c:v>276.33411026000942</c:v>
                </c:pt>
                <c:pt idx="39">
                  <c:v>287.72049975395169</c:v>
                </c:pt>
                <c:pt idx="40">
                  <c:v>28.704005002975435</c:v>
                </c:pt>
                <c:pt idx="41">
                  <c:v>16.5763018131256</c:v>
                </c:pt>
                <c:pt idx="42">
                  <c:v>0</c:v>
                </c:pt>
                <c:pt idx="43">
                  <c:v>151.90649032592762</c:v>
                </c:pt>
                <c:pt idx="44">
                  <c:v>20.787745952606191</c:v>
                </c:pt>
                <c:pt idx="45">
                  <c:v>68.042628288268929</c:v>
                </c:pt>
                <c:pt idx="46">
                  <c:v>0</c:v>
                </c:pt>
                <c:pt idx="47">
                  <c:v>398.18479919433571</c:v>
                </c:pt>
                <c:pt idx="48">
                  <c:v>409.42977142333939</c:v>
                </c:pt>
                <c:pt idx="49">
                  <c:v>20.122513294219949</c:v>
                </c:pt>
                <c:pt idx="50">
                  <c:v>34.516501128673461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18336"/>
        <c:axId val="50646016"/>
      </c:scatterChart>
      <c:valAx>
        <c:axId val="483183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0646016"/>
        <c:crosses val="autoZero"/>
        <c:crossBetween val="midCat"/>
      </c:valAx>
      <c:valAx>
        <c:axId val="506460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8318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Model Pierce Transit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AM_BoardingByRoute!$H$2</c:f>
              <c:strCache>
                <c:ptCount val="1"/>
                <c:pt idx="0">
                  <c:v>AM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AM_BoardingByRoute!$G$256:$G$374</c:f>
              <c:numCache>
                <c:formatCode>0</c:formatCode>
                <c:ptCount val="119"/>
                <c:pt idx="0">
                  <c:v>326.78394485843756</c:v>
                </c:pt>
                <c:pt idx="1">
                  <c:v>245.18336953845946</c:v>
                </c:pt>
                <c:pt idx="2">
                  <c:v>19.257371176632681</c:v>
                </c:pt>
                <c:pt idx="3">
                  <c:v>107.82780989770201</c:v>
                </c:pt>
                <c:pt idx="4">
                  <c:v>248.20382865482011</c:v>
                </c:pt>
                <c:pt idx="5">
                  <c:v>176.17066117633328</c:v>
                </c:pt>
                <c:pt idx="6">
                  <c:v>318.67979996898356</c:v>
                </c:pt>
                <c:pt idx="7">
                  <c:v>250.34884382767353</c:v>
                </c:pt>
                <c:pt idx="8">
                  <c:v>258.61549388248829</c:v>
                </c:pt>
                <c:pt idx="9">
                  <c:v>63.855093634584932</c:v>
                </c:pt>
                <c:pt idx="10">
                  <c:v>8.3849976197628546</c:v>
                </c:pt>
                <c:pt idx="11">
                  <c:v>147.31197433610245</c:v>
                </c:pt>
                <c:pt idx="12">
                  <c:v>130.41101185556326</c:v>
                </c:pt>
                <c:pt idx="13">
                  <c:v>114.83193473913033</c:v>
                </c:pt>
                <c:pt idx="14">
                  <c:v>62.739119858047772</c:v>
                </c:pt>
                <c:pt idx="15">
                  <c:v>134.51904635283356</c:v>
                </c:pt>
                <c:pt idx="16">
                  <c:v>269.70191409064688</c:v>
                </c:pt>
                <c:pt idx="17">
                  <c:v>135.41479173790989</c:v>
                </c:pt>
                <c:pt idx="18">
                  <c:v>49.919164867472098</c:v>
                </c:pt>
                <c:pt idx="19">
                  <c:v>41.216483986358945</c:v>
                </c:pt>
                <c:pt idx="20">
                  <c:v>20.246523946148752</c:v>
                </c:pt>
                <c:pt idx="21">
                  <c:v>54.347578897242798</c:v>
                </c:pt>
                <c:pt idx="22">
                  <c:v>128.41044367310948</c:v>
                </c:pt>
                <c:pt idx="23">
                  <c:v>74.821535591529297</c:v>
                </c:pt>
                <c:pt idx="24">
                  <c:v>86.799572591295245</c:v>
                </c:pt>
                <c:pt idx="25">
                  <c:v>252.86361917605041</c:v>
                </c:pt>
                <c:pt idx="26">
                  <c:v>559.68184310587117</c:v>
                </c:pt>
                <c:pt idx="27">
                  <c:v>98.545463889533195</c:v>
                </c:pt>
                <c:pt idx="28">
                  <c:v>130.02013624664042</c:v>
                </c:pt>
                <c:pt idx="29">
                  <c:v>145.26609440056475</c:v>
                </c:pt>
                <c:pt idx="30">
                  <c:v>121.77372216091852</c:v>
                </c:pt>
                <c:pt idx="31">
                  <c:v>188.17565557948046</c:v>
                </c:pt>
                <c:pt idx="32">
                  <c:v>283.50899983744358</c:v>
                </c:pt>
                <c:pt idx="33">
                  <c:v>115.30896313304251</c:v>
                </c:pt>
                <c:pt idx="34">
                  <c:v>249.93148546320515</c:v>
                </c:pt>
                <c:pt idx="35">
                  <c:v>115.21482745383712</c:v>
                </c:pt>
                <c:pt idx="36">
                  <c:v>144.74226816393306</c:v>
                </c:pt>
                <c:pt idx="37">
                  <c:v>129.54123525191409</c:v>
                </c:pt>
                <c:pt idx="38">
                  <c:v>19.530052333710969</c:v>
                </c:pt>
                <c:pt idx="39">
                  <c:v>39.734462002133668</c:v>
                </c:pt>
                <c:pt idx="40">
                  <c:v>47.138703064289594</c:v>
                </c:pt>
                <c:pt idx="41">
                  <c:v>144.26384328190369</c:v>
                </c:pt>
                <c:pt idx="42">
                  <c:v>35.315983672745482</c:v>
                </c:pt>
                <c:pt idx="43">
                  <c:v>103.1818</c:v>
                </c:pt>
                <c:pt idx="44">
                  <c:v>534.03099468463847</c:v>
                </c:pt>
                <c:pt idx="45">
                  <c:v>82.196681849205518</c:v>
                </c:pt>
                <c:pt idx="46">
                  <c:v>57.292106804778442</c:v>
                </c:pt>
                <c:pt idx="47">
                  <c:v>133.17867640493739</c:v>
                </c:pt>
                <c:pt idx="48">
                  <c:v>280.78928293796383</c:v>
                </c:pt>
                <c:pt idx="49">
                  <c:v>163.95029895012226</c:v>
                </c:pt>
                <c:pt idx="50">
                  <c:v>122.40730956593393</c:v>
                </c:pt>
                <c:pt idx="51">
                  <c:v>19.960181160878378</c:v>
                </c:pt>
                <c:pt idx="52">
                  <c:v>206.30965332639028</c:v>
                </c:pt>
                <c:pt idx="53">
                  <c:v>41</c:v>
                </c:pt>
                <c:pt idx="54">
                  <c:v>13</c:v>
                </c:pt>
                <c:pt idx="55">
                  <c:v>23</c:v>
                </c:pt>
                <c:pt idx="56">
                  <c:v>203</c:v>
                </c:pt>
                <c:pt idx="57">
                  <c:v>46</c:v>
                </c:pt>
                <c:pt idx="58">
                  <c:v>95</c:v>
                </c:pt>
                <c:pt idx="59">
                  <c:v>58</c:v>
                </c:pt>
                <c:pt idx="60">
                  <c:v>49</c:v>
                </c:pt>
                <c:pt idx="61">
                  <c:v>56</c:v>
                </c:pt>
                <c:pt idx="62">
                  <c:v>72</c:v>
                </c:pt>
                <c:pt idx="63">
                  <c:v>46</c:v>
                </c:pt>
                <c:pt idx="64">
                  <c:v>57</c:v>
                </c:pt>
                <c:pt idx="65">
                  <c:v>5</c:v>
                </c:pt>
                <c:pt idx="66">
                  <c:v>66</c:v>
                </c:pt>
                <c:pt idx="67">
                  <c:v>60</c:v>
                </c:pt>
                <c:pt idx="68">
                  <c:v>38</c:v>
                </c:pt>
                <c:pt idx="69">
                  <c:v>37</c:v>
                </c:pt>
                <c:pt idx="70">
                  <c:v>28</c:v>
                </c:pt>
                <c:pt idx="71">
                  <c:v>35</c:v>
                </c:pt>
                <c:pt idx="72">
                  <c:v>24</c:v>
                </c:pt>
                <c:pt idx="73">
                  <c:v>9</c:v>
                </c:pt>
                <c:pt idx="74">
                  <c:v>11</c:v>
                </c:pt>
                <c:pt idx="75">
                  <c:v>17</c:v>
                </c:pt>
                <c:pt idx="76">
                  <c:v>8</c:v>
                </c:pt>
                <c:pt idx="77">
                  <c:v>60</c:v>
                </c:pt>
                <c:pt idx="78">
                  <c:v>6</c:v>
                </c:pt>
                <c:pt idx="79">
                  <c:v>54</c:v>
                </c:pt>
                <c:pt idx="80">
                  <c:v>189</c:v>
                </c:pt>
                <c:pt idx="81">
                  <c:v>106</c:v>
                </c:pt>
                <c:pt idx="82">
                  <c:v>4</c:v>
                </c:pt>
                <c:pt idx="83">
                  <c:v>41</c:v>
                </c:pt>
                <c:pt idx="84">
                  <c:v>26</c:v>
                </c:pt>
                <c:pt idx="85">
                  <c:v>50</c:v>
                </c:pt>
                <c:pt idx="86">
                  <c:v>30</c:v>
                </c:pt>
                <c:pt idx="87">
                  <c:v>42</c:v>
                </c:pt>
                <c:pt idx="88">
                  <c:v>27</c:v>
                </c:pt>
                <c:pt idx="89">
                  <c:v>30</c:v>
                </c:pt>
                <c:pt idx="90">
                  <c:v>22</c:v>
                </c:pt>
                <c:pt idx="91">
                  <c:v>20.272727272727273</c:v>
                </c:pt>
                <c:pt idx="92">
                  <c:v>28.40909090909091</c:v>
                </c:pt>
                <c:pt idx="93">
                  <c:v>30.272727272727273</c:v>
                </c:pt>
                <c:pt idx="94">
                  <c:v>21.863636363636363</c:v>
                </c:pt>
                <c:pt idx="95">
                  <c:v>32.772727272727273</c:v>
                </c:pt>
                <c:pt idx="96">
                  <c:v>33.636363636363633</c:v>
                </c:pt>
                <c:pt idx="97">
                  <c:v>31.181818181818183</c:v>
                </c:pt>
                <c:pt idx="98">
                  <c:v>27.40909090909091</c:v>
                </c:pt>
                <c:pt idx="99">
                  <c:v>26.40909090909091</c:v>
                </c:pt>
                <c:pt idx="100">
                  <c:v>33.5</c:v>
                </c:pt>
                <c:pt idx="101">
                  <c:v>25.681818181818183</c:v>
                </c:pt>
                <c:pt idx="102">
                  <c:v>23.545454545454547</c:v>
                </c:pt>
                <c:pt idx="103">
                  <c:v>25.636363636363637</c:v>
                </c:pt>
                <c:pt idx="104">
                  <c:v>28</c:v>
                </c:pt>
                <c:pt idx="105">
                  <c:v>35.227272727272727</c:v>
                </c:pt>
                <c:pt idx="106">
                  <c:v>32.045454545454547</c:v>
                </c:pt>
                <c:pt idx="107">
                  <c:v>25.59090909090909</c:v>
                </c:pt>
                <c:pt idx="108">
                  <c:v>27.681818181818183</c:v>
                </c:pt>
                <c:pt idx="109">
                  <c:v>30</c:v>
                </c:pt>
                <c:pt idx="110">
                  <c:v>28.40909090909091</c:v>
                </c:pt>
                <c:pt idx="111">
                  <c:v>35.863636363636367</c:v>
                </c:pt>
                <c:pt idx="112">
                  <c:v>34.863636363636367</c:v>
                </c:pt>
                <c:pt idx="113">
                  <c:v>30.454545454545453</c:v>
                </c:pt>
                <c:pt idx="114">
                  <c:v>30.136363636363637</c:v>
                </c:pt>
                <c:pt idx="115">
                  <c:v>31.59090909090909</c:v>
                </c:pt>
                <c:pt idx="116">
                  <c:v>32.272727272727273</c:v>
                </c:pt>
                <c:pt idx="117">
                  <c:v>16.727272727272727</c:v>
                </c:pt>
                <c:pt idx="118">
                  <c:v>15.954545454545455</c:v>
                </c:pt>
              </c:numCache>
            </c:numRef>
          </c:xVal>
          <c:yVal>
            <c:numRef>
              <c:f>AM_BoardingByRoute!$H$256:$H$374</c:f>
              <c:numCache>
                <c:formatCode>0</c:formatCode>
                <c:ptCount val="119"/>
                <c:pt idx="0">
                  <c:v>609.32039642333871</c:v>
                </c:pt>
                <c:pt idx="1">
                  <c:v>405.36340332031227</c:v>
                </c:pt>
                <c:pt idx="2">
                  <c:v>49.151424884796057</c:v>
                </c:pt>
                <c:pt idx="3">
                  <c:v>77.847758293151799</c:v>
                </c:pt>
                <c:pt idx="4">
                  <c:v>275.61708259582497</c:v>
                </c:pt>
                <c:pt idx="5">
                  <c:v>617.45001983642237</c:v>
                </c:pt>
                <c:pt idx="6">
                  <c:v>545.26665115356286</c:v>
                </c:pt>
                <c:pt idx="7">
                  <c:v>483.90570068359182</c:v>
                </c:pt>
                <c:pt idx="8">
                  <c:v>275.87547492980929</c:v>
                </c:pt>
                <c:pt idx="9">
                  <c:v>54.471185684204002</c:v>
                </c:pt>
                <c:pt idx="10">
                  <c:v>15.13291311264037</c:v>
                </c:pt>
                <c:pt idx="11">
                  <c:v>192.28944396972628</c:v>
                </c:pt>
                <c:pt idx="12">
                  <c:v>97.699099540710193</c:v>
                </c:pt>
                <c:pt idx="13">
                  <c:v>115.1564359664913</c:v>
                </c:pt>
                <c:pt idx="14">
                  <c:v>28.435123443603487</c:v>
                </c:pt>
                <c:pt idx="15">
                  <c:v>502.26646423339702</c:v>
                </c:pt>
                <c:pt idx="16">
                  <c:v>956.70467376708802</c:v>
                </c:pt>
                <c:pt idx="17">
                  <c:v>527.09227561950581</c:v>
                </c:pt>
                <c:pt idx="18">
                  <c:v>99.956589698791362</c:v>
                </c:pt>
                <c:pt idx="19">
                  <c:v>57.872756958007699</c:v>
                </c:pt>
                <c:pt idx="20">
                  <c:v>24.809257864952059</c:v>
                </c:pt>
                <c:pt idx="21">
                  <c:v>60.402220726013155</c:v>
                </c:pt>
                <c:pt idx="22">
                  <c:v>276.53423213958706</c:v>
                </c:pt>
                <c:pt idx="23">
                  <c:v>92.735754966735499</c:v>
                </c:pt>
                <c:pt idx="24">
                  <c:v>215.41213417053189</c:v>
                </c:pt>
                <c:pt idx="25">
                  <c:v>295.51564025878878</c:v>
                </c:pt>
                <c:pt idx="26">
                  <c:v>459.10214233398352</c:v>
                </c:pt>
                <c:pt idx="27">
                  <c:v>183.84166717529291</c:v>
                </c:pt>
                <c:pt idx="28">
                  <c:v>208.51110839843687</c:v>
                </c:pt>
                <c:pt idx="29">
                  <c:v>154.57762908935541</c:v>
                </c:pt>
                <c:pt idx="30">
                  <c:v>175.9094963073729</c:v>
                </c:pt>
                <c:pt idx="31">
                  <c:v>198.49214172363259</c:v>
                </c:pt>
                <c:pt idx="32">
                  <c:v>202.04145050048808</c:v>
                </c:pt>
                <c:pt idx="33">
                  <c:v>508.27066040038903</c:v>
                </c:pt>
                <c:pt idx="34">
                  <c:v>457.05773162841695</c:v>
                </c:pt>
                <c:pt idx="35">
                  <c:v>215.8890495300291</c:v>
                </c:pt>
                <c:pt idx="36">
                  <c:v>89.5966472625731</c:v>
                </c:pt>
                <c:pt idx="37">
                  <c:v>121.5086555480956</c:v>
                </c:pt>
                <c:pt idx="38">
                  <c:v>16.141591548919671</c:v>
                </c:pt>
                <c:pt idx="39">
                  <c:v>51.956288337707306</c:v>
                </c:pt>
                <c:pt idx="40">
                  <c:v>16.884640932083112</c:v>
                </c:pt>
                <c:pt idx="41">
                  <c:v>96.769398689269906</c:v>
                </c:pt>
                <c:pt idx="42">
                  <c:v>45.255367279052678</c:v>
                </c:pt>
                <c:pt idx="43">
                  <c:v>121.77031517028799</c:v>
                </c:pt>
                <c:pt idx="44">
                  <c:v>1548.4923706054672</c:v>
                </c:pt>
                <c:pt idx="45">
                  <c:v>152.84169006347651</c:v>
                </c:pt>
                <c:pt idx="46">
                  <c:v>119.24929618835439</c:v>
                </c:pt>
                <c:pt idx="47">
                  <c:v>220.279155731201</c:v>
                </c:pt>
                <c:pt idx="48">
                  <c:v>298.76546478271331</c:v>
                </c:pt>
                <c:pt idx="49">
                  <c:v>311.5556411743151</c:v>
                </c:pt>
                <c:pt idx="50">
                  <c:v>176.57869720458959</c:v>
                </c:pt>
                <c:pt idx="51">
                  <c:v>53.375865936279197</c:v>
                </c:pt>
                <c:pt idx="52">
                  <c:v>451.16973114013604</c:v>
                </c:pt>
                <c:pt idx="53">
                  <c:v>5.9827119261026338</c:v>
                </c:pt>
                <c:pt idx="54">
                  <c:v>9.399894714355451</c:v>
                </c:pt>
                <c:pt idx="55">
                  <c:v>15.594526290893551</c:v>
                </c:pt>
                <c:pt idx="56">
                  <c:v>105.09371042251568</c:v>
                </c:pt>
                <c:pt idx="57">
                  <c:v>33.014328420162144</c:v>
                </c:pt>
                <c:pt idx="58">
                  <c:v>143.0189590454099</c:v>
                </c:pt>
                <c:pt idx="59">
                  <c:v>161.7333602905272</c:v>
                </c:pt>
                <c:pt idx="60">
                  <c:v>28.507204771041849</c:v>
                </c:pt>
                <c:pt idx="61">
                  <c:v>59.972920417785502</c:v>
                </c:pt>
                <c:pt idx="62">
                  <c:v>93.01091289520221</c:v>
                </c:pt>
                <c:pt idx="63">
                  <c:v>58.453534126281497</c:v>
                </c:pt>
                <c:pt idx="64">
                  <c:v>5.3344460278749404</c:v>
                </c:pt>
                <c:pt idx="65">
                  <c:v>28.453627943992593</c:v>
                </c:pt>
                <c:pt idx="66">
                  <c:v>55.891166210174418</c:v>
                </c:pt>
                <c:pt idx="67">
                  <c:v>55.941288471221768</c:v>
                </c:pt>
                <c:pt idx="68">
                  <c:v>62.516788959503103</c:v>
                </c:pt>
                <c:pt idx="69">
                  <c:v>39.624374866485482</c:v>
                </c:pt>
                <c:pt idx="70">
                  <c:v>14.741270035505279</c:v>
                </c:pt>
                <c:pt idx="71">
                  <c:v>41.777904510497976</c:v>
                </c:pt>
                <c:pt idx="72">
                  <c:v>2.5714287459850276</c:v>
                </c:pt>
                <c:pt idx="73">
                  <c:v>0</c:v>
                </c:pt>
                <c:pt idx="74">
                  <c:v>2.3214285969734183</c:v>
                </c:pt>
                <c:pt idx="75">
                  <c:v>3.065844058990467</c:v>
                </c:pt>
                <c:pt idx="76">
                  <c:v>0</c:v>
                </c:pt>
                <c:pt idx="77">
                  <c:v>4.79262530803679</c:v>
                </c:pt>
                <c:pt idx="78">
                  <c:v>1.25</c:v>
                </c:pt>
                <c:pt idx="79">
                  <c:v>27.471883893012972</c:v>
                </c:pt>
                <c:pt idx="80">
                  <c:v>182.31282162666292</c:v>
                </c:pt>
                <c:pt idx="81">
                  <c:v>70.180502459406682</c:v>
                </c:pt>
                <c:pt idx="82">
                  <c:v>16.652381896972642</c:v>
                </c:pt>
                <c:pt idx="83">
                  <c:v>23.810487508773711</c:v>
                </c:pt>
                <c:pt idx="84">
                  <c:v>14.282547235488879</c:v>
                </c:pt>
                <c:pt idx="85">
                  <c:v>18.548366785049428</c:v>
                </c:pt>
                <c:pt idx="86">
                  <c:v>1.3799999952316215</c:v>
                </c:pt>
                <c:pt idx="87">
                  <c:v>15.52499985694884</c:v>
                </c:pt>
                <c:pt idx="88">
                  <c:v>5.2999999523162824</c:v>
                </c:pt>
                <c:pt idx="89">
                  <c:v>9.375</c:v>
                </c:pt>
                <c:pt idx="90">
                  <c:v>18.548366785049428</c:v>
                </c:pt>
                <c:pt idx="91">
                  <c:v>0</c:v>
                </c:pt>
                <c:pt idx="92">
                  <c:v>10.70580589771269</c:v>
                </c:pt>
                <c:pt idx="93">
                  <c:v>14.848719120025619</c:v>
                </c:pt>
                <c:pt idx="94">
                  <c:v>3.1153846979141231</c:v>
                </c:pt>
                <c:pt idx="95">
                  <c:v>31.832842826843219</c:v>
                </c:pt>
                <c:pt idx="96">
                  <c:v>28.379732131957908</c:v>
                </c:pt>
                <c:pt idx="97">
                  <c:v>26.923765182495053</c:v>
                </c:pt>
                <c:pt idx="98">
                  <c:v>8.779615163803081</c:v>
                </c:pt>
                <c:pt idx="99">
                  <c:v>24.808345794677727</c:v>
                </c:pt>
                <c:pt idx="100">
                  <c:v>28.363739013671779</c:v>
                </c:pt>
                <c:pt idx="101">
                  <c:v>48.443459510803095</c:v>
                </c:pt>
                <c:pt idx="102">
                  <c:v>31.479810714721619</c:v>
                </c:pt>
                <c:pt idx="103">
                  <c:v>17.076359510421739</c:v>
                </c:pt>
                <c:pt idx="104">
                  <c:v>5.88437712192533</c:v>
                </c:pt>
                <c:pt idx="105">
                  <c:v>18.459034442901601</c:v>
                </c:pt>
                <c:pt idx="106">
                  <c:v>65.634570121764995</c:v>
                </c:pt>
                <c:pt idx="107">
                  <c:v>15.832853794097879</c:v>
                </c:pt>
                <c:pt idx="108">
                  <c:v>10.08247852325438</c:v>
                </c:pt>
                <c:pt idx="109">
                  <c:v>25.794990062713591</c:v>
                </c:pt>
                <c:pt idx="110">
                  <c:v>49.630400657653695</c:v>
                </c:pt>
                <c:pt idx="111">
                  <c:v>9.6566019058227397</c:v>
                </c:pt>
                <c:pt idx="112">
                  <c:v>23.39079904556273</c:v>
                </c:pt>
                <c:pt idx="113">
                  <c:v>107.7688579559325</c:v>
                </c:pt>
                <c:pt idx="114">
                  <c:v>56.437853813171202</c:v>
                </c:pt>
                <c:pt idx="115">
                  <c:v>23.671495914459218</c:v>
                </c:pt>
                <c:pt idx="116">
                  <c:v>98.432559967040802</c:v>
                </c:pt>
                <c:pt idx="117">
                  <c:v>0</c:v>
                </c:pt>
                <c:pt idx="1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89088"/>
        <c:axId val="175290624"/>
      </c:scatterChart>
      <c:valAx>
        <c:axId val="1752890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5290624"/>
        <c:crosses val="autoZero"/>
        <c:crossBetween val="midCat"/>
      </c:valAx>
      <c:valAx>
        <c:axId val="1752906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5289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Model Community Transit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AM_BoardingByRoute!$H$2</c:f>
              <c:strCache>
                <c:ptCount val="1"/>
                <c:pt idx="0">
                  <c:v>AM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AM_BoardingByRoute!$G$256:$G$308</c:f>
              <c:numCache>
                <c:formatCode>0</c:formatCode>
                <c:ptCount val="53"/>
                <c:pt idx="0">
                  <c:v>326.78394485843756</c:v>
                </c:pt>
                <c:pt idx="1">
                  <c:v>245.18336953845946</c:v>
                </c:pt>
                <c:pt idx="2">
                  <c:v>19.257371176632681</c:v>
                </c:pt>
                <c:pt idx="3">
                  <c:v>107.82780989770201</c:v>
                </c:pt>
                <c:pt idx="4">
                  <c:v>248.20382865482011</c:v>
                </c:pt>
                <c:pt idx="5">
                  <c:v>176.17066117633328</c:v>
                </c:pt>
                <c:pt idx="6">
                  <c:v>318.67979996898356</c:v>
                </c:pt>
                <c:pt idx="7">
                  <c:v>250.34884382767353</c:v>
                </c:pt>
                <c:pt idx="8">
                  <c:v>258.61549388248829</c:v>
                </c:pt>
                <c:pt idx="9">
                  <c:v>63.855093634584932</c:v>
                </c:pt>
                <c:pt idx="10">
                  <c:v>8.3849976197628546</c:v>
                </c:pt>
                <c:pt idx="11">
                  <c:v>147.31197433610245</c:v>
                </c:pt>
                <c:pt idx="12">
                  <c:v>130.41101185556326</c:v>
                </c:pt>
                <c:pt idx="13">
                  <c:v>114.83193473913033</c:v>
                </c:pt>
                <c:pt idx="14">
                  <c:v>62.739119858047772</c:v>
                </c:pt>
                <c:pt idx="15">
                  <c:v>134.51904635283356</c:v>
                </c:pt>
                <c:pt idx="16">
                  <c:v>269.70191409064688</c:v>
                </c:pt>
                <c:pt idx="17">
                  <c:v>135.41479173790989</c:v>
                </c:pt>
                <c:pt idx="18">
                  <c:v>49.919164867472098</c:v>
                </c:pt>
                <c:pt idx="19">
                  <c:v>41.216483986358945</c:v>
                </c:pt>
                <c:pt idx="20">
                  <c:v>20.246523946148752</c:v>
                </c:pt>
                <c:pt idx="21">
                  <c:v>54.347578897242798</c:v>
                </c:pt>
                <c:pt idx="22">
                  <c:v>128.41044367310948</c:v>
                </c:pt>
                <c:pt idx="23">
                  <c:v>74.821535591529297</c:v>
                </c:pt>
                <c:pt idx="24">
                  <c:v>86.799572591295245</c:v>
                </c:pt>
                <c:pt idx="25">
                  <c:v>252.86361917605041</c:v>
                </c:pt>
                <c:pt idx="26">
                  <c:v>559.68184310587117</c:v>
                </c:pt>
                <c:pt idx="27">
                  <c:v>98.545463889533195</c:v>
                </c:pt>
                <c:pt idx="28">
                  <c:v>130.02013624664042</c:v>
                </c:pt>
                <c:pt idx="29">
                  <c:v>145.26609440056475</c:v>
                </c:pt>
                <c:pt idx="30">
                  <c:v>121.77372216091852</c:v>
                </c:pt>
                <c:pt idx="31">
                  <c:v>188.17565557948046</c:v>
                </c:pt>
                <c:pt idx="32">
                  <c:v>283.50899983744358</c:v>
                </c:pt>
                <c:pt idx="33">
                  <c:v>115.30896313304251</c:v>
                </c:pt>
                <c:pt idx="34">
                  <c:v>249.93148546320515</c:v>
                </c:pt>
                <c:pt idx="35">
                  <c:v>115.21482745383712</c:v>
                </c:pt>
                <c:pt idx="36">
                  <c:v>144.74226816393306</c:v>
                </c:pt>
                <c:pt idx="37">
                  <c:v>129.54123525191409</c:v>
                </c:pt>
                <c:pt idx="38">
                  <c:v>19.530052333710969</c:v>
                </c:pt>
                <c:pt idx="39">
                  <c:v>39.734462002133668</c:v>
                </c:pt>
                <c:pt idx="40">
                  <c:v>47.138703064289594</c:v>
                </c:pt>
                <c:pt idx="41">
                  <c:v>144.26384328190369</c:v>
                </c:pt>
                <c:pt idx="42">
                  <c:v>35.315983672745482</c:v>
                </c:pt>
                <c:pt idx="43">
                  <c:v>103.1818</c:v>
                </c:pt>
                <c:pt idx="44">
                  <c:v>534.03099468463847</c:v>
                </c:pt>
                <c:pt idx="45">
                  <c:v>82.196681849205518</c:v>
                </c:pt>
                <c:pt idx="46">
                  <c:v>57.292106804778442</c:v>
                </c:pt>
                <c:pt idx="47">
                  <c:v>133.17867640493739</c:v>
                </c:pt>
                <c:pt idx="48">
                  <c:v>280.78928293796383</c:v>
                </c:pt>
                <c:pt idx="49">
                  <c:v>163.95029895012226</c:v>
                </c:pt>
                <c:pt idx="50">
                  <c:v>122.40730956593393</c:v>
                </c:pt>
                <c:pt idx="51">
                  <c:v>19.960181160878378</c:v>
                </c:pt>
                <c:pt idx="52">
                  <c:v>206.30965332639028</c:v>
                </c:pt>
              </c:numCache>
            </c:numRef>
          </c:xVal>
          <c:yVal>
            <c:numRef>
              <c:f>AM_BoardingByRoute!$H$256:$H$308</c:f>
              <c:numCache>
                <c:formatCode>0</c:formatCode>
                <c:ptCount val="53"/>
                <c:pt idx="0">
                  <c:v>609.32039642333871</c:v>
                </c:pt>
                <c:pt idx="1">
                  <c:v>405.36340332031227</c:v>
                </c:pt>
                <c:pt idx="2">
                  <c:v>49.151424884796057</c:v>
                </c:pt>
                <c:pt idx="3">
                  <c:v>77.847758293151799</c:v>
                </c:pt>
                <c:pt idx="4">
                  <c:v>275.61708259582497</c:v>
                </c:pt>
                <c:pt idx="5">
                  <c:v>617.45001983642237</c:v>
                </c:pt>
                <c:pt idx="6">
                  <c:v>545.26665115356286</c:v>
                </c:pt>
                <c:pt idx="7">
                  <c:v>483.90570068359182</c:v>
                </c:pt>
                <c:pt idx="8">
                  <c:v>275.87547492980929</c:v>
                </c:pt>
                <c:pt idx="9">
                  <c:v>54.471185684204002</c:v>
                </c:pt>
                <c:pt idx="10">
                  <c:v>15.13291311264037</c:v>
                </c:pt>
                <c:pt idx="11">
                  <c:v>192.28944396972628</c:v>
                </c:pt>
                <c:pt idx="12">
                  <c:v>97.699099540710193</c:v>
                </c:pt>
                <c:pt idx="13">
                  <c:v>115.1564359664913</c:v>
                </c:pt>
                <c:pt idx="14">
                  <c:v>28.435123443603487</c:v>
                </c:pt>
                <c:pt idx="15">
                  <c:v>502.26646423339702</c:v>
                </c:pt>
                <c:pt idx="16">
                  <c:v>956.70467376708802</c:v>
                </c:pt>
                <c:pt idx="17">
                  <c:v>527.09227561950581</c:v>
                </c:pt>
                <c:pt idx="18">
                  <c:v>99.956589698791362</c:v>
                </c:pt>
                <c:pt idx="19">
                  <c:v>57.872756958007699</c:v>
                </c:pt>
                <c:pt idx="20">
                  <c:v>24.809257864952059</c:v>
                </c:pt>
                <c:pt idx="21">
                  <c:v>60.402220726013155</c:v>
                </c:pt>
                <c:pt idx="22">
                  <c:v>276.53423213958706</c:v>
                </c:pt>
                <c:pt idx="23">
                  <c:v>92.735754966735499</c:v>
                </c:pt>
                <c:pt idx="24">
                  <c:v>215.41213417053189</c:v>
                </c:pt>
                <c:pt idx="25">
                  <c:v>295.51564025878878</c:v>
                </c:pt>
                <c:pt idx="26">
                  <c:v>459.10214233398352</c:v>
                </c:pt>
                <c:pt idx="27">
                  <c:v>183.84166717529291</c:v>
                </c:pt>
                <c:pt idx="28">
                  <c:v>208.51110839843687</c:v>
                </c:pt>
                <c:pt idx="29">
                  <c:v>154.57762908935541</c:v>
                </c:pt>
                <c:pt idx="30">
                  <c:v>175.9094963073729</c:v>
                </c:pt>
                <c:pt idx="31">
                  <c:v>198.49214172363259</c:v>
                </c:pt>
                <c:pt idx="32">
                  <c:v>202.04145050048808</c:v>
                </c:pt>
                <c:pt idx="33">
                  <c:v>508.27066040038903</c:v>
                </c:pt>
                <c:pt idx="34">
                  <c:v>457.05773162841695</c:v>
                </c:pt>
                <c:pt idx="35">
                  <c:v>215.8890495300291</c:v>
                </c:pt>
                <c:pt idx="36">
                  <c:v>89.5966472625731</c:v>
                </c:pt>
                <c:pt idx="37">
                  <c:v>121.5086555480956</c:v>
                </c:pt>
                <c:pt idx="38">
                  <c:v>16.141591548919671</c:v>
                </c:pt>
                <c:pt idx="39">
                  <c:v>51.956288337707306</c:v>
                </c:pt>
                <c:pt idx="40">
                  <c:v>16.884640932083112</c:v>
                </c:pt>
                <c:pt idx="41">
                  <c:v>96.769398689269906</c:v>
                </c:pt>
                <c:pt idx="42">
                  <c:v>45.255367279052678</c:v>
                </c:pt>
                <c:pt idx="43">
                  <c:v>121.77031517028799</c:v>
                </c:pt>
                <c:pt idx="44">
                  <c:v>1548.4923706054672</c:v>
                </c:pt>
                <c:pt idx="45">
                  <c:v>152.84169006347651</c:v>
                </c:pt>
                <c:pt idx="46">
                  <c:v>119.24929618835439</c:v>
                </c:pt>
                <c:pt idx="47">
                  <c:v>220.279155731201</c:v>
                </c:pt>
                <c:pt idx="48">
                  <c:v>298.76546478271331</c:v>
                </c:pt>
                <c:pt idx="49">
                  <c:v>311.5556411743151</c:v>
                </c:pt>
                <c:pt idx="50">
                  <c:v>176.57869720458959</c:v>
                </c:pt>
                <c:pt idx="51">
                  <c:v>53.375865936279197</c:v>
                </c:pt>
                <c:pt idx="52">
                  <c:v>451.16973114013604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8064"/>
        <c:axId val="40729600"/>
      </c:scatterChart>
      <c:valAx>
        <c:axId val="40728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0729600"/>
        <c:crosses val="autoZero"/>
        <c:crossBetween val="midCat"/>
      </c:valAx>
      <c:valAx>
        <c:axId val="407296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0728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 Model Kitsap Transit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AM_BoardingByRoute!$G$309:$G$374</c:f>
              <c:numCache>
                <c:formatCode>0</c:formatCode>
                <c:ptCount val="66"/>
                <c:pt idx="0">
                  <c:v>41</c:v>
                </c:pt>
                <c:pt idx="1">
                  <c:v>13</c:v>
                </c:pt>
                <c:pt idx="2">
                  <c:v>23</c:v>
                </c:pt>
                <c:pt idx="3">
                  <c:v>203</c:v>
                </c:pt>
                <c:pt idx="4">
                  <c:v>46</c:v>
                </c:pt>
                <c:pt idx="5">
                  <c:v>95</c:v>
                </c:pt>
                <c:pt idx="6">
                  <c:v>58</c:v>
                </c:pt>
                <c:pt idx="7">
                  <c:v>49</c:v>
                </c:pt>
                <c:pt idx="8">
                  <c:v>56</c:v>
                </c:pt>
                <c:pt idx="9">
                  <c:v>72</c:v>
                </c:pt>
                <c:pt idx="10">
                  <c:v>46</c:v>
                </c:pt>
                <c:pt idx="11">
                  <c:v>57</c:v>
                </c:pt>
                <c:pt idx="12">
                  <c:v>5</c:v>
                </c:pt>
                <c:pt idx="13">
                  <c:v>66</c:v>
                </c:pt>
                <c:pt idx="14">
                  <c:v>60</c:v>
                </c:pt>
                <c:pt idx="15">
                  <c:v>38</c:v>
                </c:pt>
                <c:pt idx="16">
                  <c:v>37</c:v>
                </c:pt>
                <c:pt idx="17">
                  <c:v>28</c:v>
                </c:pt>
                <c:pt idx="18">
                  <c:v>35</c:v>
                </c:pt>
                <c:pt idx="19">
                  <c:v>24</c:v>
                </c:pt>
                <c:pt idx="20">
                  <c:v>9</c:v>
                </c:pt>
                <c:pt idx="21">
                  <c:v>11</c:v>
                </c:pt>
                <c:pt idx="22">
                  <c:v>17</c:v>
                </c:pt>
                <c:pt idx="23">
                  <c:v>8</c:v>
                </c:pt>
                <c:pt idx="24">
                  <c:v>60</c:v>
                </c:pt>
                <c:pt idx="25">
                  <c:v>6</c:v>
                </c:pt>
                <c:pt idx="26">
                  <c:v>54</c:v>
                </c:pt>
                <c:pt idx="27">
                  <c:v>189</c:v>
                </c:pt>
                <c:pt idx="28">
                  <c:v>106</c:v>
                </c:pt>
                <c:pt idx="29">
                  <c:v>4</c:v>
                </c:pt>
                <c:pt idx="30">
                  <c:v>41</c:v>
                </c:pt>
                <c:pt idx="31">
                  <c:v>26</c:v>
                </c:pt>
                <c:pt idx="32">
                  <c:v>50</c:v>
                </c:pt>
                <c:pt idx="33">
                  <c:v>30</c:v>
                </c:pt>
                <c:pt idx="34">
                  <c:v>42</c:v>
                </c:pt>
                <c:pt idx="35">
                  <c:v>27</c:v>
                </c:pt>
                <c:pt idx="36">
                  <c:v>30</c:v>
                </c:pt>
                <c:pt idx="37">
                  <c:v>22</c:v>
                </c:pt>
                <c:pt idx="38">
                  <c:v>20.272727272727273</c:v>
                </c:pt>
                <c:pt idx="39">
                  <c:v>28.40909090909091</c:v>
                </c:pt>
                <c:pt idx="40">
                  <c:v>30.272727272727273</c:v>
                </c:pt>
                <c:pt idx="41">
                  <c:v>21.863636363636363</c:v>
                </c:pt>
                <c:pt idx="42">
                  <c:v>32.772727272727273</c:v>
                </c:pt>
                <c:pt idx="43">
                  <c:v>33.636363636363633</c:v>
                </c:pt>
                <c:pt idx="44">
                  <c:v>31.181818181818183</c:v>
                </c:pt>
                <c:pt idx="45">
                  <c:v>27.40909090909091</c:v>
                </c:pt>
                <c:pt idx="46">
                  <c:v>26.40909090909091</c:v>
                </c:pt>
                <c:pt idx="47">
                  <c:v>33.5</c:v>
                </c:pt>
                <c:pt idx="48">
                  <c:v>25.681818181818183</c:v>
                </c:pt>
                <c:pt idx="49">
                  <c:v>23.545454545454547</c:v>
                </c:pt>
                <c:pt idx="50">
                  <c:v>25.636363636363637</c:v>
                </c:pt>
                <c:pt idx="51">
                  <c:v>28</c:v>
                </c:pt>
                <c:pt idx="52">
                  <c:v>35.227272727272727</c:v>
                </c:pt>
                <c:pt idx="53">
                  <c:v>32.045454545454547</c:v>
                </c:pt>
                <c:pt idx="54">
                  <c:v>25.59090909090909</c:v>
                </c:pt>
                <c:pt idx="55">
                  <c:v>27.681818181818183</c:v>
                </c:pt>
                <c:pt idx="56">
                  <c:v>30</c:v>
                </c:pt>
                <c:pt idx="57">
                  <c:v>28.40909090909091</c:v>
                </c:pt>
                <c:pt idx="58">
                  <c:v>35.863636363636367</c:v>
                </c:pt>
                <c:pt idx="59">
                  <c:v>34.863636363636367</c:v>
                </c:pt>
                <c:pt idx="60">
                  <c:v>30.454545454545453</c:v>
                </c:pt>
                <c:pt idx="61">
                  <c:v>30.136363636363637</c:v>
                </c:pt>
                <c:pt idx="62">
                  <c:v>31.59090909090909</c:v>
                </c:pt>
                <c:pt idx="63">
                  <c:v>32.272727272727273</c:v>
                </c:pt>
                <c:pt idx="64">
                  <c:v>16.727272727272727</c:v>
                </c:pt>
                <c:pt idx="65">
                  <c:v>15.954545454545455</c:v>
                </c:pt>
              </c:numCache>
            </c:numRef>
          </c:xVal>
          <c:yVal>
            <c:numRef>
              <c:f>AM_BoardingByRoute!$H$309:$H$374</c:f>
              <c:numCache>
                <c:formatCode>0</c:formatCode>
                <c:ptCount val="66"/>
                <c:pt idx="0">
                  <c:v>5.9827119261026338</c:v>
                </c:pt>
                <c:pt idx="1">
                  <c:v>9.399894714355451</c:v>
                </c:pt>
                <c:pt idx="2">
                  <c:v>15.594526290893551</c:v>
                </c:pt>
                <c:pt idx="3">
                  <c:v>105.09371042251568</c:v>
                </c:pt>
                <c:pt idx="4">
                  <c:v>33.014328420162144</c:v>
                </c:pt>
                <c:pt idx="5">
                  <c:v>143.0189590454099</c:v>
                </c:pt>
                <c:pt idx="6">
                  <c:v>161.7333602905272</c:v>
                </c:pt>
                <c:pt idx="7">
                  <c:v>28.507204771041849</c:v>
                </c:pt>
                <c:pt idx="8">
                  <c:v>59.972920417785502</c:v>
                </c:pt>
                <c:pt idx="9">
                  <c:v>93.01091289520221</c:v>
                </c:pt>
                <c:pt idx="10">
                  <c:v>58.453534126281497</c:v>
                </c:pt>
                <c:pt idx="11">
                  <c:v>5.3344460278749404</c:v>
                </c:pt>
                <c:pt idx="12">
                  <c:v>28.453627943992593</c:v>
                </c:pt>
                <c:pt idx="13">
                  <c:v>55.891166210174418</c:v>
                </c:pt>
                <c:pt idx="14">
                  <c:v>55.941288471221768</c:v>
                </c:pt>
                <c:pt idx="15">
                  <c:v>62.516788959503103</c:v>
                </c:pt>
                <c:pt idx="16">
                  <c:v>39.624374866485482</c:v>
                </c:pt>
                <c:pt idx="17">
                  <c:v>14.741270035505279</c:v>
                </c:pt>
                <c:pt idx="18">
                  <c:v>41.777904510497976</c:v>
                </c:pt>
                <c:pt idx="19">
                  <c:v>2.5714287459850276</c:v>
                </c:pt>
                <c:pt idx="20">
                  <c:v>0</c:v>
                </c:pt>
                <c:pt idx="21">
                  <c:v>2.3214285969734183</c:v>
                </c:pt>
                <c:pt idx="22">
                  <c:v>3.065844058990467</c:v>
                </c:pt>
                <c:pt idx="23">
                  <c:v>0</c:v>
                </c:pt>
                <c:pt idx="24">
                  <c:v>4.79262530803679</c:v>
                </c:pt>
                <c:pt idx="25">
                  <c:v>1.25</c:v>
                </c:pt>
                <c:pt idx="26">
                  <c:v>27.471883893012972</c:v>
                </c:pt>
                <c:pt idx="27">
                  <c:v>182.31282162666292</c:v>
                </c:pt>
                <c:pt idx="28">
                  <c:v>70.180502459406682</c:v>
                </c:pt>
                <c:pt idx="29">
                  <c:v>16.652381896972642</c:v>
                </c:pt>
                <c:pt idx="30">
                  <c:v>23.810487508773711</c:v>
                </c:pt>
                <c:pt idx="31">
                  <c:v>14.282547235488879</c:v>
                </c:pt>
                <c:pt idx="32">
                  <c:v>18.548366785049428</c:v>
                </c:pt>
                <c:pt idx="33">
                  <c:v>1.3799999952316215</c:v>
                </c:pt>
                <c:pt idx="34">
                  <c:v>15.52499985694884</c:v>
                </c:pt>
                <c:pt idx="35">
                  <c:v>5.2999999523162824</c:v>
                </c:pt>
                <c:pt idx="36">
                  <c:v>9.375</c:v>
                </c:pt>
                <c:pt idx="37">
                  <c:v>18.548366785049428</c:v>
                </c:pt>
                <c:pt idx="38">
                  <c:v>0</c:v>
                </c:pt>
                <c:pt idx="39">
                  <c:v>10.70580589771269</c:v>
                </c:pt>
                <c:pt idx="40">
                  <c:v>14.848719120025619</c:v>
                </c:pt>
                <c:pt idx="41">
                  <c:v>3.1153846979141231</c:v>
                </c:pt>
                <c:pt idx="42">
                  <c:v>31.832842826843219</c:v>
                </c:pt>
                <c:pt idx="43">
                  <c:v>28.379732131957908</c:v>
                </c:pt>
                <c:pt idx="44">
                  <c:v>26.923765182495053</c:v>
                </c:pt>
                <c:pt idx="45">
                  <c:v>8.779615163803081</c:v>
                </c:pt>
                <c:pt idx="46">
                  <c:v>24.808345794677727</c:v>
                </c:pt>
                <c:pt idx="47">
                  <c:v>28.363739013671779</c:v>
                </c:pt>
                <c:pt idx="48">
                  <c:v>48.443459510803095</c:v>
                </c:pt>
                <c:pt idx="49">
                  <c:v>31.479810714721619</c:v>
                </c:pt>
                <c:pt idx="50">
                  <c:v>17.076359510421739</c:v>
                </c:pt>
                <c:pt idx="51">
                  <c:v>5.88437712192533</c:v>
                </c:pt>
                <c:pt idx="52">
                  <c:v>18.459034442901601</c:v>
                </c:pt>
                <c:pt idx="53">
                  <c:v>65.634570121764995</c:v>
                </c:pt>
                <c:pt idx="54">
                  <c:v>15.832853794097879</c:v>
                </c:pt>
                <c:pt idx="55">
                  <c:v>10.08247852325438</c:v>
                </c:pt>
                <c:pt idx="56">
                  <c:v>25.794990062713591</c:v>
                </c:pt>
                <c:pt idx="57">
                  <c:v>49.630400657653695</c:v>
                </c:pt>
                <c:pt idx="58">
                  <c:v>9.6566019058227397</c:v>
                </c:pt>
                <c:pt idx="59">
                  <c:v>23.39079904556273</c:v>
                </c:pt>
                <c:pt idx="60">
                  <c:v>107.7688579559325</c:v>
                </c:pt>
                <c:pt idx="61">
                  <c:v>56.437853813171202</c:v>
                </c:pt>
                <c:pt idx="62">
                  <c:v>23.671495914459218</c:v>
                </c:pt>
                <c:pt idx="63">
                  <c:v>98.432559967040802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3392"/>
        <c:axId val="40764928"/>
      </c:scatterChart>
      <c:valAx>
        <c:axId val="407633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0764928"/>
        <c:crosses val="autoZero"/>
        <c:crossBetween val="midCat"/>
      </c:valAx>
      <c:valAx>
        <c:axId val="407649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0763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MD_BoardingByRoute!$H$1</c:f>
              <c:strCache>
                <c:ptCount val="1"/>
                <c:pt idx="0">
                  <c:v>MD Model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MD_BoardingByRoute!$G$2:$G$851</c:f>
              <c:numCache>
                <c:formatCode>0</c:formatCode>
                <c:ptCount val="849"/>
                <c:pt idx="0">
                  <c:v>898.4</c:v>
                </c:pt>
                <c:pt idx="1">
                  <c:v>3356</c:v>
                </c:pt>
                <c:pt idx="2">
                  <c:v>1889.5</c:v>
                </c:pt>
                <c:pt idx="3">
                  <c:v>2293.6999999999998</c:v>
                </c:pt>
                <c:pt idx="4">
                  <c:v>5401.5000000000082</c:v>
                </c:pt>
                <c:pt idx="5">
                  <c:v>2611.8000000000002</c:v>
                </c:pt>
                <c:pt idx="6">
                  <c:v>882.80000000000052</c:v>
                </c:pt>
                <c:pt idx="7">
                  <c:v>1367.6</c:v>
                </c:pt>
                <c:pt idx="8">
                  <c:v>959.1</c:v>
                </c:pt>
                <c:pt idx="9">
                  <c:v>1617.3</c:v>
                </c:pt>
                <c:pt idx="10">
                  <c:v>803.3</c:v>
                </c:pt>
                <c:pt idx="11">
                  <c:v>1456.8</c:v>
                </c:pt>
                <c:pt idx="12">
                  <c:v>1692</c:v>
                </c:pt>
                <c:pt idx="13">
                  <c:v>1884.6</c:v>
                </c:pt>
                <c:pt idx="14">
                  <c:v>621.6</c:v>
                </c:pt>
                <c:pt idx="15">
                  <c:v>1349.1</c:v>
                </c:pt>
                <c:pt idx="16">
                  <c:v>853.7</c:v>
                </c:pt>
                <c:pt idx="17">
                  <c:v>827.3</c:v>
                </c:pt>
                <c:pt idx="18">
                  <c:v>664.6</c:v>
                </c:pt>
                <c:pt idx="19">
                  <c:v>485.2</c:v>
                </c:pt>
                <c:pt idx="20">
                  <c:v>204</c:v>
                </c:pt>
                <c:pt idx="21">
                  <c:v>644.1</c:v>
                </c:pt>
                <c:pt idx="22">
                  <c:v>502.9</c:v>
                </c:pt>
                <c:pt idx="23">
                  <c:v>845.8</c:v>
                </c:pt>
                <c:pt idx="24">
                  <c:v>872</c:v>
                </c:pt>
                <c:pt idx="25">
                  <c:v>453.5</c:v>
                </c:pt>
                <c:pt idx="26">
                  <c:v>318.5</c:v>
                </c:pt>
                <c:pt idx="27">
                  <c:v>4398.3000000000093</c:v>
                </c:pt>
                <c:pt idx="28">
                  <c:v>20.5</c:v>
                </c:pt>
                <c:pt idx="29">
                  <c:v>64</c:v>
                </c:pt>
                <c:pt idx="30">
                  <c:v>416.6</c:v>
                </c:pt>
                <c:pt idx="31">
                  <c:v>3038.2</c:v>
                </c:pt>
                <c:pt idx="32">
                  <c:v>62</c:v>
                </c:pt>
                <c:pt idx="33">
                  <c:v>2158.4</c:v>
                </c:pt>
                <c:pt idx="34">
                  <c:v>2002.1</c:v>
                </c:pt>
                <c:pt idx="35">
                  <c:v>53.9</c:v>
                </c:pt>
                <c:pt idx="36">
                  <c:v>3386.1000000000058</c:v>
                </c:pt>
                <c:pt idx="37">
                  <c:v>2489.3000000000002</c:v>
                </c:pt>
                <c:pt idx="38">
                  <c:v>67.400000000000006</c:v>
                </c:pt>
                <c:pt idx="39">
                  <c:v>56.2</c:v>
                </c:pt>
                <c:pt idx="40">
                  <c:v>885.7</c:v>
                </c:pt>
                <c:pt idx="41">
                  <c:v>578.70000000000005</c:v>
                </c:pt>
                <c:pt idx="42">
                  <c:v>644.79999999999995</c:v>
                </c:pt>
                <c:pt idx="43">
                  <c:v>1757.5</c:v>
                </c:pt>
                <c:pt idx="44">
                  <c:v>979.2</c:v>
                </c:pt>
                <c:pt idx="45">
                  <c:v>872.79999999999882</c:v>
                </c:pt>
                <c:pt idx="46">
                  <c:v>529.20000000000005</c:v>
                </c:pt>
                <c:pt idx="47">
                  <c:v>1081.0999999999999</c:v>
                </c:pt>
                <c:pt idx="48">
                  <c:v>1409.2</c:v>
                </c:pt>
                <c:pt idx="49">
                  <c:v>1493.8</c:v>
                </c:pt>
                <c:pt idx="50">
                  <c:v>1784.7</c:v>
                </c:pt>
                <c:pt idx="51">
                  <c:v>2542.1</c:v>
                </c:pt>
                <c:pt idx="52">
                  <c:v>124.1</c:v>
                </c:pt>
                <c:pt idx="53">
                  <c:v>1715.9</c:v>
                </c:pt>
                <c:pt idx="54">
                  <c:v>1385</c:v>
                </c:pt>
                <c:pt idx="55">
                  <c:v>410.9</c:v>
                </c:pt>
                <c:pt idx="56">
                  <c:v>1701</c:v>
                </c:pt>
                <c:pt idx="57">
                  <c:v>465.3</c:v>
                </c:pt>
                <c:pt idx="58">
                  <c:v>53.8</c:v>
                </c:pt>
                <c:pt idx="59">
                  <c:v>23.1</c:v>
                </c:pt>
                <c:pt idx="60">
                  <c:v>2872.9</c:v>
                </c:pt>
                <c:pt idx="61">
                  <c:v>76</c:v>
                </c:pt>
                <c:pt idx="62">
                  <c:v>98.1</c:v>
                </c:pt>
                <c:pt idx="63">
                  <c:v>1054.7</c:v>
                </c:pt>
                <c:pt idx="64">
                  <c:v>758.8</c:v>
                </c:pt>
                <c:pt idx="65">
                  <c:v>1195</c:v>
                </c:pt>
                <c:pt idx="66">
                  <c:v>644.5</c:v>
                </c:pt>
                <c:pt idx="67">
                  <c:v>762.7</c:v>
                </c:pt>
                <c:pt idx="68">
                  <c:v>110.2</c:v>
                </c:pt>
                <c:pt idx="69">
                  <c:v>99.5</c:v>
                </c:pt>
                <c:pt idx="70">
                  <c:v>1029</c:v>
                </c:pt>
                <c:pt idx="71">
                  <c:v>280.39999999999998</c:v>
                </c:pt>
                <c:pt idx="72">
                  <c:v>54.2</c:v>
                </c:pt>
                <c:pt idx="73">
                  <c:v>2672.6</c:v>
                </c:pt>
                <c:pt idx="74">
                  <c:v>144.4</c:v>
                </c:pt>
                <c:pt idx="75">
                  <c:v>5.7</c:v>
                </c:pt>
                <c:pt idx="76">
                  <c:v>212</c:v>
                </c:pt>
                <c:pt idx="77">
                  <c:v>152.19999999999999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</c:v>
                </c:pt>
                <c:pt idx="83">
                  <c:v>519.29999999999995</c:v>
                </c:pt>
                <c:pt idx="84">
                  <c:v>650.20000000000005</c:v>
                </c:pt>
                <c:pt idx="85">
                  <c:v>20.6</c:v>
                </c:pt>
                <c:pt idx="86">
                  <c:v>397.4</c:v>
                </c:pt>
                <c:pt idx="87">
                  <c:v>823.9</c:v>
                </c:pt>
                <c:pt idx="88">
                  <c:v>2110.3000000000002</c:v>
                </c:pt>
                <c:pt idx="89">
                  <c:v>1614.1</c:v>
                </c:pt>
                <c:pt idx="90">
                  <c:v>797.3</c:v>
                </c:pt>
                <c:pt idx="91">
                  <c:v>151.5</c:v>
                </c:pt>
                <c:pt idx="92">
                  <c:v>275.10000000000002</c:v>
                </c:pt>
                <c:pt idx="93">
                  <c:v>152.19999999999999</c:v>
                </c:pt>
                <c:pt idx="94">
                  <c:v>73.400000000000006</c:v>
                </c:pt>
                <c:pt idx="95">
                  <c:v>154.69999999999999</c:v>
                </c:pt>
                <c:pt idx="96">
                  <c:v>13.6</c:v>
                </c:pt>
                <c:pt idx="97">
                  <c:v>73.5</c:v>
                </c:pt>
                <c:pt idx="98">
                  <c:v>24.5</c:v>
                </c:pt>
                <c:pt idx="99">
                  <c:v>21.8</c:v>
                </c:pt>
                <c:pt idx="100">
                  <c:v>20.7</c:v>
                </c:pt>
                <c:pt idx="101">
                  <c:v>0</c:v>
                </c:pt>
                <c:pt idx="102">
                  <c:v>129.80000000000001</c:v>
                </c:pt>
                <c:pt idx="103">
                  <c:v>157.6</c:v>
                </c:pt>
                <c:pt idx="104">
                  <c:v>11.7</c:v>
                </c:pt>
                <c:pt idx="105">
                  <c:v>29.5</c:v>
                </c:pt>
                <c:pt idx="106">
                  <c:v>492.1</c:v>
                </c:pt>
                <c:pt idx="107">
                  <c:v>219.8</c:v>
                </c:pt>
                <c:pt idx="108">
                  <c:v>868.6</c:v>
                </c:pt>
                <c:pt idx="109">
                  <c:v>4.2</c:v>
                </c:pt>
                <c:pt idx="110">
                  <c:v>311.60000000000002</c:v>
                </c:pt>
                <c:pt idx="111">
                  <c:v>465.5</c:v>
                </c:pt>
                <c:pt idx="112">
                  <c:v>192.8</c:v>
                </c:pt>
                <c:pt idx="113">
                  <c:v>0</c:v>
                </c:pt>
                <c:pt idx="114">
                  <c:v>378.5</c:v>
                </c:pt>
                <c:pt idx="115">
                  <c:v>862.2</c:v>
                </c:pt>
                <c:pt idx="116">
                  <c:v>24.1</c:v>
                </c:pt>
                <c:pt idx="117">
                  <c:v>0</c:v>
                </c:pt>
                <c:pt idx="118">
                  <c:v>3.7</c:v>
                </c:pt>
                <c:pt idx="119">
                  <c:v>958.49999999999943</c:v>
                </c:pt>
                <c:pt idx="120">
                  <c:v>0</c:v>
                </c:pt>
                <c:pt idx="121">
                  <c:v>285</c:v>
                </c:pt>
                <c:pt idx="122">
                  <c:v>128.19999999999999</c:v>
                </c:pt>
                <c:pt idx="123">
                  <c:v>0</c:v>
                </c:pt>
                <c:pt idx="124">
                  <c:v>111.2</c:v>
                </c:pt>
                <c:pt idx="125">
                  <c:v>0</c:v>
                </c:pt>
                <c:pt idx="126">
                  <c:v>999</c:v>
                </c:pt>
                <c:pt idx="127">
                  <c:v>827.09999999999945</c:v>
                </c:pt>
                <c:pt idx="128">
                  <c:v>4.8</c:v>
                </c:pt>
                <c:pt idx="129">
                  <c:v>62.7</c:v>
                </c:pt>
                <c:pt idx="130">
                  <c:v>1510</c:v>
                </c:pt>
                <c:pt idx="131">
                  <c:v>73.3</c:v>
                </c:pt>
                <c:pt idx="132">
                  <c:v>15.3</c:v>
                </c:pt>
                <c:pt idx="133">
                  <c:v>29.6</c:v>
                </c:pt>
                <c:pt idx="134">
                  <c:v>29.9</c:v>
                </c:pt>
                <c:pt idx="135">
                  <c:v>52.5</c:v>
                </c:pt>
                <c:pt idx="136">
                  <c:v>486.6</c:v>
                </c:pt>
                <c:pt idx="137">
                  <c:v>636.9</c:v>
                </c:pt>
                <c:pt idx="138">
                  <c:v>634.1</c:v>
                </c:pt>
                <c:pt idx="139">
                  <c:v>439.7000000000005</c:v>
                </c:pt>
                <c:pt idx="140">
                  <c:v>538.9</c:v>
                </c:pt>
                <c:pt idx="141">
                  <c:v>5.4</c:v>
                </c:pt>
                <c:pt idx="142">
                  <c:v>2890.9</c:v>
                </c:pt>
                <c:pt idx="143">
                  <c:v>1442</c:v>
                </c:pt>
                <c:pt idx="144">
                  <c:v>150.19999999999999</c:v>
                </c:pt>
                <c:pt idx="145">
                  <c:v>3.2</c:v>
                </c:pt>
                <c:pt idx="146">
                  <c:v>108.4</c:v>
                </c:pt>
                <c:pt idx="147">
                  <c:v>88.1</c:v>
                </c:pt>
                <c:pt idx="148">
                  <c:v>37.1</c:v>
                </c:pt>
                <c:pt idx="149">
                  <c:v>260</c:v>
                </c:pt>
                <c:pt idx="150">
                  <c:v>3270.727272727273</c:v>
                </c:pt>
                <c:pt idx="151">
                  <c:v>1756.0454545454545</c:v>
                </c:pt>
                <c:pt idx="152">
                  <c:v>1464.5</c:v>
                </c:pt>
                <c:pt idx="153">
                  <c:v>347.0454545454545</c:v>
                </c:pt>
                <c:pt idx="154">
                  <c:v>286.36363636363637</c:v>
                </c:pt>
                <c:pt idx="155">
                  <c:v>109.40909090909091</c:v>
                </c:pt>
                <c:pt idx="156">
                  <c:v>503.04545454545456</c:v>
                </c:pt>
                <c:pt idx="157">
                  <c:v>66.181818181818187</c:v>
                </c:pt>
                <c:pt idx="158">
                  <c:v>463.27272727272725</c:v>
                </c:pt>
                <c:pt idx="159">
                  <c:v>459.86363636363637</c:v>
                </c:pt>
                <c:pt idx="160">
                  <c:v>386.31818181818181</c:v>
                </c:pt>
                <c:pt idx="161">
                  <c:v>282.31818181818181</c:v>
                </c:pt>
                <c:pt idx="162">
                  <c:v>602.5454545454545</c:v>
                </c:pt>
                <c:pt idx="163">
                  <c:v>112.5</c:v>
                </c:pt>
                <c:pt idx="164">
                  <c:v>513.86363636363637</c:v>
                </c:pt>
                <c:pt idx="165">
                  <c:v>732.4545454545455</c:v>
                </c:pt>
                <c:pt idx="166">
                  <c:v>330.13636363636363</c:v>
                </c:pt>
                <c:pt idx="167">
                  <c:v>505.63636363636363</c:v>
                </c:pt>
                <c:pt idx="168">
                  <c:v>193.18181818181819</c:v>
                </c:pt>
                <c:pt idx="169">
                  <c:v>582.5454545454545</c:v>
                </c:pt>
                <c:pt idx="170">
                  <c:v>37.545454545454547</c:v>
                </c:pt>
                <c:pt idx="171">
                  <c:v>0</c:v>
                </c:pt>
                <c:pt idx="172">
                  <c:v>83.22727272727272</c:v>
                </c:pt>
                <c:pt idx="173">
                  <c:v>244.40909090909091</c:v>
                </c:pt>
                <c:pt idx="174">
                  <c:v>0</c:v>
                </c:pt>
                <c:pt idx="175">
                  <c:v>20.31818181818182</c:v>
                </c:pt>
                <c:pt idx="176">
                  <c:v>709.86363636363626</c:v>
                </c:pt>
                <c:pt idx="177">
                  <c:v>922.18181818181813</c:v>
                </c:pt>
                <c:pt idx="178">
                  <c:v>417.13636363636363</c:v>
                </c:pt>
                <c:pt idx="179">
                  <c:v>12.727272727272727</c:v>
                </c:pt>
                <c:pt idx="180">
                  <c:v>368.59090909090912</c:v>
                </c:pt>
                <c:pt idx="181">
                  <c:v>547.63636363636363</c:v>
                </c:pt>
                <c:pt idx="182">
                  <c:v>173.90909090909091</c:v>
                </c:pt>
                <c:pt idx="183">
                  <c:v>480.81818181818181</c:v>
                </c:pt>
                <c:pt idx="184">
                  <c:v>891.59090909090901</c:v>
                </c:pt>
                <c:pt idx="185">
                  <c:v>15.863636363636363</c:v>
                </c:pt>
                <c:pt idx="186">
                  <c:v>26.909090909090907</c:v>
                </c:pt>
                <c:pt idx="187">
                  <c:v>66.045454545454547</c:v>
                </c:pt>
                <c:pt idx="188">
                  <c:v>211.72727272727272</c:v>
                </c:pt>
                <c:pt idx="189">
                  <c:v>570.18181818181824</c:v>
                </c:pt>
                <c:pt idx="190">
                  <c:v>59.272727272727266</c:v>
                </c:pt>
                <c:pt idx="191">
                  <c:v>32.863636363636367</c:v>
                </c:pt>
                <c:pt idx="192">
                  <c:v>9.9090909090909101</c:v>
                </c:pt>
                <c:pt idx="193">
                  <c:v>576.9545454545455</c:v>
                </c:pt>
                <c:pt idx="194">
                  <c:v>240.27272727272725</c:v>
                </c:pt>
                <c:pt idx="195">
                  <c:v>7.545454545454545</c:v>
                </c:pt>
                <c:pt idx="196">
                  <c:v>783.83948504216551</c:v>
                </c:pt>
                <c:pt idx="197">
                  <c:v>160.48232317408704</c:v>
                </c:pt>
                <c:pt idx="198">
                  <c:v>183.24262882336731</c:v>
                </c:pt>
                <c:pt idx="199">
                  <c:v>164.60096015474633</c:v>
                </c:pt>
                <c:pt idx="200">
                  <c:v>477.2090780324491</c:v>
                </c:pt>
                <c:pt idx="201">
                  <c:v>483.48175508535769</c:v>
                </c:pt>
                <c:pt idx="202">
                  <c:v>721.22551208227299</c:v>
                </c:pt>
                <c:pt idx="203">
                  <c:v>642.6143049360071</c:v>
                </c:pt>
                <c:pt idx="204">
                  <c:v>738.85168356975589</c:v>
                </c:pt>
                <c:pt idx="205">
                  <c:v>89.855412612622729</c:v>
                </c:pt>
                <c:pt idx="206">
                  <c:v>196.59603932531007</c:v>
                </c:pt>
                <c:pt idx="207">
                  <c:v>57.298999236961151</c:v>
                </c:pt>
                <c:pt idx="208">
                  <c:v>204.98273349230865</c:v>
                </c:pt>
                <c:pt idx="209">
                  <c:v>312.31321415631868</c:v>
                </c:pt>
                <c:pt idx="210">
                  <c:v>102.93327213407061</c:v>
                </c:pt>
                <c:pt idx="211">
                  <c:v>37.535422724315914</c:v>
                </c:pt>
                <c:pt idx="212">
                  <c:v>659.44795256752207</c:v>
                </c:pt>
                <c:pt idx="213">
                  <c:v>586.08140833406799</c:v>
                </c:pt>
                <c:pt idx="214">
                  <c:v>16.070649673905116</c:v>
                </c:pt>
                <c:pt idx="215">
                  <c:v>115.40949147870826</c:v>
                </c:pt>
                <c:pt idx="216">
                  <c:v>104.47812394764402</c:v>
                </c:pt>
                <c:pt idx="217">
                  <c:v>20.157888901054879</c:v>
                </c:pt>
                <c:pt idx="218">
                  <c:v>185.4538820489378</c:v>
                </c:pt>
                <c:pt idx="219">
                  <c:v>62.064490330085789</c:v>
                </c:pt>
                <c:pt idx="220">
                  <c:v>251.50545846891086</c:v>
                </c:pt>
                <c:pt idx="221">
                  <c:v>167.99451455866779</c:v>
                </c:pt>
                <c:pt idx="222">
                  <c:v>37.159761912095682</c:v>
                </c:pt>
                <c:pt idx="223">
                  <c:v>208.50893680838499</c:v>
                </c:pt>
                <c:pt idx="224">
                  <c:v>17.590901334015594</c:v>
                </c:pt>
                <c:pt idx="225">
                  <c:v>154.53025193140991</c:v>
                </c:pt>
                <c:pt idx="226">
                  <c:v>36.195389442589196</c:v>
                </c:pt>
                <c:pt idx="227">
                  <c:v>1146.2800761412398</c:v>
                </c:pt>
                <c:pt idx="228">
                  <c:v>21.775953472706586</c:v>
                </c:pt>
                <c:pt idx="229">
                  <c:v>90.976715643560397</c:v>
                </c:pt>
                <c:pt idx="230">
                  <c:v>127.35574838024924</c:v>
                </c:pt>
                <c:pt idx="231">
                  <c:v>14.789603279017047</c:v>
                </c:pt>
                <c:pt idx="232">
                  <c:v>81.166869558801849</c:v>
                </c:pt>
                <c:pt idx="233">
                  <c:v>111</c:v>
                </c:pt>
                <c:pt idx="234">
                  <c:v>81</c:v>
                </c:pt>
                <c:pt idx="235">
                  <c:v>121</c:v>
                </c:pt>
                <c:pt idx="236">
                  <c:v>583</c:v>
                </c:pt>
                <c:pt idx="237">
                  <c:v>199</c:v>
                </c:pt>
                <c:pt idx="238">
                  <c:v>243</c:v>
                </c:pt>
                <c:pt idx="239">
                  <c:v>237</c:v>
                </c:pt>
                <c:pt idx="240">
                  <c:v>199</c:v>
                </c:pt>
                <c:pt idx="241">
                  <c:v>143</c:v>
                </c:pt>
                <c:pt idx="242">
                  <c:v>41</c:v>
                </c:pt>
                <c:pt idx="243">
                  <c:v>223</c:v>
                </c:pt>
                <c:pt idx="244">
                  <c:v>221</c:v>
                </c:pt>
                <c:pt idx="245">
                  <c:v>228</c:v>
                </c:pt>
                <c:pt idx="246">
                  <c:v>119</c:v>
                </c:pt>
                <c:pt idx="247">
                  <c:v>85</c:v>
                </c:pt>
                <c:pt idx="248">
                  <c:v>54</c:v>
                </c:pt>
                <c:pt idx="249">
                  <c:v>55</c:v>
                </c:pt>
                <c:pt idx="250">
                  <c:v>50</c:v>
                </c:pt>
                <c:pt idx="251">
                  <c:v>30</c:v>
                </c:pt>
                <c:pt idx="252">
                  <c:v>25</c:v>
                </c:pt>
                <c:pt idx="253">
                  <c:v>44</c:v>
                </c:pt>
                <c:pt idx="254">
                  <c:v>30</c:v>
                </c:pt>
                <c:pt idx="255">
                  <c:v>102</c:v>
                </c:pt>
                <c:pt idx="256">
                  <c:v>8</c:v>
                </c:pt>
                <c:pt idx="257">
                  <c:v>53</c:v>
                </c:pt>
                <c:pt idx="258">
                  <c:v>462.51000000000005</c:v>
                </c:pt>
                <c:pt idx="259">
                  <c:v>193.59</c:v>
                </c:pt>
                <c:pt idx="260">
                  <c:v>238</c:v>
                </c:pt>
                <c:pt idx="261">
                  <c:v>30</c:v>
                </c:pt>
                <c:pt idx="262">
                  <c:v>1869</c:v>
                </c:pt>
                <c:pt idx="263">
                  <c:v>1235</c:v>
                </c:pt>
                <c:pt idx="264">
                  <c:v>1212.316</c:v>
                </c:pt>
                <c:pt idx="265">
                  <c:v>7079</c:v>
                </c:pt>
                <c:pt idx="266">
                  <c:v>754.62200313004985</c:v>
                </c:pt>
                <c:pt idx="267">
                  <c:v>808.81617158519509</c:v>
                </c:pt>
                <c:pt idx="268">
                  <c:v>1027.8</c:v>
                </c:pt>
                <c:pt idx="269">
                  <c:v>349.2540251389575</c:v>
                </c:pt>
                <c:pt idx="270">
                  <c:v>411.15178703425204</c:v>
                </c:pt>
                <c:pt idx="271">
                  <c:v>437.7</c:v>
                </c:pt>
                <c:pt idx="272">
                  <c:v>1703.9</c:v>
                </c:pt>
                <c:pt idx="273">
                  <c:v>1863.5</c:v>
                </c:pt>
                <c:pt idx="274">
                  <c:v>1095.5999999999999</c:v>
                </c:pt>
                <c:pt idx="275">
                  <c:v>3.2</c:v>
                </c:pt>
                <c:pt idx="276">
                  <c:v>58.7</c:v>
                </c:pt>
                <c:pt idx="277">
                  <c:v>571.1</c:v>
                </c:pt>
                <c:pt idx="278">
                  <c:v>431.6</c:v>
                </c:pt>
                <c:pt idx="279">
                  <c:v>654.20627403400908</c:v>
                </c:pt>
                <c:pt idx="280">
                  <c:v>2.9</c:v>
                </c:pt>
                <c:pt idx="281">
                  <c:v>245.67126318418863</c:v>
                </c:pt>
                <c:pt idx="282">
                  <c:v>125.8498153746289</c:v>
                </c:pt>
                <c:pt idx="283">
                  <c:v>467.15568855152765</c:v>
                </c:pt>
                <c:pt idx="284">
                  <c:v>224.21125288662998</c:v>
                </c:pt>
                <c:pt idx="285">
                  <c:v>473.07400478173753</c:v>
                </c:pt>
                <c:pt idx="286">
                  <c:v>134</c:v>
                </c:pt>
                <c:pt idx="287">
                  <c:v>20.457320357729706</c:v>
                </c:pt>
                <c:pt idx="288">
                  <c:v>105.95454545454545</c:v>
                </c:pt>
                <c:pt idx="289">
                  <c:v>162.72727272727272</c:v>
                </c:pt>
                <c:pt idx="290">
                  <c:v>75.272727272727266</c:v>
                </c:pt>
                <c:pt idx="291">
                  <c:v>35.909090909090907</c:v>
                </c:pt>
                <c:pt idx="292">
                  <c:v>859.18181818181813</c:v>
                </c:pt>
                <c:pt idx="293">
                  <c:v>97.090909090909093</c:v>
                </c:pt>
                <c:pt idx="294">
                  <c:v>1150.2727272727273</c:v>
                </c:pt>
                <c:pt idx="295">
                  <c:v>59.090909090909093</c:v>
                </c:pt>
                <c:pt idx="296">
                  <c:v>37.590909090909093</c:v>
                </c:pt>
                <c:pt idx="297">
                  <c:v>79.272727272727266</c:v>
                </c:pt>
                <c:pt idx="298">
                  <c:v>99.772727272727266</c:v>
                </c:pt>
                <c:pt idx="299">
                  <c:v>61.045454545454547</c:v>
                </c:pt>
                <c:pt idx="300">
                  <c:v>24.681818181818183</c:v>
                </c:pt>
                <c:pt idx="301">
                  <c:v>373.04545454545456</c:v>
                </c:pt>
                <c:pt idx="302">
                  <c:v>36.863636363636367</c:v>
                </c:pt>
                <c:pt idx="303">
                  <c:v>2.0909090909090908</c:v>
                </c:pt>
                <c:pt idx="304">
                  <c:v>15.227272727272727</c:v>
                </c:pt>
                <c:pt idx="305">
                  <c:v>14.318181818181818</c:v>
                </c:pt>
                <c:pt idx="306">
                  <c:v>2310</c:v>
                </c:pt>
              </c:numCache>
            </c:numRef>
          </c:xVal>
          <c:yVal>
            <c:numRef>
              <c:f>MD_BoardingByRoute!$H$2:$H$851</c:f>
              <c:numCache>
                <c:formatCode>0</c:formatCode>
                <c:ptCount val="849"/>
                <c:pt idx="0">
                  <c:v>1113.4211425781223</c:v>
                </c:pt>
                <c:pt idx="1">
                  <c:v>1933.5012326240503</c:v>
                </c:pt>
                <c:pt idx="2">
                  <c:v>1401.2220420837382</c:v>
                </c:pt>
                <c:pt idx="3">
                  <c:v>4486.7030181884693</c:v>
                </c:pt>
                <c:pt idx="4">
                  <c:v>3696.0655846595696</c:v>
                </c:pt>
                <c:pt idx="5">
                  <c:v>3228.6315155029229</c:v>
                </c:pt>
                <c:pt idx="6">
                  <c:v>637.44160079955941</c:v>
                </c:pt>
                <c:pt idx="7">
                  <c:v>1706.5335388183571</c:v>
                </c:pt>
                <c:pt idx="8">
                  <c:v>1340.1250619888285</c:v>
                </c:pt>
                <c:pt idx="9">
                  <c:v>231.88216757774327</c:v>
                </c:pt>
                <c:pt idx="10">
                  <c:v>983.68852710723786</c:v>
                </c:pt>
                <c:pt idx="11">
                  <c:v>759.86945676803441</c:v>
                </c:pt>
                <c:pt idx="12">
                  <c:v>2406.473779678342</c:v>
                </c:pt>
                <c:pt idx="13">
                  <c:v>3046.9822826385453</c:v>
                </c:pt>
                <c:pt idx="14">
                  <c:v>605.78169250488202</c:v>
                </c:pt>
                <c:pt idx="15">
                  <c:v>1966.5882644653286</c:v>
                </c:pt>
                <c:pt idx="16">
                  <c:v>663.31118679046494</c:v>
                </c:pt>
                <c:pt idx="17">
                  <c:v>774.83234786987225</c:v>
                </c:pt>
                <c:pt idx="18">
                  <c:v>515.17954826354844</c:v>
                </c:pt>
                <c:pt idx="19">
                  <c:v>1035.3290252685529</c:v>
                </c:pt>
                <c:pt idx="20">
                  <c:v>399.56677246093693</c:v>
                </c:pt>
                <c:pt idx="21">
                  <c:v>763.64374160766533</c:v>
                </c:pt>
                <c:pt idx="22">
                  <c:v>265.08858585357564</c:v>
                </c:pt>
                <c:pt idx="23">
                  <c:v>871.27423858642419</c:v>
                </c:pt>
                <c:pt idx="24">
                  <c:v>1054.3694076538061</c:v>
                </c:pt>
                <c:pt idx="25">
                  <c:v>835.86626529693444</c:v>
                </c:pt>
                <c:pt idx="26">
                  <c:v>614.49406433105332</c:v>
                </c:pt>
                <c:pt idx="27">
                  <c:v>2917.0481433868345</c:v>
                </c:pt>
                <c:pt idx="28">
                  <c:v>28.756560802459642</c:v>
                </c:pt>
                <c:pt idx="29">
                  <c:v>18.317683696746812</c:v>
                </c:pt>
                <c:pt idx="30">
                  <c:v>235.71871280670152</c:v>
                </c:pt>
                <c:pt idx="31">
                  <c:v>4069.0633115768374</c:v>
                </c:pt>
                <c:pt idx="32">
                  <c:v>79.94650840759266</c:v>
                </c:pt>
                <c:pt idx="33">
                  <c:v>3058.9254455566333</c:v>
                </c:pt>
                <c:pt idx="34">
                  <c:v>2340.4867029190045</c:v>
                </c:pt>
                <c:pt idx="35">
                  <c:v>84.023920059203846</c:v>
                </c:pt>
                <c:pt idx="36">
                  <c:v>3900.1579679250681</c:v>
                </c:pt>
                <c:pt idx="37">
                  <c:v>2895.4901123046811</c:v>
                </c:pt>
                <c:pt idx="38">
                  <c:v>28.941140770912131</c:v>
                </c:pt>
                <c:pt idx="39">
                  <c:v>54.922820165753187</c:v>
                </c:pt>
                <c:pt idx="40">
                  <c:v>1045.9075546264628</c:v>
                </c:pt>
                <c:pt idx="41">
                  <c:v>714.12568664550645</c:v>
                </c:pt>
                <c:pt idx="42">
                  <c:v>616.74208831787053</c:v>
                </c:pt>
                <c:pt idx="43">
                  <c:v>1553.6210794448816</c:v>
                </c:pt>
                <c:pt idx="44">
                  <c:v>621.12892532348496</c:v>
                </c:pt>
                <c:pt idx="45">
                  <c:v>1214.8419036865207</c:v>
                </c:pt>
                <c:pt idx="46">
                  <c:v>565.23587036132744</c:v>
                </c:pt>
                <c:pt idx="47">
                  <c:v>659.39297866821244</c:v>
                </c:pt>
                <c:pt idx="48">
                  <c:v>2268.6404275894129</c:v>
                </c:pt>
                <c:pt idx="49">
                  <c:v>1488.1626853942839</c:v>
                </c:pt>
                <c:pt idx="50">
                  <c:v>1557.0359077453593</c:v>
                </c:pt>
                <c:pt idx="51">
                  <c:v>2411.7657785415586</c:v>
                </c:pt>
                <c:pt idx="52">
                  <c:v>180.36989879608137</c:v>
                </c:pt>
                <c:pt idx="53">
                  <c:v>1620.470541477202</c:v>
                </c:pt>
                <c:pt idx="54">
                  <c:v>1247.1904983520483</c:v>
                </c:pt>
                <c:pt idx="55">
                  <c:v>319.16817283630326</c:v>
                </c:pt>
                <c:pt idx="56">
                  <c:v>960.41687774658067</c:v>
                </c:pt>
                <c:pt idx="57">
                  <c:v>258.43059158325161</c:v>
                </c:pt>
                <c:pt idx="58">
                  <c:v>48.360118746757394</c:v>
                </c:pt>
                <c:pt idx="59">
                  <c:v>5.22713632136582</c:v>
                </c:pt>
                <c:pt idx="60">
                  <c:v>2293.3032760620108</c:v>
                </c:pt>
                <c:pt idx="61">
                  <c:v>87.014267921447541</c:v>
                </c:pt>
                <c:pt idx="62">
                  <c:v>41.21672534942622</c:v>
                </c:pt>
                <c:pt idx="63">
                  <c:v>668.02243566512959</c:v>
                </c:pt>
                <c:pt idx="64">
                  <c:v>413.17450523376391</c:v>
                </c:pt>
                <c:pt idx="65">
                  <c:v>481.59474372863679</c:v>
                </c:pt>
                <c:pt idx="66">
                  <c:v>435.46743917465176</c:v>
                </c:pt>
                <c:pt idx="67">
                  <c:v>394.06197547912564</c:v>
                </c:pt>
                <c:pt idx="68">
                  <c:v>90.453702926635657</c:v>
                </c:pt>
                <c:pt idx="69">
                  <c:v>43.572022914886389</c:v>
                </c:pt>
                <c:pt idx="70">
                  <c:v>765.16819810867128</c:v>
                </c:pt>
                <c:pt idx="71">
                  <c:v>288.11187076568513</c:v>
                </c:pt>
                <c:pt idx="72">
                  <c:v>20.755187004804597</c:v>
                </c:pt>
                <c:pt idx="73">
                  <c:v>3439.5324192047065</c:v>
                </c:pt>
                <c:pt idx="74">
                  <c:v>55.980801343917747</c:v>
                </c:pt>
                <c:pt idx="75">
                  <c:v>6.5252050161361606</c:v>
                </c:pt>
                <c:pt idx="76">
                  <c:v>108.60578775405854</c:v>
                </c:pt>
                <c:pt idx="77">
                  <c:v>74.319247484206954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146.88743352889989</c:v>
                </c:pt>
                <c:pt idx="84">
                  <c:v>367.92745780944654</c:v>
                </c:pt>
                <c:pt idx="85">
                  <c:v>26.973771333694401</c:v>
                </c:pt>
                <c:pt idx="86">
                  <c:v>201.7131524085996</c:v>
                </c:pt>
                <c:pt idx="87">
                  <c:v>714.97075653076081</c:v>
                </c:pt>
                <c:pt idx="88">
                  <c:v>775.80073022842305</c:v>
                </c:pt>
                <c:pt idx="89">
                  <c:v>718.0228815078724</c:v>
                </c:pt>
                <c:pt idx="90">
                  <c:v>648.4648017883294</c:v>
                </c:pt>
                <c:pt idx="91">
                  <c:v>63.716552615165632</c:v>
                </c:pt>
                <c:pt idx="92">
                  <c:v>125.84775972366305</c:v>
                </c:pt>
                <c:pt idx="93">
                  <c:v>69.159982442855664</c:v>
                </c:pt>
                <c:pt idx="94">
                  <c:v>25.607895612716579</c:v>
                </c:pt>
                <c:pt idx="95">
                  <c:v>94.188548803329297</c:v>
                </c:pt>
                <c:pt idx="96">
                  <c:v>48.784746170043924</c:v>
                </c:pt>
                <c:pt idx="97">
                  <c:v>303.63921356201143</c:v>
                </c:pt>
                <c:pt idx="98">
                  <c:v>4.3515851497650111</c:v>
                </c:pt>
                <c:pt idx="99">
                  <c:v>6.4610263109207082</c:v>
                </c:pt>
                <c:pt idx="100">
                  <c:v>15.218395233154281</c:v>
                </c:pt>
                <c:pt idx="101">
                  <c:v>12.139511227607709</c:v>
                </c:pt>
                <c:pt idx="102">
                  <c:v>105.87250423431377</c:v>
                </c:pt>
                <c:pt idx="103">
                  <c:v>146.99020957946769</c:v>
                </c:pt>
                <c:pt idx="104">
                  <c:v>6.6622642278671202</c:v>
                </c:pt>
                <c:pt idx="105">
                  <c:v>4.214353442192067</c:v>
                </c:pt>
                <c:pt idx="106">
                  <c:v>428.64923286437931</c:v>
                </c:pt>
                <c:pt idx="107">
                  <c:v>560.09378051757676</c:v>
                </c:pt>
                <c:pt idx="108">
                  <c:v>1793.1086629927131</c:v>
                </c:pt>
                <c:pt idx="109">
                  <c:v>6.5341061949729866</c:v>
                </c:pt>
                <c:pt idx="110">
                  <c:v>704.5189056396481</c:v>
                </c:pt>
                <c:pt idx="111">
                  <c:v>1250.8889465332009</c:v>
                </c:pt>
                <c:pt idx="112">
                  <c:v>274.85327959060646</c:v>
                </c:pt>
                <c:pt idx="113">
                  <c:v>0</c:v>
                </c:pt>
                <c:pt idx="114">
                  <c:v>428.73427581787024</c:v>
                </c:pt>
                <c:pt idx="115">
                  <c:v>1285.0582427978495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1044.8990297317496</c:v>
                </c:pt>
                <c:pt idx="120">
                  <c:v>0</c:v>
                </c:pt>
                <c:pt idx="121">
                  <c:v>399.11403846740609</c:v>
                </c:pt>
                <c:pt idx="122">
                  <c:v>419.12107563018776</c:v>
                </c:pt>
                <c:pt idx="123">
                  <c:v>0</c:v>
                </c:pt>
                <c:pt idx="124">
                  <c:v>156.11802387237523</c:v>
                </c:pt>
                <c:pt idx="125">
                  <c:v>0</c:v>
                </c:pt>
                <c:pt idx="126">
                  <c:v>1153.6066474914519</c:v>
                </c:pt>
                <c:pt idx="127">
                  <c:v>1675.5063552856425</c:v>
                </c:pt>
                <c:pt idx="128">
                  <c:v>0</c:v>
                </c:pt>
                <c:pt idx="129">
                  <c:v>88.075148105621167</c:v>
                </c:pt>
                <c:pt idx="130">
                  <c:v>2129.0915336608869</c:v>
                </c:pt>
                <c:pt idx="131">
                  <c:v>95.340345859527503</c:v>
                </c:pt>
                <c:pt idx="132">
                  <c:v>26.059673309326129</c:v>
                </c:pt>
                <c:pt idx="133">
                  <c:v>15.62319636344901</c:v>
                </c:pt>
                <c:pt idx="134">
                  <c:v>45.968412399291893</c:v>
                </c:pt>
                <c:pt idx="135">
                  <c:v>11.449955821037271</c:v>
                </c:pt>
                <c:pt idx="136">
                  <c:v>199.33814716339089</c:v>
                </c:pt>
                <c:pt idx="137">
                  <c:v>218.8501472473142</c:v>
                </c:pt>
                <c:pt idx="138">
                  <c:v>318.00393116474072</c:v>
                </c:pt>
                <c:pt idx="139">
                  <c:v>493.42427825927587</c:v>
                </c:pt>
                <c:pt idx="140">
                  <c:v>494.93317413329964</c:v>
                </c:pt>
                <c:pt idx="141">
                  <c:v>25.350028991699158</c:v>
                </c:pt>
                <c:pt idx="142">
                  <c:v>4811.8350219726544</c:v>
                </c:pt>
                <c:pt idx="143">
                  <c:v>1426.471798896787</c:v>
                </c:pt>
                <c:pt idx="144">
                  <c:v>125.81455659866317</c:v>
                </c:pt>
                <c:pt idx="145">
                  <c:v>13.240681923925862</c:v>
                </c:pt>
                <c:pt idx="146">
                  <c:v>28.882336258888142</c:v>
                </c:pt>
                <c:pt idx="147">
                  <c:v>166.12105703353848</c:v>
                </c:pt>
                <c:pt idx="148">
                  <c:v>24.416028022766099</c:v>
                </c:pt>
                <c:pt idx="149">
                  <c:v>0</c:v>
                </c:pt>
                <c:pt idx="150">
                  <c:v>3448.7446746826145</c:v>
                </c:pt>
                <c:pt idx="151">
                  <c:v>1583.591850280759</c:v>
                </c:pt>
                <c:pt idx="152">
                  <c:v>1123.7676544189439</c:v>
                </c:pt>
                <c:pt idx="153">
                  <c:v>137.97523307800282</c:v>
                </c:pt>
                <c:pt idx="154">
                  <c:v>451.22718238830475</c:v>
                </c:pt>
                <c:pt idx="155">
                  <c:v>117.7368459701536</c:v>
                </c:pt>
                <c:pt idx="156">
                  <c:v>417.21399688720544</c:v>
                </c:pt>
                <c:pt idx="157">
                  <c:v>28.823591709136899</c:v>
                </c:pt>
                <c:pt idx="158">
                  <c:v>88.048532485961815</c:v>
                </c:pt>
                <c:pt idx="159">
                  <c:v>347.03785133361799</c:v>
                </c:pt>
                <c:pt idx="160">
                  <c:v>205.71679353713969</c:v>
                </c:pt>
                <c:pt idx="161">
                  <c:v>31.633765995502397</c:v>
                </c:pt>
                <c:pt idx="162">
                  <c:v>318.24867248535043</c:v>
                </c:pt>
                <c:pt idx="163">
                  <c:v>106.23470115661604</c:v>
                </c:pt>
                <c:pt idx="164">
                  <c:v>201.80259513854952</c:v>
                </c:pt>
                <c:pt idx="165">
                  <c:v>443.65794277191105</c:v>
                </c:pt>
                <c:pt idx="166">
                  <c:v>236.10782146453829</c:v>
                </c:pt>
                <c:pt idx="167">
                  <c:v>177.4991044998165</c:v>
                </c:pt>
                <c:pt idx="168">
                  <c:v>83.97155666351307</c:v>
                </c:pt>
                <c:pt idx="169">
                  <c:v>234.70677471160849</c:v>
                </c:pt>
                <c:pt idx="170">
                  <c:v>22.000683784484831</c:v>
                </c:pt>
                <c:pt idx="171">
                  <c:v>0</c:v>
                </c:pt>
                <c:pt idx="172">
                  <c:v>114.0296435356139</c:v>
                </c:pt>
                <c:pt idx="173">
                  <c:v>267.99584960937409</c:v>
                </c:pt>
                <c:pt idx="174">
                  <c:v>0</c:v>
                </c:pt>
                <c:pt idx="175">
                  <c:v>2.2666665092110563</c:v>
                </c:pt>
                <c:pt idx="176">
                  <c:v>312.86237144470192</c:v>
                </c:pt>
                <c:pt idx="177">
                  <c:v>607.93283462524346</c:v>
                </c:pt>
                <c:pt idx="178">
                  <c:v>127.47284841537453</c:v>
                </c:pt>
                <c:pt idx="179">
                  <c:v>14.48855090141295</c:v>
                </c:pt>
                <c:pt idx="180">
                  <c:v>95.659781455993283</c:v>
                </c:pt>
                <c:pt idx="181">
                  <c:v>120.86738109588606</c:v>
                </c:pt>
                <c:pt idx="182">
                  <c:v>115.26035976409894</c:v>
                </c:pt>
                <c:pt idx="183">
                  <c:v>515.1978740692133</c:v>
                </c:pt>
                <c:pt idx="184">
                  <c:v>767.32243156432867</c:v>
                </c:pt>
                <c:pt idx="185">
                  <c:v>1.833333343267439</c:v>
                </c:pt>
                <c:pt idx="186">
                  <c:v>5.6666665673255814</c:v>
                </c:pt>
                <c:pt idx="187">
                  <c:v>38.900000095367368</c:v>
                </c:pt>
                <c:pt idx="188">
                  <c:v>185.48677825927712</c:v>
                </c:pt>
                <c:pt idx="189">
                  <c:v>271.50067520141567</c:v>
                </c:pt>
                <c:pt idx="190">
                  <c:v>35.841933012008511</c:v>
                </c:pt>
                <c:pt idx="191">
                  <c:v>4.7605437524616638</c:v>
                </c:pt>
                <c:pt idx="192">
                  <c:v>0</c:v>
                </c:pt>
                <c:pt idx="193">
                  <c:v>700.98898696899278</c:v>
                </c:pt>
                <c:pt idx="194">
                  <c:v>314.92627191543534</c:v>
                </c:pt>
                <c:pt idx="195">
                  <c:v>13.311619967222208</c:v>
                </c:pt>
                <c:pt idx="196">
                  <c:v>592.28664398193246</c:v>
                </c:pt>
                <c:pt idx="197">
                  <c:v>220.73761558532692</c:v>
                </c:pt>
                <c:pt idx="198">
                  <c:v>200.08937454223607</c:v>
                </c:pt>
                <c:pt idx="199">
                  <c:v>117.44294714927662</c:v>
                </c:pt>
                <c:pt idx="200">
                  <c:v>169.56048344075671</c:v>
                </c:pt>
                <c:pt idx="201">
                  <c:v>652.48388290405114</c:v>
                </c:pt>
                <c:pt idx="202">
                  <c:v>0</c:v>
                </c:pt>
                <c:pt idx="203">
                  <c:v>789.39698791503861</c:v>
                </c:pt>
                <c:pt idx="204">
                  <c:v>399.83426856994527</c:v>
                </c:pt>
                <c:pt idx="205">
                  <c:v>30.009523987769981</c:v>
                </c:pt>
                <c:pt idx="206">
                  <c:v>151.75186824798573</c:v>
                </c:pt>
                <c:pt idx="207">
                  <c:v>31.379199981689357</c:v>
                </c:pt>
                <c:pt idx="208">
                  <c:v>143.90548801422105</c:v>
                </c:pt>
                <c:pt idx="209">
                  <c:v>255.7358026504514</c:v>
                </c:pt>
                <c:pt idx="210">
                  <c:v>0</c:v>
                </c:pt>
                <c:pt idx="211">
                  <c:v>0</c:v>
                </c:pt>
                <c:pt idx="212">
                  <c:v>1240.4783096313445</c:v>
                </c:pt>
                <c:pt idx="213">
                  <c:v>1318.7976078987101</c:v>
                </c:pt>
                <c:pt idx="214">
                  <c:v>0</c:v>
                </c:pt>
                <c:pt idx="215">
                  <c:v>93.265482425689569</c:v>
                </c:pt>
                <c:pt idx="216">
                  <c:v>48.662911415100041</c:v>
                </c:pt>
                <c:pt idx="217">
                  <c:v>54.498458147048865</c:v>
                </c:pt>
                <c:pt idx="218">
                  <c:v>110.08405709266651</c:v>
                </c:pt>
                <c:pt idx="219">
                  <c:v>2.2098421901464418</c:v>
                </c:pt>
                <c:pt idx="220">
                  <c:v>170.42531394958462</c:v>
                </c:pt>
                <c:pt idx="221">
                  <c:v>140.4704723358152</c:v>
                </c:pt>
                <c:pt idx="222">
                  <c:v>0</c:v>
                </c:pt>
                <c:pt idx="223">
                  <c:v>357.76782035827603</c:v>
                </c:pt>
                <c:pt idx="224">
                  <c:v>0</c:v>
                </c:pt>
                <c:pt idx="225">
                  <c:v>226.65803813934303</c:v>
                </c:pt>
                <c:pt idx="226">
                  <c:v>6.6551545858383001</c:v>
                </c:pt>
                <c:pt idx="227">
                  <c:v>2236.2080841064417</c:v>
                </c:pt>
                <c:pt idx="228">
                  <c:v>0</c:v>
                </c:pt>
                <c:pt idx="229">
                  <c:v>27.957697868347147</c:v>
                </c:pt>
                <c:pt idx="230">
                  <c:v>0</c:v>
                </c:pt>
                <c:pt idx="231">
                  <c:v>95.129059314727726</c:v>
                </c:pt>
                <c:pt idx="232">
                  <c:v>135.4749994277953</c:v>
                </c:pt>
                <c:pt idx="233">
                  <c:v>0</c:v>
                </c:pt>
                <c:pt idx="234">
                  <c:v>104.05042886733992</c:v>
                </c:pt>
                <c:pt idx="235">
                  <c:v>41.666665792465139</c:v>
                </c:pt>
                <c:pt idx="236">
                  <c:v>91.883780956268254</c:v>
                </c:pt>
                <c:pt idx="237">
                  <c:v>52.645617604255627</c:v>
                </c:pt>
                <c:pt idx="238">
                  <c:v>291.00335597991852</c:v>
                </c:pt>
                <c:pt idx="239">
                  <c:v>260.92982578277565</c:v>
                </c:pt>
                <c:pt idx="240">
                  <c:v>89.184074878692599</c:v>
                </c:pt>
                <c:pt idx="241">
                  <c:v>94.294420719146586</c:v>
                </c:pt>
                <c:pt idx="242">
                  <c:v>29.238522529601941</c:v>
                </c:pt>
                <c:pt idx="243">
                  <c:v>87.42263650894148</c:v>
                </c:pt>
                <c:pt idx="244">
                  <c:v>98.259757041930897</c:v>
                </c:pt>
                <c:pt idx="245">
                  <c:v>102.0316805839537</c:v>
                </c:pt>
                <c:pt idx="246">
                  <c:v>126.80073547363267</c:v>
                </c:pt>
                <c:pt idx="247">
                  <c:v>70.845328330993539</c:v>
                </c:pt>
                <c:pt idx="248">
                  <c:v>5.8016890287399256</c:v>
                </c:pt>
                <c:pt idx="249">
                  <c:v>1</c:v>
                </c:pt>
                <c:pt idx="250">
                  <c:v>5.3016887903213465</c:v>
                </c:pt>
                <c:pt idx="251">
                  <c:v>9.53281825780868</c:v>
                </c:pt>
                <c:pt idx="252">
                  <c:v>0</c:v>
                </c:pt>
                <c:pt idx="253">
                  <c:v>10.600881218910182</c:v>
                </c:pt>
                <c:pt idx="254">
                  <c:v>2.6495727151632229</c:v>
                </c:pt>
                <c:pt idx="255">
                  <c:v>146.1616810560225</c:v>
                </c:pt>
                <c:pt idx="256">
                  <c:v>1.0191263705492011</c:v>
                </c:pt>
                <c:pt idx="257">
                  <c:v>58.711360216140662</c:v>
                </c:pt>
                <c:pt idx="258">
                  <c:v>178.89999866485573</c:v>
                </c:pt>
                <c:pt idx="259">
                  <c:v>0</c:v>
                </c:pt>
                <c:pt idx="260">
                  <c:v>10.142461635172335</c:v>
                </c:pt>
                <c:pt idx="261">
                  <c:v>2</c:v>
                </c:pt>
                <c:pt idx="262">
                  <c:v>61.997662022709719</c:v>
                </c:pt>
                <c:pt idx="263">
                  <c:v>23.594745159149149</c:v>
                </c:pt>
                <c:pt idx="264">
                  <c:v>485.20570373535105</c:v>
                </c:pt>
                <c:pt idx="265">
                  <c:v>5780.764602661131</c:v>
                </c:pt>
                <c:pt idx="266">
                  <c:v>1242.3895049095122</c:v>
                </c:pt>
                <c:pt idx="267">
                  <c:v>4647.3747730255109</c:v>
                </c:pt>
                <c:pt idx="268">
                  <c:v>1233.8719844818097</c:v>
                </c:pt>
                <c:pt idx="269">
                  <c:v>64.636527061462274</c:v>
                </c:pt>
                <c:pt idx="270">
                  <c:v>1254.2934608459459</c:v>
                </c:pt>
                <c:pt idx="271">
                  <c:v>836.53818607330163</c:v>
                </c:pt>
                <c:pt idx="272">
                  <c:v>3591.8933801650965</c:v>
                </c:pt>
                <c:pt idx="273">
                  <c:v>5784.6313858032108</c:v>
                </c:pt>
                <c:pt idx="274">
                  <c:v>5361.8304882049506</c:v>
                </c:pt>
                <c:pt idx="275">
                  <c:v>82.434753417968594</c:v>
                </c:pt>
                <c:pt idx="276">
                  <c:v>77.340293884277258</c:v>
                </c:pt>
                <c:pt idx="277">
                  <c:v>1120.5834827423078</c:v>
                </c:pt>
                <c:pt idx="278">
                  <c:v>932.69175100326424</c:v>
                </c:pt>
                <c:pt idx="279">
                  <c:v>895.92174530029126</c:v>
                </c:pt>
                <c:pt idx="280">
                  <c:v>56.834168434142946</c:v>
                </c:pt>
                <c:pt idx="281">
                  <c:v>1026.8176689147929</c:v>
                </c:pt>
                <c:pt idx="282">
                  <c:v>24.366128414869234</c:v>
                </c:pt>
                <c:pt idx="283">
                  <c:v>337.88852596282914</c:v>
                </c:pt>
                <c:pt idx="284">
                  <c:v>227.71511650085412</c:v>
                </c:pt>
                <c:pt idx="285">
                  <c:v>1297.6224212646462</c:v>
                </c:pt>
                <c:pt idx="286">
                  <c:v>0</c:v>
                </c:pt>
                <c:pt idx="287">
                  <c:v>1517.0365812778464</c:v>
                </c:pt>
                <c:pt idx="288">
                  <c:v>59.764469146728466</c:v>
                </c:pt>
                <c:pt idx="289">
                  <c:v>272.47798061370764</c:v>
                </c:pt>
                <c:pt idx="290">
                  <c:v>167.3136978149405</c:v>
                </c:pt>
                <c:pt idx="291">
                  <c:v>4.7279350757598806</c:v>
                </c:pt>
                <c:pt idx="292">
                  <c:v>353.85001182556147</c:v>
                </c:pt>
                <c:pt idx="293">
                  <c:v>80.521670579910136</c:v>
                </c:pt>
                <c:pt idx="294">
                  <c:v>343.7900712192058</c:v>
                </c:pt>
                <c:pt idx="295">
                  <c:v>16.318749666213929</c:v>
                </c:pt>
                <c:pt idx="296">
                  <c:v>29.368859291076621</c:v>
                </c:pt>
                <c:pt idx="297">
                  <c:v>122.47436714172345</c:v>
                </c:pt>
                <c:pt idx="298">
                  <c:v>124.24209594726538</c:v>
                </c:pt>
                <c:pt idx="299">
                  <c:v>119.9202766418455</c:v>
                </c:pt>
                <c:pt idx="300">
                  <c:v>56.229281902313168</c:v>
                </c:pt>
                <c:pt idx="301">
                  <c:v>160.44482409954063</c:v>
                </c:pt>
                <c:pt idx="302">
                  <c:v>0</c:v>
                </c:pt>
                <c:pt idx="303">
                  <c:v>0</c:v>
                </c:pt>
                <c:pt idx="304">
                  <c:v>112.51345586776709</c:v>
                </c:pt>
                <c:pt idx="305">
                  <c:v>0</c:v>
                </c:pt>
                <c:pt idx="306">
                  <c:v>3.0237304717302318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77984"/>
        <c:axId val="40780160"/>
      </c:scatterChart>
      <c:valAx>
        <c:axId val="4077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780160"/>
        <c:crosses val="autoZero"/>
        <c:crossBetween val="midCat"/>
      </c:valAx>
      <c:valAx>
        <c:axId val="4078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7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10</xdr:row>
      <xdr:rowOff>125730</xdr:rowOff>
    </xdr:from>
    <xdr:to>
      <xdr:col>4</xdr:col>
      <xdr:colOff>350520</xdr:colOff>
      <xdr:row>15</xdr:row>
      <xdr:rowOff>160020</xdr:rowOff>
    </xdr:to>
    <xdr:sp macro="[0]!TransitImport" textlink="">
      <xdr:nvSpPr>
        <xdr:cNvPr id="2" name="Rounded Rectangle 1"/>
        <xdr:cNvSpPr/>
      </xdr:nvSpPr>
      <xdr:spPr>
        <a:xfrm>
          <a:off x="434340" y="1954530"/>
          <a:ext cx="19659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transit boarding data!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323851</xdr:colOff>
      <xdr:row>8</xdr:row>
      <xdr:rowOff>54769</xdr:rowOff>
    </xdr:from>
    <xdr:to>
      <xdr:col>8</xdr:col>
      <xdr:colOff>440533</xdr:colOff>
      <xdr:row>26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369093</xdr:colOff>
      <xdr:row>17</xdr:row>
      <xdr:rowOff>164307</xdr:rowOff>
    </xdr:from>
    <xdr:to>
      <xdr:col>15</xdr:col>
      <xdr:colOff>547687</xdr:colOff>
      <xdr:row>32</xdr:row>
      <xdr:rowOff>50007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714374</xdr:colOff>
      <xdr:row>34</xdr:row>
      <xdr:rowOff>164306</xdr:rowOff>
    </xdr:from>
    <xdr:to>
      <xdr:col>16</xdr:col>
      <xdr:colOff>285749</xdr:colOff>
      <xdr:row>49</xdr:row>
      <xdr:rowOff>50006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142875</xdr:colOff>
      <xdr:row>50</xdr:row>
      <xdr:rowOff>59531</xdr:rowOff>
    </xdr:from>
    <xdr:to>
      <xdr:col>15</xdr:col>
      <xdr:colOff>321469</xdr:colOff>
      <xdr:row>64</xdr:row>
      <xdr:rowOff>135731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66</xdr:row>
      <xdr:rowOff>0</xdr:rowOff>
    </xdr:from>
    <xdr:to>
      <xdr:col>15</xdr:col>
      <xdr:colOff>178594</xdr:colOff>
      <xdr:row>80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85</xdr:row>
      <xdr:rowOff>0</xdr:rowOff>
    </xdr:from>
    <xdr:to>
      <xdr:col>15</xdr:col>
      <xdr:colOff>178594</xdr:colOff>
      <xdr:row>99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571499</xdr:colOff>
      <xdr:row>19</xdr:row>
      <xdr:rowOff>158351</xdr:rowOff>
    </xdr:from>
    <xdr:to>
      <xdr:col>53</xdr:col>
      <xdr:colOff>452436</xdr:colOff>
      <xdr:row>33</xdr:row>
      <xdr:rowOff>67864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2"/>
  <sheetViews>
    <sheetView workbookViewId="0">
      <selection activeCell="C37" sqref="C37"/>
    </sheetView>
  </sheetViews>
  <sheetFormatPr defaultRowHeight="15" x14ac:dyDescent="0.25"/>
  <cols>
    <col min="1" max="1" width="3.28515625" customWidth="1"/>
    <col min="12" max="12" width="11.28515625" customWidth="1"/>
  </cols>
  <sheetData>
    <row r="1" spans="1:15" ht="14.45" x14ac:dyDescent="0.3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5" ht="14.45" x14ac:dyDescent="0.3">
      <c r="A2" s="15"/>
      <c r="B2" s="23" t="s">
        <v>2139</v>
      </c>
      <c r="C2" s="24"/>
      <c r="D2" s="24"/>
      <c r="E2" s="24"/>
      <c r="F2" s="24"/>
      <c r="G2" s="24"/>
      <c r="H2" s="24"/>
      <c r="I2" s="24"/>
      <c r="J2" s="25"/>
      <c r="L2" s="73" t="s">
        <v>2148</v>
      </c>
      <c r="M2" s="74"/>
      <c r="N2" s="74"/>
      <c r="O2" s="75"/>
    </row>
    <row r="3" spans="1:15" ht="14.45" x14ac:dyDescent="0.3">
      <c r="A3" s="15"/>
      <c r="B3" s="61" t="s">
        <v>2140</v>
      </c>
      <c r="C3" s="62"/>
      <c r="D3" s="62"/>
      <c r="E3" s="62"/>
      <c r="F3" s="62"/>
      <c r="G3" s="62"/>
      <c r="H3" s="62"/>
      <c r="I3" s="62"/>
      <c r="J3" s="63"/>
      <c r="L3" s="16" t="str">
        <f>import_error</f>
        <v>No Error</v>
      </c>
      <c r="M3" s="15"/>
      <c r="N3" s="15"/>
      <c r="O3" s="17"/>
    </row>
    <row r="4" spans="1:15" ht="14.4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L4" s="16"/>
      <c r="M4" s="15"/>
      <c r="N4" s="15"/>
      <c r="O4" s="17"/>
    </row>
    <row r="5" spans="1:15" ht="14.45" x14ac:dyDescent="0.3">
      <c r="A5" s="15"/>
      <c r="B5" s="23" t="s">
        <v>2145</v>
      </c>
      <c r="C5" s="24"/>
      <c r="D5" s="24"/>
      <c r="E5" s="24"/>
      <c r="F5" s="24"/>
      <c r="G5" s="24"/>
      <c r="H5" s="24"/>
      <c r="I5" s="24"/>
      <c r="J5" s="25"/>
      <c r="L5" s="16"/>
      <c r="M5" s="15"/>
      <c r="N5" s="15"/>
      <c r="O5" s="17"/>
    </row>
    <row r="6" spans="1:15" x14ac:dyDescent="0.25">
      <c r="A6" s="15"/>
      <c r="B6" s="52" t="s">
        <v>2138</v>
      </c>
      <c r="C6" s="53"/>
      <c r="D6" s="53"/>
      <c r="E6" s="53"/>
      <c r="F6" s="53"/>
      <c r="G6" s="53"/>
      <c r="H6" s="53"/>
      <c r="I6" s="53"/>
      <c r="J6" s="54"/>
      <c r="L6" s="16"/>
      <c r="M6" s="15"/>
      <c r="N6" s="15"/>
      <c r="O6" s="17"/>
    </row>
    <row r="7" spans="1:15" s="8" customFormat="1" x14ac:dyDescent="0.25">
      <c r="A7" s="15"/>
      <c r="B7" s="55"/>
      <c r="C7" s="56"/>
      <c r="D7" s="56"/>
      <c r="E7" s="56"/>
      <c r="F7" s="56"/>
      <c r="G7" s="56"/>
      <c r="H7" s="56"/>
      <c r="I7" s="56"/>
      <c r="J7" s="57"/>
      <c r="L7" s="16"/>
      <c r="M7" s="15"/>
      <c r="N7" s="15"/>
      <c r="O7" s="17"/>
    </row>
    <row r="8" spans="1:15" s="8" customFormat="1" x14ac:dyDescent="0.25">
      <c r="A8" s="15"/>
      <c r="B8" s="58"/>
      <c r="C8" s="59"/>
      <c r="D8" s="59"/>
      <c r="E8" s="59"/>
      <c r="F8" s="59"/>
      <c r="G8" s="59"/>
      <c r="H8" s="59"/>
      <c r="I8" s="59"/>
      <c r="J8" s="60"/>
      <c r="L8" s="18"/>
      <c r="M8" s="12"/>
      <c r="N8" s="12"/>
      <c r="O8" s="19"/>
    </row>
    <row r="9" spans="1:15" ht="14.4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</row>
    <row r="10" spans="1:15" ht="14.45" x14ac:dyDescent="0.3">
      <c r="A10" s="15"/>
      <c r="B10" s="20" t="s">
        <v>2147</v>
      </c>
      <c r="C10" s="21"/>
      <c r="D10" s="21"/>
      <c r="E10" s="21"/>
      <c r="F10" s="21"/>
      <c r="G10" s="21"/>
      <c r="H10" s="21"/>
      <c r="I10" s="21"/>
      <c r="J10" s="22"/>
      <c r="N10" s="15"/>
      <c r="O10" s="15"/>
    </row>
    <row r="11" spans="1:15" ht="14.45" x14ac:dyDescent="0.3">
      <c r="A11" s="15"/>
      <c r="B11" s="27"/>
      <c r="C11" s="28"/>
      <c r="D11" s="28"/>
      <c r="E11" s="28"/>
      <c r="F11" s="28"/>
      <c r="G11" s="28"/>
      <c r="H11" s="28"/>
      <c r="I11" s="28"/>
      <c r="J11" s="29"/>
      <c r="N11" s="15"/>
      <c r="O11" s="15"/>
    </row>
    <row r="12" spans="1:15" ht="14.45" customHeight="1" x14ac:dyDescent="0.25">
      <c r="A12" s="15"/>
      <c r="B12" s="30"/>
      <c r="C12" s="31"/>
      <c r="D12" s="31"/>
      <c r="E12" s="31"/>
      <c r="F12" s="64" t="s">
        <v>2146</v>
      </c>
      <c r="G12" s="65"/>
      <c r="H12" s="65"/>
      <c r="I12" s="66"/>
      <c r="J12" s="32"/>
      <c r="K12" s="26"/>
      <c r="L12" s="26"/>
      <c r="M12" s="26"/>
      <c r="N12" s="26"/>
      <c r="O12" s="15"/>
    </row>
    <row r="13" spans="1:15" x14ac:dyDescent="0.25">
      <c r="B13" s="30"/>
      <c r="C13" s="31"/>
      <c r="D13" s="31"/>
      <c r="E13" s="31"/>
      <c r="F13" s="67"/>
      <c r="G13" s="68"/>
      <c r="H13" s="68"/>
      <c r="I13" s="69"/>
      <c r="J13" s="32"/>
      <c r="K13" s="26"/>
      <c r="L13" s="26"/>
      <c r="M13" s="26"/>
      <c r="N13" s="26"/>
      <c r="O13" s="15"/>
    </row>
    <row r="14" spans="1:15" x14ac:dyDescent="0.25">
      <c r="B14" s="30"/>
      <c r="C14" s="31"/>
      <c r="D14" s="31"/>
      <c r="E14" s="31"/>
      <c r="F14" s="67"/>
      <c r="G14" s="68"/>
      <c r="H14" s="68"/>
      <c r="I14" s="69"/>
      <c r="J14" s="33"/>
      <c r="K14" s="8"/>
      <c r="L14" s="8"/>
      <c r="M14" s="8"/>
      <c r="N14" s="15"/>
      <c r="O14" s="15"/>
    </row>
    <row r="15" spans="1:15" x14ac:dyDescent="0.25">
      <c r="B15" s="30"/>
      <c r="C15" s="31"/>
      <c r="D15" s="31"/>
      <c r="E15" s="31"/>
      <c r="F15" s="67"/>
      <c r="G15" s="68"/>
      <c r="H15" s="68"/>
      <c r="I15" s="69"/>
      <c r="J15" s="33"/>
      <c r="K15" s="8"/>
      <c r="L15" s="8"/>
      <c r="M15" s="8"/>
      <c r="N15" s="15"/>
      <c r="O15" s="15"/>
    </row>
    <row r="16" spans="1:15" x14ac:dyDescent="0.25">
      <c r="B16" s="30"/>
      <c r="C16" s="31"/>
      <c r="D16" s="31"/>
      <c r="E16" s="31"/>
      <c r="F16" s="70"/>
      <c r="G16" s="71"/>
      <c r="H16" s="71"/>
      <c r="I16" s="72"/>
      <c r="J16" s="33"/>
      <c r="K16" s="8"/>
      <c r="L16" s="8"/>
      <c r="M16" s="8"/>
      <c r="N16" s="15"/>
      <c r="O16" s="15"/>
    </row>
    <row r="17" spans="2:15" ht="14.45" x14ac:dyDescent="0.3">
      <c r="B17" s="30"/>
      <c r="C17" s="31"/>
      <c r="D17" s="31"/>
      <c r="E17" s="31"/>
      <c r="F17" s="31"/>
      <c r="G17" s="31"/>
      <c r="H17" s="31"/>
      <c r="I17" s="31"/>
      <c r="J17" s="33"/>
      <c r="N17" s="15"/>
      <c r="O17" s="15"/>
    </row>
    <row r="18" spans="2:15" ht="14.45" x14ac:dyDescent="0.3">
      <c r="B18" s="16"/>
      <c r="C18" s="31" t="s">
        <v>2144</v>
      </c>
      <c r="D18" s="31"/>
      <c r="E18" s="31"/>
      <c r="F18" s="31"/>
      <c r="G18" s="31"/>
      <c r="H18" s="31"/>
      <c r="I18" s="31"/>
      <c r="J18" s="33"/>
    </row>
    <row r="19" spans="2:15" ht="14.45" x14ac:dyDescent="0.3">
      <c r="B19" s="16"/>
      <c r="C19" s="37">
        <v>1</v>
      </c>
      <c r="D19" s="31" t="s">
        <v>2141</v>
      </c>
      <c r="E19" s="31"/>
      <c r="F19" s="31"/>
      <c r="G19" s="31"/>
      <c r="H19" s="31"/>
      <c r="I19" s="31"/>
      <c r="J19" s="33"/>
    </row>
    <row r="20" spans="2:15" x14ac:dyDescent="0.25">
      <c r="B20" s="16"/>
      <c r="C20" s="37">
        <v>2</v>
      </c>
      <c r="D20" s="31" t="s">
        <v>2142</v>
      </c>
      <c r="E20" s="31"/>
      <c r="F20" s="31"/>
      <c r="G20" s="31"/>
      <c r="H20" s="31"/>
      <c r="I20" s="31"/>
      <c r="J20" s="33"/>
    </row>
    <row r="21" spans="2:15" x14ac:dyDescent="0.25">
      <c r="B21" s="16"/>
      <c r="C21" s="37">
        <v>3</v>
      </c>
      <c r="D21" s="31" t="s">
        <v>2143</v>
      </c>
      <c r="E21" s="31"/>
      <c r="F21" s="31"/>
      <c r="G21" s="31"/>
      <c r="H21" s="31"/>
      <c r="I21" s="31"/>
      <c r="J21" s="33"/>
    </row>
    <row r="22" spans="2:15" x14ac:dyDescent="0.25">
      <c r="B22" s="34"/>
      <c r="C22" s="35"/>
      <c r="D22" s="35"/>
      <c r="E22" s="35"/>
      <c r="F22" s="35"/>
      <c r="G22" s="35"/>
      <c r="H22" s="35"/>
      <c r="I22" s="35"/>
      <c r="J22" s="36"/>
    </row>
  </sheetData>
  <mergeCells count="4">
    <mergeCell ref="B6:J8"/>
    <mergeCell ref="B3:J3"/>
    <mergeCell ref="F12:I16"/>
    <mergeCell ref="L2:O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11">
    <pageSetUpPr fitToPage="1"/>
  </sheetPr>
  <dimension ref="A1:O968"/>
  <sheetViews>
    <sheetView tabSelected="1" topLeftCell="A395" zoomScale="80" zoomScaleNormal="80" workbookViewId="0">
      <selection activeCell="P424" sqref="P424"/>
    </sheetView>
  </sheetViews>
  <sheetFormatPr defaultRowHeight="15" customHeight="1" x14ac:dyDescent="0.25"/>
  <cols>
    <col min="1" max="1" width="3.28515625" style="8" customWidth="1"/>
    <col min="2" max="2" width="22.140625" style="7" customWidth="1"/>
    <col min="3" max="3" width="12.7109375" style="8" customWidth="1"/>
    <col min="4" max="4" width="11" style="7" customWidth="1"/>
    <col min="5" max="5" width="25.5703125" style="7" customWidth="1"/>
    <col min="6" max="6" width="18.140625" style="7" customWidth="1"/>
    <col min="7" max="7" width="13.42578125" style="7" customWidth="1"/>
    <col min="8" max="8" width="15.28515625" style="7" customWidth="1"/>
    <col min="9" max="9" width="9.140625" style="7"/>
    <col min="10" max="10" width="20.28515625" style="7" customWidth="1"/>
    <col min="11" max="11" width="9.140625" style="7"/>
    <col min="12" max="12" width="9.140625" style="7" customWidth="1"/>
    <col min="13" max="214" width="9.140625" style="7"/>
    <col min="215" max="215" width="9.85546875" style="7" customWidth="1"/>
    <col min="216" max="216" width="23.28515625" style="7" customWidth="1"/>
    <col min="217" max="217" width="10.5703125" style="7" customWidth="1"/>
    <col min="218" max="218" width="9.140625" style="7"/>
    <col min="219" max="219" width="10.7109375" style="7" bestFit="1" customWidth="1"/>
    <col min="220" max="470" width="9.140625" style="7"/>
    <col min="471" max="471" width="9.85546875" style="7" customWidth="1"/>
    <col min="472" max="472" width="23.28515625" style="7" customWidth="1"/>
    <col min="473" max="473" width="10.5703125" style="7" customWidth="1"/>
    <col min="474" max="474" width="9.140625" style="7"/>
    <col min="475" max="475" width="10.7109375" style="7" bestFit="1" customWidth="1"/>
    <col min="476" max="726" width="9.140625" style="7"/>
    <col min="727" max="727" width="9.85546875" style="7" customWidth="1"/>
    <col min="728" max="728" width="23.28515625" style="7" customWidth="1"/>
    <col min="729" max="729" width="10.5703125" style="7" customWidth="1"/>
    <col min="730" max="730" width="9.140625" style="7"/>
    <col min="731" max="731" width="10.7109375" style="7" bestFit="1" customWidth="1"/>
    <col min="732" max="982" width="9.140625" style="7"/>
    <col min="983" max="983" width="9.85546875" style="7" customWidth="1"/>
    <col min="984" max="984" width="23.28515625" style="7" customWidth="1"/>
    <col min="985" max="985" width="10.5703125" style="7" customWidth="1"/>
    <col min="986" max="986" width="9.140625" style="7"/>
    <col min="987" max="987" width="10.7109375" style="7" bestFit="1" customWidth="1"/>
    <col min="988" max="1238" width="9.140625" style="7"/>
    <col min="1239" max="1239" width="9.85546875" style="7" customWidth="1"/>
    <col min="1240" max="1240" width="23.28515625" style="7" customWidth="1"/>
    <col min="1241" max="1241" width="10.5703125" style="7" customWidth="1"/>
    <col min="1242" max="1242" width="9.140625" style="7"/>
    <col min="1243" max="1243" width="10.7109375" style="7" bestFit="1" customWidth="1"/>
    <col min="1244" max="1494" width="9.140625" style="7"/>
    <col min="1495" max="1495" width="9.85546875" style="7" customWidth="1"/>
    <col min="1496" max="1496" width="23.28515625" style="7" customWidth="1"/>
    <col min="1497" max="1497" width="10.5703125" style="7" customWidth="1"/>
    <col min="1498" max="1498" width="9.140625" style="7"/>
    <col min="1499" max="1499" width="10.7109375" style="7" bestFit="1" customWidth="1"/>
    <col min="1500" max="1750" width="9.140625" style="7"/>
    <col min="1751" max="1751" width="9.85546875" style="7" customWidth="1"/>
    <col min="1752" max="1752" width="23.28515625" style="7" customWidth="1"/>
    <col min="1753" max="1753" width="10.5703125" style="7" customWidth="1"/>
    <col min="1754" max="1754" width="9.140625" style="7"/>
    <col min="1755" max="1755" width="10.7109375" style="7" bestFit="1" customWidth="1"/>
    <col min="1756" max="2006" width="9.140625" style="7"/>
    <col min="2007" max="2007" width="9.85546875" style="7" customWidth="1"/>
    <col min="2008" max="2008" width="23.28515625" style="7" customWidth="1"/>
    <col min="2009" max="2009" width="10.5703125" style="7" customWidth="1"/>
    <col min="2010" max="2010" width="9.140625" style="7"/>
    <col min="2011" max="2011" width="10.7109375" style="7" bestFit="1" customWidth="1"/>
    <col min="2012" max="2262" width="9.140625" style="7"/>
    <col min="2263" max="2263" width="9.85546875" style="7" customWidth="1"/>
    <col min="2264" max="2264" width="23.28515625" style="7" customWidth="1"/>
    <col min="2265" max="2265" width="10.5703125" style="7" customWidth="1"/>
    <col min="2266" max="2266" width="9.140625" style="7"/>
    <col min="2267" max="2267" width="10.7109375" style="7" bestFit="1" customWidth="1"/>
    <col min="2268" max="2518" width="9.140625" style="7"/>
    <col min="2519" max="2519" width="9.85546875" style="7" customWidth="1"/>
    <col min="2520" max="2520" width="23.28515625" style="7" customWidth="1"/>
    <col min="2521" max="2521" width="10.5703125" style="7" customWidth="1"/>
    <col min="2522" max="2522" width="9.140625" style="7"/>
    <col min="2523" max="2523" width="10.7109375" style="7" bestFit="1" customWidth="1"/>
    <col min="2524" max="2774" width="9.140625" style="7"/>
    <col min="2775" max="2775" width="9.85546875" style="7" customWidth="1"/>
    <col min="2776" max="2776" width="23.28515625" style="7" customWidth="1"/>
    <col min="2777" max="2777" width="10.5703125" style="7" customWidth="1"/>
    <col min="2778" max="2778" width="9.140625" style="7"/>
    <col min="2779" max="2779" width="10.7109375" style="7" bestFit="1" customWidth="1"/>
    <col min="2780" max="3030" width="9.140625" style="7"/>
    <col min="3031" max="3031" width="9.85546875" style="7" customWidth="1"/>
    <col min="3032" max="3032" width="23.28515625" style="7" customWidth="1"/>
    <col min="3033" max="3033" width="10.5703125" style="7" customWidth="1"/>
    <col min="3034" max="3034" width="9.140625" style="7"/>
    <col min="3035" max="3035" width="10.7109375" style="7" bestFit="1" customWidth="1"/>
    <col min="3036" max="3286" width="9.140625" style="7"/>
    <col min="3287" max="3287" width="9.85546875" style="7" customWidth="1"/>
    <col min="3288" max="3288" width="23.28515625" style="7" customWidth="1"/>
    <col min="3289" max="3289" width="10.5703125" style="7" customWidth="1"/>
    <col min="3290" max="3290" width="9.140625" style="7"/>
    <col min="3291" max="3291" width="10.7109375" style="7" bestFit="1" customWidth="1"/>
    <col min="3292" max="3542" width="9.140625" style="7"/>
    <col min="3543" max="3543" width="9.85546875" style="7" customWidth="1"/>
    <col min="3544" max="3544" width="23.28515625" style="7" customWidth="1"/>
    <col min="3545" max="3545" width="10.5703125" style="7" customWidth="1"/>
    <col min="3546" max="3546" width="9.140625" style="7"/>
    <col min="3547" max="3547" width="10.7109375" style="7" bestFit="1" customWidth="1"/>
    <col min="3548" max="3798" width="9.140625" style="7"/>
    <col min="3799" max="3799" width="9.85546875" style="7" customWidth="1"/>
    <col min="3800" max="3800" width="23.28515625" style="7" customWidth="1"/>
    <col min="3801" max="3801" width="10.5703125" style="7" customWidth="1"/>
    <col min="3802" max="3802" width="9.140625" style="7"/>
    <col min="3803" max="3803" width="10.7109375" style="7" bestFit="1" customWidth="1"/>
    <col min="3804" max="4054" width="9.140625" style="7"/>
    <col min="4055" max="4055" width="9.85546875" style="7" customWidth="1"/>
    <col min="4056" max="4056" width="23.28515625" style="7" customWidth="1"/>
    <col min="4057" max="4057" width="10.5703125" style="7" customWidth="1"/>
    <col min="4058" max="4058" width="9.140625" style="7"/>
    <col min="4059" max="4059" width="10.7109375" style="7" bestFit="1" customWidth="1"/>
    <col min="4060" max="4310" width="9.140625" style="7"/>
    <col min="4311" max="4311" width="9.85546875" style="7" customWidth="1"/>
    <col min="4312" max="4312" width="23.28515625" style="7" customWidth="1"/>
    <col min="4313" max="4313" width="10.5703125" style="7" customWidth="1"/>
    <col min="4314" max="4314" width="9.140625" style="7"/>
    <col min="4315" max="4315" width="10.7109375" style="7" bestFit="1" customWidth="1"/>
    <col min="4316" max="4566" width="9.140625" style="7"/>
    <col min="4567" max="4567" width="9.85546875" style="7" customWidth="1"/>
    <col min="4568" max="4568" width="23.28515625" style="7" customWidth="1"/>
    <col min="4569" max="4569" width="10.5703125" style="7" customWidth="1"/>
    <col min="4570" max="4570" width="9.140625" style="7"/>
    <col min="4571" max="4571" width="10.7109375" style="7" bestFit="1" customWidth="1"/>
    <col min="4572" max="4822" width="9.140625" style="7"/>
    <col min="4823" max="4823" width="9.85546875" style="7" customWidth="1"/>
    <col min="4824" max="4824" width="23.28515625" style="7" customWidth="1"/>
    <col min="4825" max="4825" width="10.5703125" style="7" customWidth="1"/>
    <col min="4826" max="4826" width="9.140625" style="7"/>
    <col min="4827" max="4827" width="10.7109375" style="7" bestFit="1" customWidth="1"/>
    <col min="4828" max="5078" width="9.140625" style="7"/>
    <col min="5079" max="5079" width="9.85546875" style="7" customWidth="1"/>
    <col min="5080" max="5080" width="23.28515625" style="7" customWidth="1"/>
    <col min="5081" max="5081" width="10.5703125" style="7" customWidth="1"/>
    <col min="5082" max="5082" width="9.140625" style="7"/>
    <col min="5083" max="5083" width="10.7109375" style="7" bestFit="1" customWidth="1"/>
    <col min="5084" max="5334" width="9.140625" style="7"/>
    <col min="5335" max="5335" width="9.85546875" style="7" customWidth="1"/>
    <col min="5336" max="5336" width="23.28515625" style="7" customWidth="1"/>
    <col min="5337" max="5337" width="10.5703125" style="7" customWidth="1"/>
    <col min="5338" max="5338" width="9.140625" style="7"/>
    <col min="5339" max="5339" width="10.7109375" style="7" bestFit="1" customWidth="1"/>
    <col min="5340" max="5590" width="9.140625" style="7"/>
    <col min="5591" max="5591" width="9.85546875" style="7" customWidth="1"/>
    <col min="5592" max="5592" width="23.28515625" style="7" customWidth="1"/>
    <col min="5593" max="5593" width="10.5703125" style="7" customWidth="1"/>
    <col min="5594" max="5594" width="9.140625" style="7"/>
    <col min="5595" max="5595" width="10.7109375" style="7" bestFit="1" customWidth="1"/>
    <col min="5596" max="5846" width="9.140625" style="7"/>
    <col min="5847" max="5847" width="9.85546875" style="7" customWidth="1"/>
    <col min="5848" max="5848" width="23.28515625" style="7" customWidth="1"/>
    <col min="5849" max="5849" width="10.5703125" style="7" customWidth="1"/>
    <col min="5850" max="5850" width="9.140625" style="7"/>
    <col min="5851" max="5851" width="10.7109375" style="7" bestFit="1" customWidth="1"/>
    <col min="5852" max="6102" width="9.140625" style="7"/>
    <col min="6103" max="6103" width="9.85546875" style="7" customWidth="1"/>
    <col min="6104" max="6104" width="23.28515625" style="7" customWidth="1"/>
    <col min="6105" max="6105" width="10.5703125" style="7" customWidth="1"/>
    <col min="6106" max="6106" width="9.140625" style="7"/>
    <col min="6107" max="6107" width="10.7109375" style="7" bestFit="1" customWidth="1"/>
    <col min="6108" max="6358" width="9.140625" style="7"/>
    <col min="6359" max="6359" width="9.85546875" style="7" customWidth="1"/>
    <col min="6360" max="6360" width="23.28515625" style="7" customWidth="1"/>
    <col min="6361" max="6361" width="10.5703125" style="7" customWidth="1"/>
    <col min="6362" max="6362" width="9.140625" style="7"/>
    <col min="6363" max="6363" width="10.7109375" style="7" bestFit="1" customWidth="1"/>
    <col min="6364" max="6614" width="9.140625" style="7"/>
    <col min="6615" max="6615" width="9.85546875" style="7" customWidth="1"/>
    <col min="6616" max="6616" width="23.28515625" style="7" customWidth="1"/>
    <col min="6617" max="6617" width="10.5703125" style="7" customWidth="1"/>
    <col min="6618" max="6618" width="9.140625" style="7"/>
    <col min="6619" max="6619" width="10.7109375" style="7" bestFit="1" customWidth="1"/>
    <col min="6620" max="6870" width="9.140625" style="7"/>
    <col min="6871" max="6871" width="9.85546875" style="7" customWidth="1"/>
    <col min="6872" max="6872" width="23.28515625" style="7" customWidth="1"/>
    <col min="6873" max="6873" width="10.5703125" style="7" customWidth="1"/>
    <col min="6874" max="6874" width="9.140625" style="7"/>
    <col min="6875" max="6875" width="10.7109375" style="7" bestFit="1" customWidth="1"/>
    <col min="6876" max="7126" width="9.140625" style="7"/>
    <col min="7127" max="7127" width="9.85546875" style="7" customWidth="1"/>
    <col min="7128" max="7128" width="23.28515625" style="7" customWidth="1"/>
    <col min="7129" max="7129" width="10.5703125" style="7" customWidth="1"/>
    <col min="7130" max="7130" width="9.140625" style="7"/>
    <col min="7131" max="7131" width="10.7109375" style="7" bestFit="1" customWidth="1"/>
    <col min="7132" max="7382" width="9.140625" style="7"/>
    <col min="7383" max="7383" width="9.85546875" style="7" customWidth="1"/>
    <col min="7384" max="7384" width="23.28515625" style="7" customWidth="1"/>
    <col min="7385" max="7385" width="10.5703125" style="7" customWidth="1"/>
    <col min="7386" max="7386" width="9.140625" style="7"/>
    <col min="7387" max="7387" width="10.7109375" style="7" bestFit="1" customWidth="1"/>
    <col min="7388" max="7638" width="9.140625" style="7"/>
    <col min="7639" max="7639" width="9.85546875" style="7" customWidth="1"/>
    <col min="7640" max="7640" width="23.28515625" style="7" customWidth="1"/>
    <col min="7641" max="7641" width="10.5703125" style="7" customWidth="1"/>
    <col min="7642" max="7642" width="9.140625" style="7"/>
    <col min="7643" max="7643" width="10.7109375" style="7" bestFit="1" customWidth="1"/>
    <col min="7644" max="7894" width="9.140625" style="7"/>
    <col min="7895" max="7895" width="9.85546875" style="7" customWidth="1"/>
    <col min="7896" max="7896" width="23.28515625" style="7" customWidth="1"/>
    <col min="7897" max="7897" width="10.5703125" style="7" customWidth="1"/>
    <col min="7898" max="7898" width="9.140625" style="7"/>
    <col min="7899" max="7899" width="10.7109375" style="7" bestFit="1" customWidth="1"/>
    <col min="7900" max="8150" width="9.140625" style="7"/>
    <col min="8151" max="8151" width="9.85546875" style="7" customWidth="1"/>
    <col min="8152" max="8152" width="23.28515625" style="7" customWidth="1"/>
    <col min="8153" max="8153" width="10.5703125" style="7" customWidth="1"/>
    <col min="8154" max="8154" width="9.140625" style="7"/>
    <col min="8155" max="8155" width="10.7109375" style="7" bestFit="1" customWidth="1"/>
    <col min="8156" max="8406" width="9.140625" style="7"/>
    <col min="8407" max="8407" width="9.85546875" style="7" customWidth="1"/>
    <col min="8408" max="8408" width="23.28515625" style="7" customWidth="1"/>
    <col min="8409" max="8409" width="10.5703125" style="7" customWidth="1"/>
    <col min="8410" max="8410" width="9.140625" style="7"/>
    <col min="8411" max="8411" width="10.7109375" style="7" bestFit="1" customWidth="1"/>
    <col min="8412" max="8662" width="9.140625" style="7"/>
    <col min="8663" max="8663" width="9.85546875" style="7" customWidth="1"/>
    <col min="8664" max="8664" width="23.28515625" style="7" customWidth="1"/>
    <col min="8665" max="8665" width="10.5703125" style="7" customWidth="1"/>
    <col min="8666" max="8666" width="9.140625" style="7"/>
    <col min="8667" max="8667" width="10.7109375" style="7" bestFit="1" customWidth="1"/>
    <col min="8668" max="8918" width="9.140625" style="7"/>
    <col min="8919" max="8919" width="9.85546875" style="7" customWidth="1"/>
    <col min="8920" max="8920" width="23.28515625" style="7" customWidth="1"/>
    <col min="8921" max="8921" width="10.5703125" style="7" customWidth="1"/>
    <col min="8922" max="8922" width="9.140625" style="7"/>
    <col min="8923" max="8923" width="10.7109375" style="7" bestFit="1" customWidth="1"/>
    <col min="8924" max="9174" width="9.140625" style="7"/>
    <col min="9175" max="9175" width="9.85546875" style="7" customWidth="1"/>
    <col min="9176" max="9176" width="23.28515625" style="7" customWidth="1"/>
    <col min="9177" max="9177" width="10.5703125" style="7" customWidth="1"/>
    <col min="9178" max="9178" width="9.140625" style="7"/>
    <col min="9179" max="9179" width="10.7109375" style="7" bestFit="1" customWidth="1"/>
    <col min="9180" max="9430" width="9.140625" style="7"/>
    <col min="9431" max="9431" width="9.85546875" style="7" customWidth="1"/>
    <col min="9432" max="9432" width="23.28515625" style="7" customWidth="1"/>
    <col min="9433" max="9433" width="10.5703125" style="7" customWidth="1"/>
    <col min="9434" max="9434" width="9.140625" style="7"/>
    <col min="9435" max="9435" width="10.7109375" style="7" bestFit="1" customWidth="1"/>
    <col min="9436" max="9686" width="9.140625" style="7"/>
    <col min="9687" max="9687" width="9.85546875" style="7" customWidth="1"/>
    <col min="9688" max="9688" width="23.28515625" style="7" customWidth="1"/>
    <col min="9689" max="9689" width="10.5703125" style="7" customWidth="1"/>
    <col min="9690" max="9690" width="9.140625" style="7"/>
    <col min="9691" max="9691" width="10.7109375" style="7" bestFit="1" customWidth="1"/>
    <col min="9692" max="9942" width="9.140625" style="7"/>
    <col min="9943" max="9943" width="9.85546875" style="7" customWidth="1"/>
    <col min="9944" max="9944" width="23.28515625" style="7" customWidth="1"/>
    <col min="9945" max="9945" width="10.5703125" style="7" customWidth="1"/>
    <col min="9946" max="9946" width="9.140625" style="7"/>
    <col min="9947" max="9947" width="10.7109375" style="7" bestFit="1" customWidth="1"/>
    <col min="9948" max="10198" width="9.140625" style="7"/>
    <col min="10199" max="10199" width="9.85546875" style="7" customWidth="1"/>
    <col min="10200" max="10200" width="23.28515625" style="7" customWidth="1"/>
    <col min="10201" max="10201" width="10.5703125" style="7" customWidth="1"/>
    <col min="10202" max="10202" width="9.140625" style="7"/>
    <col min="10203" max="10203" width="10.7109375" style="7" bestFit="1" customWidth="1"/>
    <col min="10204" max="10454" width="9.140625" style="7"/>
    <col min="10455" max="10455" width="9.85546875" style="7" customWidth="1"/>
    <col min="10456" max="10456" width="23.28515625" style="7" customWidth="1"/>
    <col min="10457" max="10457" width="10.5703125" style="7" customWidth="1"/>
    <col min="10458" max="10458" width="9.140625" style="7"/>
    <col min="10459" max="10459" width="10.7109375" style="7" bestFit="1" customWidth="1"/>
    <col min="10460" max="10710" width="9.140625" style="7"/>
    <col min="10711" max="10711" width="9.85546875" style="7" customWidth="1"/>
    <col min="10712" max="10712" width="23.28515625" style="7" customWidth="1"/>
    <col min="10713" max="10713" width="10.5703125" style="7" customWidth="1"/>
    <col min="10714" max="10714" width="9.140625" style="7"/>
    <col min="10715" max="10715" width="10.7109375" style="7" bestFit="1" customWidth="1"/>
    <col min="10716" max="10966" width="9.140625" style="7"/>
    <col min="10967" max="10967" width="9.85546875" style="7" customWidth="1"/>
    <col min="10968" max="10968" width="23.28515625" style="7" customWidth="1"/>
    <col min="10969" max="10969" width="10.5703125" style="7" customWidth="1"/>
    <col min="10970" max="10970" width="9.140625" style="7"/>
    <col min="10971" max="10971" width="10.7109375" style="7" bestFit="1" customWidth="1"/>
    <col min="10972" max="11222" width="9.140625" style="7"/>
    <col min="11223" max="11223" width="9.85546875" style="7" customWidth="1"/>
    <col min="11224" max="11224" width="23.28515625" style="7" customWidth="1"/>
    <col min="11225" max="11225" width="10.5703125" style="7" customWidth="1"/>
    <col min="11226" max="11226" width="9.140625" style="7"/>
    <col min="11227" max="11227" width="10.7109375" style="7" bestFit="1" customWidth="1"/>
    <col min="11228" max="11478" width="9.140625" style="7"/>
    <col min="11479" max="11479" width="9.85546875" style="7" customWidth="1"/>
    <col min="11480" max="11480" width="23.28515625" style="7" customWidth="1"/>
    <col min="11481" max="11481" width="10.5703125" style="7" customWidth="1"/>
    <col min="11482" max="11482" width="9.140625" style="7"/>
    <col min="11483" max="11483" width="10.7109375" style="7" bestFit="1" customWidth="1"/>
    <col min="11484" max="11734" width="9.140625" style="7"/>
    <col min="11735" max="11735" width="9.85546875" style="7" customWidth="1"/>
    <col min="11736" max="11736" width="23.28515625" style="7" customWidth="1"/>
    <col min="11737" max="11737" width="10.5703125" style="7" customWidth="1"/>
    <col min="11738" max="11738" width="9.140625" style="7"/>
    <col min="11739" max="11739" width="10.7109375" style="7" bestFit="1" customWidth="1"/>
    <col min="11740" max="11990" width="9.140625" style="7"/>
    <col min="11991" max="11991" width="9.85546875" style="7" customWidth="1"/>
    <col min="11992" max="11992" width="23.28515625" style="7" customWidth="1"/>
    <col min="11993" max="11993" width="10.5703125" style="7" customWidth="1"/>
    <col min="11994" max="11994" width="9.140625" style="7"/>
    <col min="11995" max="11995" width="10.7109375" style="7" bestFit="1" customWidth="1"/>
    <col min="11996" max="12246" width="9.140625" style="7"/>
    <col min="12247" max="12247" width="9.85546875" style="7" customWidth="1"/>
    <col min="12248" max="12248" width="23.28515625" style="7" customWidth="1"/>
    <col min="12249" max="12249" width="10.5703125" style="7" customWidth="1"/>
    <col min="12250" max="12250" width="9.140625" style="7"/>
    <col min="12251" max="12251" width="10.7109375" style="7" bestFit="1" customWidth="1"/>
    <col min="12252" max="12502" width="9.140625" style="7"/>
    <col min="12503" max="12503" width="9.85546875" style="7" customWidth="1"/>
    <col min="12504" max="12504" width="23.28515625" style="7" customWidth="1"/>
    <col min="12505" max="12505" width="10.5703125" style="7" customWidth="1"/>
    <col min="12506" max="12506" width="9.140625" style="7"/>
    <col min="12507" max="12507" width="10.7109375" style="7" bestFit="1" customWidth="1"/>
    <col min="12508" max="12758" width="9.140625" style="7"/>
    <col min="12759" max="12759" width="9.85546875" style="7" customWidth="1"/>
    <col min="12760" max="12760" width="23.28515625" style="7" customWidth="1"/>
    <col min="12761" max="12761" width="10.5703125" style="7" customWidth="1"/>
    <col min="12762" max="12762" width="9.140625" style="7"/>
    <col min="12763" max="12763" width="10.7109375" style="7" bestFit="1" customWidth="1"/>
    <col min="12764" max="13014" width="9.140625" style="7"/>
    <col min="13015" max="13015" width="9.85546875" style="7" customWidth="1"/>
    <col min="13016" max="13016" width="23.28515625" style="7" customWidth="1"/>
    <col min="13017" max="13017" width="10.5703125" style="7" customWidth="1"/>
    <col min="13018" max="13018" width="9.140625" style="7"/>
    <col min="13019" max="13019" width="10.7109375" style="7" bestFit="1" customWidth="1"/>
    <col min="13020" max="13270" width="9.140625" style="7"/>
    <col min="13271" max="13271" width="9.85546875" style="7" customWidth="1"/>
    <col min="13272" max="13272" width="23.28515625" style="7" customWidth="1"/>
    <col min="13273" max="13273" width="10.5703125" style="7" customWidth="1"/>
    <col min="13274" max="13274" width="9.140625" style="7"/>
    <col min="13275" max="13275" width="10.7109375" style="7" bestFit="1" customWidth="1"/>
    <col min="13276" max="13526" width="9.140625" style="7"/>
    <col min="13527" max="13527" width="9.85546875" style="7" customWidth="1"/>
    <col min="13528" max="13528" width="23.28515625" style="7" customWidth="1"/>
    <col min="13529" max="13529" width="10.5703125" style="7" customWidth="1"/>
    <col min="13530" max="13530" width="9.140625" style="7"/>
    <col min="13531" max="13531" width="10.7109375" style="7" bestFit="1" customWidth="1"/>
    <col min="13532" max="13782" width="9.140625" style="7"/>
    <col min="13783" max="13783" width="9.85546875" style="7" customWidth="1"/>
    <col min="13784" max="13784" width="23.28515625" style="7" customWidth="1"/>
    <col min="13785" max="13785" width="10.5703125" style="7" customWidth="1"/>
    <col min="13786" max="13786" width="9.140625" style="7"/>
    <col min="13787" max="13787" width="10.7109375" style="7" bestFit="1" customWidth="1"/>
    <col min="13788" max="14038" width="9.140625" style="7"/>
    <col min="14039" max="14039" width="9.85546875" style="7" customWidth="1"/>
    <col min="14040" max="14040" width="23.28515625" style="7" customWidth="1"/>
    <col min="14041" max="14041" width="10.5703125" style="7" customWidth="1"/>
    <col min="14042" max="14042" width="9.140625" style="7"/>
    <col min="14043" max="14043" width="10.7109375" style="7" bestFit="1" customWidth="1"/>
    <col min="14044" max="14294" width="9.140625" style="7"/>
    <col min="14295" max="14295" width="9.85546875" style="7" customWidth="1"/>
    <col min="14296" max="14296" width="23.28515625" style="7" customWidth="1"/>
    <col min="14297" max="14297" width="10.5703125" style="7" customWidth="1"/>
    <col min="14298" max="14298" width="9.140625" style="7"/>
    <col min="14299" max="14299" width="10.7109375" style="7" bestFit="1" customWidth="1"/>
    <col min="14300" max="14550" width="9.140625" style="7"/>
    <col min="14551" max="14551" width="9.85546875" style="7" customWidth="1"/>
    <col min="14552" max="14552" width="23.28515625" style="7" customWidth="1"/>
    <col min="14553" max="14553" width="10.5703125" style="7" customWidth="1"/>
    <col min="14554" max="14554" width="9.140625" style="7"/>
    <col min="14555" max="14555" width="10.7109375" style="7" bestFit="1" customWidth="1"/>
    <col min="14556" max="14806" width="9.140625" style="7"/>
    <col min="14807" max="14807" width="9.85546875" style="7" customWidth="1"/>
    <col min="14808" max="14808" width="23.28515625" style="7" customWidth="1"/>
    <col min="14809" max="14809" width="10.5703125" style="7" customWidth="1"/>
    <col min="14810" max="14810" width="9.140625" style="7"/>
    <col min="14811" max="14811" width="10.7109375" style="7" bestFit="1" customWidth="1"/>
    <col min="14812" max="15062" width="9.140625" style="7"/>
    <col min="15063" max="15063" width="9.85546875" style="7" customWidth="1"/>
    <col min="15064" max="15064" width="23.28515625" style="7" customWidth="1"/>
    <col min="15065" max="15065" width="10.5703125" style="7" customWidth="1"/>
    <col min="15066" max="15066" width="9.140625" style="7"/>
    <col min="15067" max="15067" width="10.7109375" style="7" bestFit="1" customWidth="1"/>
    <col min="15068" max="15318" width="9.140625" style="7"/>
    <col min="15319" max="15319" width="9.85546875" style="7" customWidth="1"/>
    <col min="15320" max="15320" width="23.28515625" style="7" customWidth="1"/>
    <col min="15321" max="15321" width="10.5703125" style="7" customWidth="1"/>
    <col min="15322" max="15322" width="9.140625" style="7"/>
    <col min="15323" max="15323" width="10.7109375" style="7" bestFit="1" customWidth="1"/>
    <col min="15324" max="15574" width="9.140625" style="7"/>
    <col min="15575" max="15575" width="9.85546875" style="7" customWidth="1"/>
    <col min="15576" max="15576" width="23.28515625" style="7" customWidth="1"/>
    <col min="15577" max="15577" width="10.5703125" style="7" customWidth="1"/>
    <col min="15578" max="15578" width="9.140625" style="7"/>
    <col min="15579" max="15579" width="10.7109375" style="7" bestFit="1" customWidth="1"/>
    <col min="15580" max="15830" width="9.140625" style="7"/>
    <col min="15831" max="15831" width="9.85546875" style="7" customWidth="1"/>
    <col min="15832" max="15832" width="23.28515625" style="7" customWidth="1"/>
    <col min="15833" max="15833" width="10.5703125" style="7" customWidth="1"/>
    <col min="15834" max="15834" width="9.140625" style="7"/>
    <col min="15835" max="15835" width="10.7109375" style="7" bestFit="1" customWidth="1"/>
    <col min="15836" max="16086" width="9.140625" style="7"/>
    <col min="16087" max="16087" width="9.85546875" style="7" customWidth="1"/>
    <col min="16088" max="16088" width="23.28515625" style="7" customWidth="1"/>
    <col min="16089" max="16089" width="10.5703125" style="7" customWidth="1"/>
    <col min="16090" max="16090" width="9.140625" style="7"/>
    <col min="16091" max="16091" width="10.7109375" style="7" bestFit="1" customWidth="1"/>
    <col min="16092" max="16384" width="9.140625" style="7"/>
  </cols>
  <sheetData>
    <row r="1" spans="1:15" s="12" customFormat="1" ht="15" customHeight="1" x14ac:dyDescent="0.25">
      <c r="C1" s="13"/>
      <c r="D1" s="13" t="s">
        <v>37</v>
      </c>
      <c r="E1" s="13"/>
      <c r="F1" s="13"/>
      <c r="G1" s="13"/>
      <c r="H1" s="13"/>
    </row>
    <row r="2" spans="1:15" ht="15" customHeight="1" x14ac:dyDescent="0.25">
      <c r="A2" s="7"/>
      <c r="B2" s="8"/>
      <c r="C2" s="10" t="s">
        <v>38</v>
      </c>
      <c r="D2" s="10" t="s">
        <v>39</v>
      </c>
      <c r="E2" s="10" t="s">
        <v>40</v>
      </c>
      <c r="F2" s="10" t="s">
        <v>2125</v>
      </c>
      <c r="G2" s="10" t="s">
        <v>36</v>
      </c>
      <c r="H2" s="10" t="s">
        <v>41</v>
      </c>
    </row>
    <row r="3" spans="1:15" ht="15" customHeight="1" x14ac:dyDescent="0.25">
      <c r="A3" s="7"/>
      <c r="B3" s="8">
        <v>1001</v>
      </c>
      <c r="C3" s="1" t="s">
        <v>43</v>
      </c>
      <c r="D3" s="1">
        <f t="shared" ref="D3:D66" si="0">MID(C3,3,3)+1000</f>
        <v>1001</v>
      </c>
      <c r="E3" s="1" t="s">
        <v>44</v>
      </c>
      <c r="F3" s="7" t="str">
        <f t="shared" ref="F3:F66" si="1">MID(C3,1,2)</f>
        <v>MK</v>
      </c>
      <c r="G3" s="2">
        <v>540.79999999999995</v>
      </c>
      <c r="H3" s="2">
        <f>SUMIF(RouteID_Conversion!$J$2:$J$999,AM_BoardingByRoute!$D$3:$D$426,RouteID_Conversion!$K$2:$K$999)</f>
        <v>542.39409255981332</v>
      </c>
      <c r="J3" s="76">
        <v>2010</v>
      </c>
      <c r="K3" s="76"/>
      <c r="L3" s="76"/>
      <c r="M3" s="76"/>
      <c r="N3" s="76"/>
      <c r="O3" s="76"/>
    </row>
    <row r="4" spans="1:15" ht="15" customHeight="1" x14ac:dyDescent="0.25">
      <c r="A4" s="7"/>
      <c r="B4" s="8">
        <v>1002</v>
      </c>
      <c r="C4" s="1" t="s">
        <v>45</v>
      </c>
      <c r="D4" s="1">
        <f t="shared" si="0"/>
        <v>1002</v>
      </c>
      <c r="E4" s="1" t="s">
        <v>46</v>
      </c>
      <c r="F4" s="8" t="str">
        <f t="shared" si="1"/>
        <v>MK</v>
      </c>
      <c r="G4" s="2">
        <v>1400.3</v>
      </c>
      <c r="H4" s="2">
        <f>SUMIF(RouteID_Conversion!$J$2:$J$999,AM_BoardingByRoute!$D$3:$D$426,RouteID_Conversion!$K$2:$K$999)</f>
        <v>1082.5013999938947</v>
      </c>
      <c r="J4" s="38" t="s">
        <v>35</v>
      </c>
      <c r="K4" s="39" t="s">
        <v>2134</v>
      </c>
      <c r="L4" s="11" t="s">
        <v>41</v>
      </c>
      <c r="M4" s="11" t="s">
        <v>36</v>
      </c>
      <c r="N4" s="40" t="s">
        <v>1838</v>
      </c>
      <c r="O4" s="11" t="s">
        <v>34</v>
      </c>
    </row>
    <row r="5" spans="1:15" ht="15" customHeight="1" x14ac:dyDescent="0.25">
      <c r="A5" s="7"/>
      <c r="B5" s="8">
        <v>1003</v>
      </c>
      <c r="C5" s="1" t="s">
        <v>47</v>
      </c>
      <c r="D5" s="1">
        <f t="shared" si="0"/>
        <v>1003</v>
      </c>
      <c r="E5" s="1" t="s">
        <v>48</v>
      </c>
      <c r="F5" s="8" t="str">
        <f t="shared" si="1"/>
        <v>MK</v>
      </c>
      <c r="G5" s="2">
        <v>1299.7</v>
      </c>
      <c r="H5" s="2">
        <f>SUMIF(RouteID_Conversion!$J$2:$J$999,AM_BoardingByRoute!$D$3:$D$426,RouteID_Conversion!$K$2:$K$999)</f>
        <v>701.18774199485665</v>
      </c>
      <c r="J5" s="41" t="s">
        <v>8</v>
      </c>
      <c r="K5" s="42" t="s">
        <v>2130</v>
      </c>
      <c r="L5" s="43">
        <f t="shared" ref="L5:L10" si="2">SUMIF($F$3:$F$426,K5,$H$3:$H$426)</f>
        <v>2677.9346967935539</v>
      </c>
      <c r="M5" s="43">
        <f t="shared" ref="M5:M10" si="3">SUMIF($F$3:$F$426,K5,$G$3:$G$426)</f>
        <v>1409.2272727272725</v>
      </c>
      <c r="N5" s="44">
        <f>L5-M5</f>
        <v>1268.7074240662814</v>
      </c>
      <c r="O5" s="45">
        <f>IF(AND(L5&gt;0,M5&gt;0),N5/M5,"N/A")</f>
        <v>0.90028588618708494</v>
      </c>
    </row>
    <row r="6" spans="1:15" ht="15" customHeight="1" x14ac:dyDescent="0.25">
      <c r="A6" s="7"/>
      <c r="B6" s="8">
        <v>1004</v>
      </c>
      <c r="C6" s="1" t="s">
        <v>49</v>
      </c>
      <c r="D6" s="1">
        <f t="shared" si="0"/>
        <v>1004</v>
      </c>
      <c r="E6" s="1" t="s">
        <v>50</v>
      </c>
      <c r="F6" s="8" t="str">
        <f t="shared" si="1"/>
        <v>MK</v>
      </c>
      <c r="G6" s="2">
        <v>1217.0999999999999</v>
      </c>
      <c r="H6" s="2">
        <f>SUMIF(RouteID_Conversion!$J$2:$J$999,AM_BoardingByRoute!$D$3:$D$426,RouteID_Conversion!$K$2:$K$999)</f>
        <v>669.67494726180951</v>
      </c>
      <c r="J6" s="41" t="s">
        <v>9</v>
      </c>
      <c r="K6" s="42" t="s">
        <v>2129</v>
      </c>
      <c r="L6" s="43">
        <f t="shared" si="2"/>
        <v>2366.8601139336788</v>
      </c>
      <c r="M6" s="43">
        <f t="shared" si="3"/>
        <v>3138.3090909090906</v>
      </c>
      <c r="N6" s="44">
        <f t="shared" ref="N6:N15" si="4">L6-M6</f>
        <v>-771.44897697541182</v>
      </c>
      <c r="O6" s="45">
        <f t="shared" ref="O6:O14" si="5">IF(AND(L6&gt;0,M6&gt;0),N6/M6,"N/A")</f>
        <v>-0.24581676139234013</v>
      </c>
    </row>
    <row r="7" spans="1:15" ht="15" customHeight="1" x14ac:dyDescent="0.25">
      <c r="A7" s="7"/>
      <c r="B7" s="8">
        <v>1005</v>
      </c>
      <c r="C7" s="1" t="s">
        <v>51</v>
      </c>
      <c r="D7" s="1">
        <f t="shared" si="0"/>
        <v>1005</v>
      </c>
      <c r="E7" s="1" t="s">
        <v>52</v>
      </c>
      <c r="F7" s="8" t="str">
        <f t="shared" si="1"/>
        <v>MK</v>
      </c>
      <c r="G7" s="2">
        <v>1388.2</v>
      </c>
      <c r="H7" s="2">
        <f>SUMIF(RouteID_Conversion!$J$2:$J$999,AM_BoardingByRoute!$D$3:$D$426,RouteID_Conversion!$K$2:$K$999)</f>
        <v>1790.4957933425871</v>
      </c>
      <c r="J7" s="41" t="s">
        <v>10</v>
      </c>
      <c r="K7" s="42" t="s">
        <v>2128</v>
      </c>
      <c r="L7" s="43">
        <f t="shared" si="2"/>
        <v>13608.168008923505</v>
      </c>
      <c r="M7" s="43">
        <f t="shared" si="3"/>
        <v>7997.8566546613356</v>
      </c>
      <c r="N7" s="44">
        <f t="shared" si="4"/>
        <v>5610.3113542621695</v>
      </c>
      <c r="O7" s="45">
        <f t="shared" si="5"/>
        <v>0.70147685767690648</v>
      </c>
    </row>
    <row r="8" spans="1:15" ht="15" customHeight="1" x14ac:dyDescent="0.25">
      <c r="A8" s="7"/>
      <c r="B8" s="8">
        <v>1007</v>
      </c>
      <c r="C8" s="1" t="s">
        <v>53</v>
      </c>
      <c r="D8" s="1">
        <f t="shared" si="0"/>
        <v>1007</v>
      </c>
      <c r="E8" s="1" t="s">
        <v>54</v>
      </c>
      <c r="F8" s="8" t="str">
        <f t="shared" si="1"/>
        <v>MK</v>
      </c>
      <c r="G8" s="2">
        <v>1981.7</v>
      </c>
      <c r="H8" s="2">
        <f>SUMIF(RouteID_Conversion!$J$2:$J$999,AM_BoardingByRoute!$D$3:$D$426,RouteID_Conversion!$K$2:$K$999)</f>
        <v>1908.9594230651821</v>
      </c>
      <c r="J8" s="41" t="s">
        <v>11</v>
      </c>
      <c r="K8" s="42" t="s">
        <v>2127</v>
      </c>
      <c r="L8" s="43">
        <f t="shared" si="2"/>
        <v>13427.92705430834</v>
      </c>
      <c r="M8" s="43">
        <f t="shared" si="3"/>
        <v>9193.591146478524</v>
      </c>
      <c r="N8" s="44">
        <f t="shared" si="4"/>
        <v>4234.3359078298163</v>
      </c>
      <c r="O8" s="45">
        <f>IF(AND(L8&gt;0,M8&gt;0),N8/M8,"N/A")</f>
        <v>0.46057474607751281</v>
      </c>
    </row>
    <row r="9" spans="1:15" ht="15" customHeight="1" x14ac:dyDescent="0.25">
      <c r="A9" s="7"/>
      <c r="B9" s="8">
        <v>1008</v>
      </c>
      <c r="C9" s="1" t="s">
        <v>55</v>
      </c>
      <c r="D9" s="1">
        <f t="shared" si="0"/>
        <v>1008</v>
      </c>
      <c r="E9" s="1" t="s">
        <v>56</v>
      </c>
      <c r="F9" s="8" t="str">
        <f t="shared" si="1"/>
        <v>MK</v>
      </c>
      <c r="G9" s="2">
        <v>1485.6</v>
      </c>
      <c r="H9" s="2">
        <f>SUMIF(RouteID_Conversion!$J$2:$J$999,AM_BoardingByRoute!$D$3:$D$426,RouteID_Conversion!$K$2:$K$999)</f>
        <v>892.44172668456793</v>
      </c>
      <c r="J9" s="41" t="s">
        <v>12</v>
      </c>
      <c r="K9" s="42" t="s">
        <v>2126</v>
      </c>
      <c r="L9" s="43">
        <f t="shared" si="2"/>
        <v>108575.0856784991</v>
      </c>
      <c r="M9" s="43">
        <f t="shared" si="3"/>
        <v>88929.639543644807</v>
      </c>
      <c r="N9" s="44">
        <f t="shared" si="4"/>
        <v>19645.446134854297</v>
      </c>
      <c r="O9" s="45">
        <f t="shared" si="5"/>
        <v>0.22090999396452882</v>
      </c>
    </row>
    <row r="10" spans="1:15" ht="15" customHeight="1" x14ac:dyDescent="0.25">
      <c r="A10" s="7"/>
      <c r="B10" s="8">
        <v>1009</v>
      </c>
      <c r="C10" s="1" t="s">
        <v>57</v>
      </c>
      <c r="D10" s="1">
        <f t="shared" si="0"/>
        <v>1009</v>
      </c>
      <c r="E10" s="1" t="s">
        <v>58</v>
      </c>
      <c r="F10" s="8" t="str">
        <f t="shared" si="1"/>
        <v>MK</v>
      </c>
      <c r="G10" s="2">
        <v>578</v>
      </c>
      <c r="H10" s="2">
        <f>SUMIF(RouteID_Conversion!$J$2:$J$999,AM_BoardingByRoute!$D$3:$D$426,RouteID_Conversion!$K$2:$K$999)</f>
        <v>438.2645492553699</v>
      </c>
      <c r="J10" s="47" t="s">
        <v>13</v>
      </c>
      <c r="K10" s="48" t="s">
        <v>2131</v>
      </c>
      <c r="L10" s="49">
        <f t="shared" si="2"/>
        <v>11623.188248094149</v>
      </c>
      <c r="M10" s="49">
        <f t="shared" si="3"/>
        <v>9540.9763318260848</v>
      </c>
      <c r="N10" s="50">
        <f t="shared" si="4"/>
        <v>2082.2119162680647</v>
      </c>
      <c r="O10" s="51">
        <f t="shared" si="5"/>
        <v>0.21823887240159853</v>
      </c>
    </row>
    <row r="11" spans="1:15" ht="15" customHeight="1" x14ac:dyDescent="0.25">
      <c r="A11" s="7"/>
      <c r="B11" s="8">
        <v>1010</v>
      </c>
      <c r="C11" s="1" t="s">
        <v>59</v>
      </c>
      <c r="D11" s="1">
        <f t="shared" si="0"/>
        <v>1010</v>
      </c>
      <c r="E11" s="1" t="s">
        <v>60</v>
      </c>
      <c r="F11" s="8" t="str">
        <f t="shared" si="1"/>
        <v>MK</v>
      </c>
      <c r="G11" s="2">
        <v>855</v>
      </c>
      <c r="H11" s="2">
        <f>SUMIF(RouteID_Conversion!$J$2:$J$999,AM_BoardingByRoute!$D$3:$D$426,RouteID_Conversion!$K$2:$K$999)</f>
        <v>582.26774024963208</v>
      </c>
      <c r="J11" s="47" t="s">
        <v>14</v>
      </c>
      <c r="K11" s="48"/>
      <c r="L11" s="49">
        <f>SUM(H415:H416)</f>
        <v>3832.1629848480097</v>
      </c>
      <c r="M11" s="49">
        <f>SUM(G415:G416)</f>
        <v>4676.295454545455</v>
      </c>
      <c r="N11" s="50">
        <f t="shared" si="4"/>
        <v>-844.13246969744523</v>
      </c>
      <c r="O11" s="51">
        <f t="shared" si="5"/>
        <v>-0.18051307448440435</v>
      </c>
    </row>
    <row r="12" spans="1:15" ht="15" customHeight="1" x14ac:dyDescent="0.25">
      <c r="A12" s="7"/>
      <c r="B12" s="8">
        <v>1011</v>
      </c>
      <c r="C12" s="1" t="s">
        <v>61</v>
      </c>
      <c r="D12" s="1">
        <f t="shared" si="0"/>
        <v>1011</v>
      </c>
      <c r="E12" s="1" t="s">
        <v>62</v>
      </c>
      <c r="F12" s="8" t="str">
        <f t="shared" si="1"/>
        <v>MK</v>
      </c>
      <c r="G12" s="2">
        <v>640</v>
      </c>
      <c r="H12" s="2">
        <f>SUMIF(RouteID_Conversion!$J$2:$J$999,AM_BoardingByRoute!$D$3:$D$426,RouteID_Conversion!$K$2:$K$999)</f>
        <v>788.36274814605406</v>
      </c>
      <c r="J12" s="47" t="s">
        <v>15</v>
      </c>
      <c r="K12" s="48" t="s">
        <v>2132</v>
      </c>
      <c r="L12" s="49">
        <f>SUM(H417:H418)</f>
        <v>5020.1634502410861</v>
      </c>
      <c r="M12" s="49">
        <f>SUM(G417:G418)</f>
        <v>3392.41</v>
      </c>
      <c r="N12" s="50">
        <f t="shared" si="4"/>
        <v>1627.7534502410863</v>
      </c>
      <c r="O12" s="51">
        <f t="shared" si="5"/>
        <v>0.4798221471582404</v>
      </c>
    </row>
    <row r="13" spans="1:15" ht="15" customHeight="1" x14ac:dyDescent="0.25">
      <c r="A13" s="7"/>
      <c r="B13" s="8">
        <v>1012</v>
      </c>
      <c r="C13" s="1" t="s">
        <v>63</v>
      </c>
      <c r="D13" s="1">
        <f t="shared" si="0"/>
        <v>1012</v>
      </c>
      <c r="E13" s="1" t="s">
        <v>64</v>
      </c>
      <c r="F13" s="8" t="str">
        <f t="shared" si="1"/>
        <v>MK</v>
      </c>
      <c r="G13" s="2">
        <v>1384.5</v>
      </c>
      <c r="H13" s="2">
        <f>SUMIF(RouteID_Conversion!$J$2:$J$999,AM_BoardingByRoute!$D$3:$D$426,RouteID_Conversion!$K$2:$K$999)</f>
        <v>305.38213852792933</v>
      </c>
      <c r="J13" s="41" t="s">
        <v>16</v>
      </c>
      <c r="K13" s="42" t="s">
        <v>2133</v>
      </c>
      <c r="L13" s="43">
        <f>SUMIF($F$3:$F$426,K13,$H$3:$H$426)</f>
        <v>0</v>
      </c>
      <c r="M13" s="43">
        <f>SUMIF($F$3:$F$426,K13,$G$3:$G$426)</f>
        <v>1596</v>
      </c>
      <c r="N13" s="44">
        <f t="shared" si="4"/>
        <v>-1596</v>
      </c>
      <c r="O13" s="45" t="str">
        <f t="shared" si="5"/>
        <v>N/A</v>
      </c>
    </row>
    <row r="14" spans="1:15" ht="15" customHeight="1" x14ac:dyDescent="0.25">
      <c r="A14" s="7"/>
      <c r="B14" s="8">
        <v>1013</v>
      </c>
      <c r="C14" s="1" t="s">
        <v>65</v>
      </c>
      <c r="D14" s="1">
        <f t="shared" si="0"/>
        <v>1013</v>
      </c>
      <c r="E14" s="1" t="s">
        <v>66</v>
      </c>
      <c r="F14" s="8" t="str">
        <f t="shared" si="1"/>
        <v>MK</v>
      </c>
      <c r="G14" s="2">
        <v>607.5</v>
      </c>
      <c r="H14" s="2">
        <f>SUMIF(RouteID_Conversion!$J$2:$J$999,AM_BoardingByRoute!$D$3:$D$426,RouteID_Conversion!$K$2:$K$999)</f>
        <v>739.31760883331106</v>
      </c>
      <c r="J14" s="41" t="s">
        <v>33</v>
      </c>
      <c r="K14" s="42"/>
      <c r="L14" s="43">
        <f>SUMIF($F$3:$F$426,K14,$H$3:$H$426)</f>
        <v>0</v>
      </c>
      <c r="M14" s="43">
        <f>SUMIF($F$3:$F$426,K14,$G$3:$G$426)</f>
        <v>0</v>
      </c>
      <c r="N14" s="44">
        <f t="shared" si="4"/>
        <v>0</v>
      </c>
      <c r="O14" s="45" t="str">
        <f t="shared" si="5"/>
        <v>N/A</v>
      </c>
    </row>
    <row r="15" spans="1:15" ht="15" customHeight="1" x14ac:dyDescent="0.25">
      <c r="A15" s="7"/>
      <c r="B15" s="8">
        <v>1014</v>
      </c>
      <c r="C15" s="1" t="s">
        <v>67</v>
      </c>
      <c r="D15" s="1">
        <f t="shared" si="0"/>
        <v>1014</v>
      </c>
      <c r="E15" s="1" t="s">
        <v>68</v>
      </c>
      <c r="F15" s="8" t="str">
        <f t="shared" si="1"/>
        <v>MK</v>
      </c>
      <c r="G15" s="2">
        <v>1046.2</v>
      </c>
      <c r="H15" s="2">
        <f>SUMIF(RouteID_Conversion!$J$2:$J$999,AM_BoardingByRoute!$D$3:$D$426,RouteID_Conversion!$K$2:$K$999)</f>
        <v>571.50312611460629</v>
      </c>
      <c r="J15" s="41" t="s">
        <v>5</v>
      </c>
      <c r="K15" s="46"/>
      <c r="L15" s="43">
        <f>SUM(L6:L14)</f>
        <v>158453.5555388479</v>
      </c>
      <c r="M15" s="43">
        <v>122938.62771400389</v>
      </c>
      <c r="N15" s="44">
        <f t="shared" si="4"/>
        <v>35514.92782484401</v>
      </c>
      <c r="O15" s="45">
        <f>IF(AND(L15&gt;0,M15&gt;0),N15/M15,"N/A")</f>
        <v>0.28888339234974653</v>
      </c>
    </row>
    <row r="16" spans="1:15" ht="15" customHeight="1" x14ac:dyDescent="0.25">
      <c r="A16" s="7"/>
      <c r="B16" s="8">
        <v>1015</v>
      </c>
      <c r="C16" s="1" t="s">
        <v>69</v>
      </c>
      <c r="D16" s="1">
        <f t="shared" si="0"/>
        <v>1015</v>
      </c>
      <c r="E16" s="1" t="s">
        <v>70</v>
      </c>
      <c r="F16" s="8" t="str">
        <f t="shared" si="1"/>
        <v>MK</v>
      </c>
      <c r="G16" s="2">
        <v>1488.5</v>
      </c>
      <c r="H16" s="2">
        <f>SUMIF(RouteID_Conversion!$J$2:$J$999,AM_BoardingByRoute!$D$3:$D$426,RouteID_Conversion!$K$2:$K$999)</f>
        <v>1291.9572591781589</v>
      </c>
    </row>
    <row r="17" spans="1:8" ht="15" customHeight="1" x14ac:dyDescent="0.25">
      <c r="A17" s="7"/>
      <c r="B17" s="8">
        <v>1016</v>
      </c>
      <c r="C17" s="1" t="s">
        <v>71</v>
      </c>
      <c r="D17" s="1">
        <f t="shared" si="0"/>
        <v>1016</v>
      </c>
      <c r="E17" s="1" t="s">
        <v>72</v>
      </c>
      <c r="F17" s="8" t="str">
        <f t="shared" si="1"/>
        <v>MK</v>
      </c>
      <c r="G17" s="2">
        <v>819.3</v>
      </c>
      <c r="H17" s="2">
        <f>SUMIF(RouteID_Conversion!$J$2:$J$999,AM_BoardingByRoute!$D$3:$D$426,RouteID_Conversion!$K$2:$K$999)</f>
        <v>1032.3238372802707</v>
      </c>
    </row>
    <row r="18" spans="1:8" ht="15" customHeight="1" x14ac:dyDescent="0.25">
      <c r="A18" s="7"/>
      <c r="B18" s="8">
        <v>1017</v>
      </c>
      <c r="C18" s="1" t="s">
        <v>73</v>
      </c>
      <c r="D18" s="1">
        <f t="shared" si="0"/>
        <v>1017</v>
      </c>
      <c r="E18" s="1" t="s">
        <v>74</v>
      </c>
      <c r="F18" s="8" t="str">
        <f t="shared" si="1"/>
        <v>MK</v>
      </c>
      <c r="G18" s="2">
        <v>833.9</v>
      </c>
      <c r="H18" s="2">
        <f>SUMIF(RouteID_Conversion!$J$2:$J$999,AM_BoardingByRoute!$D$3:$D$426,RouteID_Conversion!$K$2:$K$999)</f>
        <v>804.07999801635629</v>
      </c>
    </row>
    <row r="19" spans="1:8" ht="15" customHeight="1" x14ac:dyDescent="0.25">
      <c r="A19" s="7"/>
      <c r="B19" s="8">
        <v>1018</v>
      </c>
      <c r="C19" s="1" t="s">
        <v>75</v>
      </c>
      <c r="D19" s="1">
        <f t="shared" si="0"/>
        <v>1018</v>
      </c>
      <c r="E19" s="1" t="s">
        <v>76</v>
      </c>
      <c r="F19" s="8" t="str">
        <f t="shared" si="1"/>
        <v>MK</v>
      </c>
      <c r="G19" s="2">
        <v>1066.3</v>
      </c>
      <c r="H19" s="2">
        <f>SUMIF(RouteID_Conversion!$J$2:$J$999,AM_BoardingByRoute!$D$3:$D$426,RouteID_Conversion!$K$2:$K$999)</f>
        <v>950.8233728408793</v>
      </c>
    </row>
    <row r="20" spans="1:8" ht="15" customHeight="1" x14ac:dyDescent="0.25">
      <c r="A20" s="7"/>
      <c r="B20" s="8">
        <v>1019</v>
      </c>
      <c r="C20" s="1" t="s">
        <v>77</v>
      </c>
      <c r="D20" s="1">
        <f t="shared" si="0"/>
        <v>1019</v>
      </c>
      <c r="E20" s="1" t="s">
        <v>78</v>
      </c>
      <c r="F20" s="8" t="str">
        <f t="shared" si="1"/>
        <v>MK</v>
      </c>
      <c r="G20" s="2">
        <v>122</v>
      </c>
      <c r="H20" s="2">
        <f>SUMIF(RouteID_Conversion!$J$2:$J$999,AM_BoardingByRoute!$D$3:$D$426,RouteID_Conversion!$K$2:$K$999)</f>
        <v>122.75761985778789</v>
      </c>
    </row>
    <row r="21" spans="1:8" ht="15" customHeight="1" x14ac:dyDescent="0.25">
      <c r="A21" s="7"/>
      <c r="B21" s="8">
        <v>1021</v>
      </c>
      <c r="C21" s="1" t="s">
        <v>79</v>
      </c>
      <c r="D21" s="1">
        <f t="shared" si="0"/>
        <v>1021</v>
      </c>
      <c r="E21" s="1" t="s">
        <v>80</v>
      </c>
      <c r="F21" s="8" t="str">
        <f t="shared" si="1"/>
        <v>MK</v>
      </c>
      <c r="G21" s="2">
        <v>870.19999999999936</v>
      </c>
      <c r="H21" s="2">
        <f>SUMIF(RouteID_Conversion!$J$2:$J$999,AM_BoardingByRoute!$D$3:$D$426,RouteID_Conversion!$K$2:$K$999)</f>
        <v>871.91229438781488</v>
      </c>
    </row>
    <row r="22" spans="1:8" ht="15" customHeight="1" x14ac:dyDescent="0.25">
      <c r="A22" s="7"/>
      <c r="B22" s="8">
        <v>1022</v>
      </c>
      <c r="C22" s="1" t="s">
        <v>81</v>
      </c>
      <c r="D22" s="1">
        <f t="shared" si="0"/>
        <v>1022</v>
      </c>
      <c r="E22" s="1" t="s">
        <v>82</v>
      </c>
      <c r="F22" s="8" t="str">
        <f t="shared" si="1"/>
        <v>MK</v>
      </c>
      <c r="G22" s="2">
        <v>425.7</v>
      </c>
      <c r="H22" s="2">
        <f>SUMIF(RouteID_Conversion!$J$2:$J$999,AM_BoardingByRoute!$D$3:$D$426,RouteID_Conversion!$K$2:$K$999)</f>
        <v>328.57571029663063</v>
      </c>
    </row>
    <row r="23" spans="1:8" ht="15" customHeight="1" x14ac:dyDescent="0.25">
      <c r="A23" s="7"/>
      <c r="B23" s="8">
        <v>1023</v>
      </c>
      <c r="C23" s="1" t="s">
        <v>83</v>
      </c>
      <c r="D23" s="1">
        <f t="shared" si="0"/>
        <v>1023</v>
      </c>
      <c r="E23" s="1" t="s">
        <v>84</v>
      </c>
      <c r="F23" s="8" t="str">
        <f t="shared" si="1"/>
        <v>MK</v>
      </c>
      <c r="G23" s="2">
        <v>338.4</v>
      </c>
      <c r="H23" s="2">
        <f>SUMIF(RouteID_Conversion!$J$2:$J$999,AM_BoardingByRoute!$D$3:$D$426,RouteID_Conversion!$K$2:$K$999)</f>
        <v>454.18553352355912</v>
      </c>
    </row>
    <row r="24" spans="1:8" ht="15" customHeight="1" x14ac:dyDescent="0.25">
      <c r="A24" s="7"/>
      <c r="B24" s="8">
        <v>1024</v>
      </c>
      <c r="C24" s="1" t="s">
        <v>85</v>
      </c>
      <c r="D24" s="1">
        <f t="shared" si="0"/>
        <v>1024</v>
      </c>
      <c r="E24" s="1" t="s">
        <v>86</v>
      </c>
      <c r="F24" s="8" t="str">
        <f t="shared" si="1"/>
        <v>MK</v>
      </c>
      <c r="G24" s="2">
        <v>376.9</v>
      </c>
      <c r="H24" s="2">
        <f>SUMIF(RouteID_Conversion!$J$2:$J$999,AM_BoardingByRoute!$D$3:$D$426,RouteID_Conversion!$K$2:$K$999)</f>
        <v>613.69923591613713</v>
      </c>
    </row>
    <row r="25" spans="1:8" ht="15" customHeight="1" x14ac:dyDescent="0.25">
      <c r="A25" s="7"/>
      <c r="B25" s="8">
        <v>1025</v>
      </c>
      <c r="C25" s="1" t="s">
        <v>87</v>
      </c>
      <c r="D25" s="1">
        <f t="shared" si="0"/>
        <v>1025</v>
      </c>
      <c r="E25" s="1" t="s">
        <v>88</v>
      </c>
      <c r="F25" s="8" t="str">
        <f t="shared" si="1"/>
        <v>MK</v>
      </c>
      <c r="G25" s="2">
        <v>293.8</v>
      </c>
      <c r="H25" s="2">
        <f>SUMIF(RouteID_Conversion!$J$2:$J$999,AM_BoardingByRoute!$D$3:$D$426,RouteID_Conversion!$K$2:$K$999)</f>
        <v>369.02827739715525</v>
      </c>
    </row>
    <row r="26" spans="1:8" ht="15" customHeight="1" x14ac:dyDescent="0.25">
      <c r="A26" s="7"/>
      <c r="B26" s="8">
        <v>1026</v>
      </c>
      <c r="C26" s="1" t="s">
        <v>89</v>
      </c>
      <c r="D26" s="1">
        <f t="shared" si="0"/>
        <v>1026</v>
      </c>
      <c r="E26" s="1" t="s">
        <v>90</v>
      </c>
      <c r="F26" s="8" t="str">
        <f t="shared" si="1"/>
        <v>MK</v>
      </c>
      <c r="G26" s="2">
        <v>840.2</v>
      </c>
      <c r="H26" s="2">
        <f>SUMIF(RouteID_Conversion!$J$2:$J$999,AM_BoardingByRoute!$D$3:$D$426,RouteID_Conversion!$K$2:$K$999)</f>
        <v>822.11409759521348</v>
      </c>
    </row>
    <row r="27" spans="1:8" ht="15" customHeight="1" x14ac:dyDescent="0.25">
      <c r="A27" s="7"/>
      <c r="B27" s="8">
        <v>1027</v>
      </c>
      <c r="C27" s="1" t="s">
        <v>91</v>
      </c>
      <c r="D27" s="1">
        <f t="shared" si="0"/>
        <v>1027</v>
      </c>
      <c r="E27" s="1" t="s">
        <v>92</v>
      </c>
      <c r="F27" s="8" t="str">
        <f t="shared" si="1"/>
        <v>MK</v>
      </c>
      <c r="G27" s="2">
        <v>337.4</v>
      </c>
      <c r="H27" s="2">
        <f>SUMIF(RouteID_Conversion!$J$2:$J$999,AM_BoardingByRoute!$D$3:$D$426,RouteID_Conversion!$K$2:$K$999)</f>
        <v>81.88609433174102</v>
      </c>
    </row>
    <row r="28" spans="1:8" ht="15" customHeight="1" x14ac:dyDescent="0.25">
      <c r="A28" s="7"/>
      <c r="B28" s="8">
        <v>1028</v>
      </c>
      <c r="C28" s="1" t="s">
        <v>93</v>
      </c>
      <c r="D28" s="1">
        <f t="shared" si="0"/>
        <v>1028</v>
      </c>
      <c r="E28" s="1" t="s">
        <v>94</v>
      </c>
      <c r="F28" s="8" t="str">
        <f t="shared" si="1"/>
        <v>MK</v>
      </c>
      <c r="G28" s="2">
        <v>1129.5999999999999</v>
      </c>
      <c r="H28" s="2">
        <f>SUMIF(RouteID_Conversion!$J$2:$J$999,AM_BoardingByRoute!$D$3:$D$426,RouteID_Conversion!$K$2:$K$999)</f>
        <v>971.55608272552354</v>
      </c>
    </row>
    <row r="29" spans="1:8" ht="15" customHeight="1" x14ac:dyDescent="0.25">
      <c r="A29" s="7"/>
      <c r="B29" s="8">
        <v>1030</v>
      </c>
      <c r="C29" s="1" t="s">
        <v>95</v>
      </c>
      <c r="D29" s="1">
        <f t="shared" si="0"/>
        <v>1030</v>
      </c>
      <c r="E29" s="1" t="s">
        <v>96</v>
      </c>
      <c r="F29" s="8" t="str">
        <f t="shared" si="1"/>
        <v>MK</v>
      </c>
      <c r="G29" s="2">
        <v>449.1</v>
      </c>
      <c r="H29" s="2">
        <f>SUMIF(RouteID_Conversion!$J$2:$J$999,AM_BoardingByRoute!$D$3:$D$426,RouteID_Conversion!$K$2:$K$999)</f>
        <v>415.01626205444279</v>
      </c>
    </row>
    <row r="30" spans="1:8" ht="15" customHeight="1" x14ac:dyDescent="0.25">
      <c r="A30" s="7"/>
      <c r="B30" s="8">
        <v>1031</v>
      </c>
      <c r="C30" s="1" t="s">
        <v>97</v>
      </c>
      <c r="D30" s="1">
        <f t="shared" si="0"/>
        <v>1031</v>
      </c>
      <c r="E30" s="1" t="s">
        <v>98</v>
      </c>
      <c r="F30" s="8" t="str">
        <f t="shared" si="1"/>
        <v>MK</v>
      </c>
      <c r="G30" s="2">
        <v>320.7</v>
      </c>
      <c r="H30" s="2">
        <f>SUMIF(RouteID_Conversion!$J$2:$J$999,AM_BoardingByRoute!$D$3:$D$426,RouteID_Conversion!$K$2:$K$999)</f>
        <v>411.49646377563431</v>
      </c>
    </row>
    <row r="31" spans="1:8" ht="15" customHeight="1" x14ac:dyDescent="0.25">
      <c r="A31" s="7"/>
      <c r="B31" s="8">
        <v>1033</v>
      </c>
      <c r="C31" s="1" t="s">
        <v>99</v>
      </c>
      <c r="D31" s="1">
        <f t="shared" si="0"/>
        <v>1033</v>
      </c>
      <c r="E31" s="1" t="s">
        <v>100</v>
      </c>
      <c r="F31" s="8" t="str">
        <f t="shared" si="1"/>
        <v>MK</v>
      </c>
      <c r="G31" s="2">
        <v>525.5</v>
      </c>
      <c r="H31" s="2">
        <f>SUMIF(RouteID_Conversion!$J$2:$J$999,AM_BoardingByRoute!$D$3:$D$426,RouteID_Conversion!$K$2:$K$999)</f>
        <v>699.95809555053506</v>
      </c>
    </row>
    <row r="32" spans="1:8" ht="15" customHeight="1" x14ac:dyDescent="0.25">
      <c r="A32" s="7"/>
      <c r="B32" s="8">
        <v>1034</v>
      </c>
      <c r="C32" s="1" t="s">
        <v>101</v>
      </c>
      <c r="D32" s="1">
        <f t="shared" si="0"/>
        <v>1034</v>
      </c>
      <c r="E32" s="1" t="s">
        <v>102</v>
      </c>
      <c r="F32" s="8" t="str">
        <f t="shared" si="1"/>
        <v>MK</v>
      </c>
      <c r="G32" s="2">
        <v>104.3</v>
      </c>
      <c r="H32" s="2">
        <f>SUMIF(RouteID_Conversion!$J$2:$J$999,AM_BoardingByRoute!$D$3:$D$426,RouteID_Conversion!$K$2:$K$999)</f>
        <v>79.392789840698001</v>
      </c>
    </row>
    <row r="33" spans="1:8" ht="15" customHeight="1" x14ac:dyDescent="0.25">
      <c r="A33" s="7"/>
      <c r="B33" s="8">
        <v>1035</v>
      </c>
      <c r="C33" s="1" t="s">
        <v>103</v>
      </c>
      <c r="D33" s="1">
        <f t="shared" si="0"/>
        <v>1035</v>
      </c>
      <c r="E33" s="1" t="s">
        <v>104</v>
      </c>
      <c r="F33" s="8" t="str">
        <f t="shared" si="1"/>
        <v>MK</v>
      </c>
      <c r="G33" s="2">
        <v>22.3</v>
      </c>
      <c r="H33" s="2">
        <f>SUMIF(RouteID_Conversion!$J$2:$J$999,AM_BoardingByRoute!$D$3:$D$426,RouteID_Conversion!$K$2:$K$999)</f>
        <v>7.8236135244369391</v>
      </c>
    </row>
    <row r="34" spans="1:8" ht="15" customHeight="1" x14ac:dyDescent="0.25">
      <c r="A34" s="7"/>
      <c r="B34" s="8">
        <v>1036</v>
      </c>
      <c r="C34" s="1" t="s">
        <v>105</v>
      </c>
      <c r="D34" s="1">
        <f t="shared" si="0"/>
        <v>1036</v>
      </c>
      <c r="E34" s="1" t="s">
        <v>106</v>
      </c>
      <c r="F34" s="8" t="str">
        <f t="shared" si="1"/>
        <v>MK</v>
      </c>
      <c r="G34" s="2">
        <v>1678.6</v>
      </c>
      <c r="H34" s="2">
        <f>SUMIF(RouteID_Conversion!$J$2:$J$999,AM_BoardingByRoute!$D$3:$D$426,RouteID_Conversion!$K$2:$K$999)</f>
        <v>1884.1021447181661</v>
      </c>
    </row>
    <row r="35" spans="1:8" ht="15" customHeight="1" x14ac:dyDescent="0.25">
      <c r="A35" s="7"/>
      <c r="B35" s="8">
        <v>1037</v>
      </c>
      <c r="C35" s="1" t="s">
        <v>107</v>
      </c>
      <c r="D35" s="1">
        <f t="shared" si="0"/>
        <v>1037</v>
      </c>
      <c r="E35" s="1" t="s">
        <v>108</v>
      </c>
      <c r="F35" s="8" t="str">
        <f t="shared" si="1"/>
        <v>MK</v>
      </c>
      <c r="G35" s="2">
        <v>191.1</v>
      </c>
      <c r="H35" s="2">
        <f>SUMIF(RouteID_Conversion!$J$2:$J$999,AM_BoardingByRoute!$D$3:$D$426,RouteID_Conversion!$K$2:$K$999)</f>
        <v>280.35061645507767</v>
      </c>
    </row>
    <row r="36" spans="1:8" ht="15" customHeight="1" x14ac:dyDescent="0.25">
      <c r="A36" s="7"/>
      <c r="B36" s="8">
        <v>1038</v>
      </c>
      <c r="C36" s="1" t="s">
        <v>109</v>
      </c>
      <c r="D36" s="1">
        <f t="shared" si="0"/>
        <v>1038</v>
      </c>
      <c r="E36" s="1" t="s">
        <v>110</v>
      </c>
      <c r="F36" s="8" t="str">
        <f t="shared" si="1"/>
        <v>MK</v>
      </c>
      <c r="G36" s="2">
        <v>6.1</v>
      </c>
      <c r="H36" s="2">
        <f>SUMIF(RouteID_Conversion!$J$2:$J$999,AM_BoardingByRoute!$D$3:$D$426,RouteID_Conversion!$K$2:$K$999)</f>
        <v>3.200301945209501</v>
      </c>
    </row>
    <row r="37" spans="1:8" ht="15" customHeight="1" x14ac:dyDescent="0.25">
      <c r="A37" s="7"/>
      <c r="B37" s="8">
        <v>1039</v>
      </c>
      <c r="C37" s="1" t="s">
        <v>111</v>
      </c>
      <c r="D37" s="1">
        <f t="shared" si="0"/>
        <v>1039</v>
      </c>
      <c r="E37" s="1" t="s">
        <v>112</v>
      </c>
      <c r="F37" s="8" t="str">
        <f t="shared" si="1"/>
        <v>MK</v>
      </c>
      <c r="G37" s="2">
        <v>391.5</v>
      </c>
      <c r="H37" s="2">
        <f>SUMIF(RouteID_Conversion!$J$2:$J$999,AM_BoardingByRoute!$D$3:$D$426,RouteID_Conversion!$K$2:$K$999)</f>
        <v>468.38050460815327</v>
      </c>
    </row>
    <row r="38" spans="1:8" ht="15" customHeight="1" x14ac:dyDescent="0.25">
      <c r="A38" s="7"/>
      <c r="B38" s="8">
        <v>1041</v>
      </c>
      <c r="C38" s="1" t="s">
        <v>113</v>
      </c>
      <c r="D38" s="1">
        <f t="shared" si="0"/>
        <v>1041</v>
      </c>
      <c r="E38" s="1" t="s">
        <v>114</v>
      </c>
      <c r="F38" s="8" t="str">
        <f t="shared" si="1"/>
        <v>MK</v>
      </c>
      <c r="G38" s="2">
        <v>2096.9</v>
      </c>
      <c r="H38" s="2">
        <f>SUMIF(RouteID_Conversion!$J$2:$J$999,AM_BoardingByRoute!$D$3:$D$426,RouteID_Conversion!$K$2:$K$999)</f>
        <v>2959.6694259643468</v>
      </c>
    </row>
    <row r="39" spans="1:8" ht="15" customHeight="1" x14ac:dyDescent="0.25">
      <c r="A39" s="7"/>
      <c r="B39" s="8">
        <v>1042</v>
      </c>
      <c r="C39" s="1" t="s">
        <v>115</v>
      </c>
      <c r="D39" s="1">
        <f t="shared" si="0"/>
        <v>1042</v>
      </c>
      <c r="E39" s="1" t="s">
        <v>116</v>
      </c>
      <c r="F39" s="8" t="str">
        <f t="shared" si="1"/>
        <v>MK</v>
      </c>
      <c r="G39" s="2">
        <v>19.5</v>
      </c>
      <c r="H39" s="2">
        <f>SUMIF(RouteID_Conversion!$J$2:$J$999,AM_BoardingByRoute!$D$3:$D$426,RouteID_Conversion!$K$2:$K$999)</f>
        <v>18.876079082488982</v>
      </c>
    </row>
    <row r="40" spans="1:8" ht="15" customHeight="1" x14ac:dyDescent="0.25">
      <c r="A40" s="7"/>
      <c r="B40" s="8">
        <v>1043</v>
      </c>
      <c r="C40" s="1" t="s">
        <v>117</v>
      </c>
      <c r="D40" s="1">
        <f t="shared" si="0"/>
        <v>1043</v>
      </c>
      <c r="E40" s="1" t="s">
        <v>118</v>
      </c>
      <c r="F40" s="8" t="str">
        <f t="shared" si="1"/>
        <v>MK</v>
      </c>
      <c r="G40" s="2">
        <v>950.5</v>
      </c>
      <c r="H40" s="2">
        <f>SUMIF(RouteID_Conversion!$J$2:$J$999,AM_BoardingByRoute!$D$3:$D$426,RouteID_Conversion!$K$2:$K$999)</f>
        <v>1137.9082193374595</v>
      </c>
    </row>
    <row r="41" spans="1:8" ht="15" customHeight="1" x14ac:dyDescent="0.25">
      <c r="A41" s="7"/>
      <c r="B41" s="8">
        <v>1044</v>
      </c>
      <c r="C41" s="1" t="s">
        <v>119</v>
      </c>
      <c r="D41" s="1">
        <f t="shared" si="0"/>
        <v>1044</v>
      </c>
      <c r="E41" s="1" t="s">
        <v>120</v>
      </c>
      <c r="F41" s="8" t="str">
        <f t="shared" si="1"/>
        <v>MK</v>
      </c>
      <c r="G41" s="2">
        <v>938.9</v>
      </c>
      <c r="H41" s="2">
        <f>SUMIF(RouteID_Conversion!$J$2:$J$999,AM_BoardingByRoute!$D$3:$D$426,RouteID_Conversion!$K$2:$K$999)</f>
        <v>1040.1081066131574</v>
      </c>
    </row>
    <row r="42" spans="1:8" ht="15" customHeight="1" x14ac:dyDescent="0.25">
      <c r="A42" s="7"/>
      <c r="B42" s="8">
        <v>1045</v>
      </c>
      <c r="C42" s="1" t="s">
        <v>121</v>
      </c>
      <c r="D42" s="1">
        <f t="shared" si="0"/>
        <v>1045</v>
      </c>
      <c r="E42" s="1" t="s">
        <v>122</v>
      </c>
      <c r="F42" s="8" t="str">
        <f t="shared" si="1"/>
        <v>MK</v>
      </c>
      <c r="G42" s="2">
        <v>79</v>
      </c>
      <c r="H42" s="2">
        <f>SUMIF(RouteID_Conversion!$J$2:$J$999,AM_BoardingByRoute!$D$3:$D$426,RouteID_Conversion!$K$2:$K$999)</f>
        <v>22.203183650970448</v>
      </c>
    </row>
    <row r="43" spans="1:8" ht="15" customHeight="1" x14ac:dyDescent="0.25">
      <c r="A43" s="7"/>
      <c r="B43" s="8">
        <v>1046</v>
      </c>
      <c r="C43" s="1" t="s">
        <v>123</v>
      </c>
      <c r="D43" s="1">
        <f t="shared" si="0"/>
        <v>1046</v>
      </c>
      <c r="E43" s="1" t="s">
        <v>124</v>
      </c>
      <c r="F43" s="8" t="str">
        <f t="shared" si="1"/>
        <v>MK</v>
      </c>
      <c r="G43" s="2">
        <v>100.8</v>
      </c>
      <c r="H43" s="2">
        <f>SUMIF(RouteID_Conversion!$J$2:$J$999,AM_BoardingByRoute!$D$3:$D$426,RouteID_Conversion!$K$2:$K$999)</f>
        <v>77.050733789801484</v>
      </c>
    </row>
    <row r="44" spans="1:8" ht="15" customHeight="1" x14ac:dyDescent="0.25">
      <c r="A44" s="7"/>
      <c r="B44" s="8">
        <v>1048</v>
      </c>
      <c r="C44" s="1" t="s">
        <v>125</v>
      </c>
      <c r="D44" s="1">
        <f t="shared" si="0"/>
        <v>1048</v>
      </c>
      <c r="E44" s="1" t="s">
        <v>126</v>
      </c>
      <c r="F44" s="8" t="str">
        <f t="shared" si="1"/>
        <v>MK</v>
      </c>
      <c r="G44" s="2">
        <v>2033.9</v>
      </c>
      <c r="H44" s="2">
        <f>SUMIF(RouteID_Conversion!$J$2:$J$999,AM_BoardingByRoute!$D$3:$D$426,RouteID_Conversion!$K$2:$K$999)</f>
        <v>2050.2518664561167</v>
      </c>
    </row>
    <row r="45" spans="1:8" ht="15" customHeight="1" x14ac:dyDescent="0.25">
      <c r="A45" s="7"/>
      <c r="B45" s="8">
        <v>1049</v>
      </c>
      <c r="C45" s="1" t="s">
        <v>127</v>
      </c>
      <c r="D45" s="1">
        <f t="shared" si="0"/>
        <v>1049</v>
      </c>
      <c r="E45" s="1" t="s">
        <v>128</v>
      </c>
      <c r="F45" s="8" t="str">
        <f t="shared" si="1"/>
        <v>MK</v>
      </c>
      <c r="G45" s="2">
        <v>952.39999999999941</v>
      </c>
      <c r="H45" s="2">
        <f>SUMIF(RouteID_Conversion!$J$2:$J$999,AM_BoardingByRoute!$D$3:$D$426,RouteID_Conversion!$K$2:$K$999)</f>
        <v>903.16072797775109</v>
      </c>
    </row>
    <row r="46" spans="1:8" ht="15" customHeight="1" x14ac:dyDescent="0.25">
      <c r="A46" s="7"/>
      <c r="B46" s="8">
        <v>1051</v>
      </c>
      <c r="C46" s="1" t="s">
        <v>129</v>
      </c>
      <c r="D46" s="1">
        <f t="shared" si="0"/>
        <v>1051</v>
      </c>
      <c r="E46" s="1" t="s">
        <v>130</v>
      </c>
      <c r="F46" s="8" t="str">
        <f t="shared" si="1"/>
        <v>MK</v>
      </c>
      <c r="G46" s="2">
        <v>44</v>
      </c>
      <c r="H46" s="2">
        <f>SUMIF(RouteID_Conversion!$J$2:$J$999,AM_BoardingByRoute!$D$3:$D$426,RouteID_Conversion!$K$2:$K$999)</f>
        <v>35.818926513194938</v>
      </c>
    </row>
    <row r="47" spans="1:8" ht="15" customHeight="1" x14ac:dyDescent="0.25">
      <c r="A47" s="7"/>
      <c r="B47" s="8">
        <v>1053</v>
      </c>
      <c r="C47" s="1" t="s">
        <v>131</v>
      </c>
      <c r="D47" s="1">
        <f t="shared" si="0"/>
        <v>1053</v>
      </c>
      <c r="E47" s="1" t="s">
        <v>132</v>
      </c>
      <c r="F47" s="8" t="str">
        <f t="shared" si="1"/>
        <v>MK</v>
      </c>
      <c r="G47" s="2">
        <v>7.4</v>
      </c>
      <c r="H47" s="2">
        <f>SUMIF(RouteID_Conversion!$J$2:$J$999,AM_BoardingByRoute!$D$3:$D$426,RouteID_Conversion!$K$2:$K$999)</f>
        <v>26.860532999038671</v>
      </c>
    </row>
    <row r="48" spans="1:8" ht="15" customHeight="1" x14ac:dyDescent="0.25">
      <c r="A48" s="7"/>
      <c r="B48" s="8">
        <v>1054</v>
      </c>
      <c r="C48" s="1" t="s">
        <v>133</v>
      </c>
      <c r="D48" s="1">
        <f t="shared" si="0"/>
        <v>1054</v>
      </c>
      <c r="E48" s="1" t="s">
        <v>134</v>
      </c>
      <c r="F48" s="8" t="str">
        <f t="shared" si="1"/>
        <v>MK</v>
      </c>
      <c r="G48" s="2">
        <v>873.6</v>
      </c>
      <c r="H48" s="2">
        <f>SUMIF(RouteID_Conversion!$J$2:$J$999,AM_BoardingByRoute!$D$3:$D$426,RouteID_Conversion!$K$2:$K$999)</f>
        <v>1042.0323128700231</v>
      </c>
    </row>
    <row r="49" spans="1:8" ht="15" customHeight="1" x14ac:dyDescent="0.25">
      <c r="A49" s="7"/>
      <c r="B49" s="8">
        <v>1055</v>
      </c>
      <c r="C49" s="1" t="s">
        <v>135</v>
      </c>
      <c r="D49" s="1">
        <f t="shared" si="0"/>
        <v>1055</v>
      </c>
      <c r="E49" s="1" t="s">
        <v>136</v>
      </c>
      <c r="F49" s="8" t="str">
        <f t="shared" si="1"/>
        <v>MK</v>
      </c>
      <c r="G49" s="2">
        <v>542.20000000000005</v>
      </c>
      <c r="H49" s="2">
        <f>SUMIF(RouteID_Conversion!$J$2:$J$999,AM_BoardingByRoute!$D$3:$D$426,RouteID_Conversion!$K$2:$K$999)</f>
        <v>437.24695205688391</v>
      </c>
    </row>
    <row r="50" spans="1:8" ht="15" customHeight="1" x14ac:dyDescent="0.25">
      <c r="A50" s="7"/>
      <c r="B50" s="8">
        <v>1056</v>
      </c>
      <c r="C50" s="1" t="s">
        <v>137</v>
      </c>
      <c r="D50" s="1">
        <f t="shared" si="0"/>
        <v>1056</v>
      </c>
      <c r="E50" s="1" t="s">
        <v>138</v>
      </c>
      <c r="F50" s="8" t="str">
        <f t="shared" si="1"/>
        <v>MK</v>
      </c>
      <c r="G50" s="2">
        <v>395.7</v>
      </c>
      <c r="H50" s="2">
        <f>SUMIF(RouteID_Conversion!$J$2:$J$999,AM_BoardingByRoute!$D$3:$D$426,RouteID_Conversion!$K$2:$K$999)</f>
        <v>472.26602077484029</v>
      </c>
    </row>
    <row r="51" spans="1:8" ht="15" customHeight="1" x14ac:dyDescent="0.25">
      <c r="A51" s="7"/>
      <c r="B51" s="8">
        <v>1057</v>
      </c>
      <c r="C51" s="1" t="s">
        <v>139</v>
      </c>
      <c r="D51" s="1">
        <f t="shared" si="0"/>
        <v>1057</v>
      </c>
      <c r="E51" s="1" t="s">
        <v>140</v>
      </c>
      <c r="F51" s="8" t="str">
        <f t="shared" si="1"/>
        <v>MK</v>
      </c>
      <c r="G51" s="2">
        <v>161.30000000000001</v>
      </c>
      <c r="H51" s="2">
        <f>SUMIF(RouteID_Conversion!$J$2:$J$999,AM_BoardingByRoute!$D$3:$D$426,RouteID_Conversion!$K$2:$K$999)</f>
        <v>191.44411563873271</v>
      </c>
    </row>
    <row r="52" spans="1:8" ht="15" customHeight="1" x14ac:dyDescent="0.25">
      <c r="A52" s="7"/>
      <c r="B52" s="8">
        <v>1060</v>
      </c>
      <c r="C52" s="1" t="s">
        <v>141</v>
      </c>
      <c r="D52" s="1">
        <f t="shared" si="0"/>
        <v>1060</v>
      </c>
      <c r="E52" s="1" t="s">
        <v>142</v>
      </c>
      <c r="F52" s="8" t="str">
        <f t="shared" si="1"/>
        <v>MK</v>
      </c>
      <c r="G52" s="2">
        <v>788.6</v>
      </c>
      <c r="H52" s="2">
        <f>SUMIF(RouteID_Conversion!$J$2:$J$999,AM_BoardingByRoute!$D$3:$D$426,RouteID_Conversion!$K$2:$K$999)</f>
        <v>680.14968872070222</v>
      </c>
    </row>
    <row r="53" spans="1:8" ht="15" customHeight="1" x14ac:dyDescent="0.25">
      <c r="A53" s="7"/>
      <c r="B53" s="8">
        <v>1064</v>
      </c>
      <c r="C53" s="1" t="s">
        <v>143</v>
      </c>
      <c r="D53" s="1">
        <f t="shared" si="0"/>
        <v>1064</v>
      </c>
      <c r="E53" s="1" t="s">
        <v>144</v>
      </c>
      <c r="F53" s="8" t="str">
        <f t="shared" si="1"/>
        <v>MK</v>
      </c>
      <c r="G53" s="2">
        <v>389</v>
      </c>
      <c r="H53" s="2">
        <f>SUMIF(RouteID_Conversion!$J$2:$J$999,AM_BoardingByRoute!$D$3:$D$426,RouteID_Conversion!$K$2:$K$999)</f>
        <v>440.67831420898301</v>
      </c>
    </row>
    <row r="54" spans="1:8" ht="15" customHeight="1" x14ac:dyDescent="0.25">
      <c r="A54" s="7"/>
      <c r="B54" s="8">
        <v>1065</v>
      </c>
      <c r="C54" s="1" t="s">
        <v>145</v>
      </c>
      <c r="D54" s="1">
        <f t="shared" si="0"/>
        <v>1065</v>
      </c>
      <c r="E54" s="1" t="s">
        <v>146</v>
      </c>
      <c r="F54" s="8" t="str">
        <f t="shared" si="1"/>
        <v>MK</v>
      </c>
      <c r="G54" s="2">
        <v>519</v>
      </c>
      <c r="H54" s="2">
        <f>SUMIF(RouteID_Conversion!$J$2:$J$999,AM_BoardingByRoute!$D$3:$D$426,RouteID_Conversion!$K$2:$K$999)</f>
        <v>506.1356439590449</v>
      </c>
    </row>
    <row r="55" spans="1:8" ht="15" customHeight="1" x14ac:dyDescent="0.25">
      <c r="A55" s="7"/>
      <c r="B55" s="8">
        <v>1066</v>
      </c>
      <c r="C55" s="1" t="s">
        <v>147</v>
      </c>
      <c r="D55" s="1">
        <f t="shared" si="0"/>
        <v>1066</v>
      </c>
      <c r="E55" s="1" t="s">
        <v>148</v>
      </c>
      <c r="F55" s="8" t="str">
        <f t="shared" si="1"/>
        <v>MK</v>
      </c>
      <c r="G55" s="2">
        <v>617.9</v>
      </c>
      <c r="H55" s="2">
        <f>SUMIF(RouteID_Conversion!$J$2:$J$999,AM_BoardingByRoute!$D$3:$D$426,RouteID_Conversion!$K$2:$K$999)</f>
        <v>774.38268280029183</v>
      </c>
    </row>
    <row r="56" spans="1:8" ht="15" customHeight="1" x14ac:dyDescent="0.25">
      <c r="A56" s="7"/>
      <c r="B56" s="8">
        <v>1067</v>
      </c>
      <c r="C56" s="1" t="s">
        <v>149</v>
      </c>
      <c r="D56" s="1">
        <f t="shared" si="0"/>
        <v>1067</v>
      </c>
      <c r="E56" s="1" t="s">
        <v>150</v>
      </c>
      <c r="F56" s="8" t="str">
        <f t="shared" si="1"/>
        <v>MK</v>
      </c>
      <c r="G56" s="2">
        <v>306.8</v>
      </c>
      <c r="H56" s="2">
        <f>SUMIF(RouteID_Conversion!$J$2:$J$999,AM_BoardingByRoute!$D$3:$D$426,RouteID_Conversion!$K$2:$K$999)</f>
        <v>294.41004657745299</v>
      </c>
    </row>
    <row r="57" spans="1:8" ht="15" customHeight="1" x14ac:dyDescent="0.25">
      <c r="A57" s="7"/>
      <c r="B57" s="8">
        <v>1068</v>
      </c>
      <c r="C57" s="1" t="s">
        <v>151</v>
      </c>
      <c r="D57" s="1">
        <f t="shared" si="0"/>
        <v>1068</v>
      </c>
      <c r="E57" s="1" t="s">
        <v>152</v>
      </c>
      <c r="F57" s="8" t="str">
        <f t="shared" si="1"/>
        <v>MK</v>
      </c>
      <c r="G57" s="2">
        <v>336</v>
      </c>
      <c r="H57" s="2">
        <f>SUMIF(RouteID_Conversion!$J$2:$J$999,AM_BoardingByRoute!$D$3:$D$426,RouteID_Conversion!$K$2:$K$999)</f>
        <v>322.00906038284279</v>
      </c>
    </row>
    <row r="58" spans="1:8" ht="15" customHeight="1" x14ac:dyDescent="0.25">
      <c r="A58" s="7"/>
      <c r="B58" s="8">
        <v>1070</v>
      </c>
      <c r="C58" s="1" t="s">
        <v>153</v>
      </c>
      <c r="D58" s="1">
        <f t="shared" si="0"/>
        <v>1070</v>
      </c>
      <c r="E58" s="1" t="s">
        <v>154</v>
      </c>
      <c r="F58" s="8" t="str">
        <f t="shared" si="1"/>
        <v>MK</v>
      </c>
      <c r="G58" s="2">
        <v>847.3</v>
      </c>
      <c r="H58" s="2">
        <f>SUMIF(RouteID_Conversion!$J$2:$J$999,AM_BoardingByRoute!$D$3:$D$426,RouteID_Conversion!$K$2:$K$999)</f>
        <v>1139.3844680786099</v>
      </c>
    </row>
    <row r="59" spans="1:8" ht="15" customHeight="1" x14ac:dyDescent="0.25">
      <c r="A59" s="7"/>
      <c r="B59" s="8">
        <v>1071</v>
      </c>
      <c r="C59" s="1" t="s">
        <v>155</v>
      </c>
      <c r="D59" s="1">
        <f t="shared" si="0"/>
        <v>1071</v>
      </c>
      <c r="E59" s="1" t="s">
        <v>156</v>
      </c>
      <c r="F59" s="8" t="str">
        <f t="shared" si="1"/>
        <v>MK</v>
      </c>
      <c r="G59" s="2">
        <v>614.1</v>
      </c>
      <c r="H59" s="2">
        <f>SUMIF(RouteID_Conversion!$J$2:$J$999,AM_BoardingByRoute!$D$3:$D$426,RouteID_Conversion!$K$2:$K$999)</f>
        <v>694.62328147888013</v>
      </c>
    </row>
    <row r="60" spans="1:8" ht="15" customHeight="1" x14ac:dyDescent="0.25">
      <c r="A60" s="7"/>
      <c r="B60" s="8">
        <v>1072</v>
      </c>
      <c r="C60" s="1" t="s">
        <v>157</v>
      </c>
      <c r="D60" s="1">
        <f t="shared" si="0"/>
        <v>1072</v>
      </c>
      <c r="E60" s="1" t="s">
        <v>158</v>
      </c>
      <c r="F60" s="8" t="str">
        <f t="shared" si="1"/>
        <v>MK</v>
      </c>
      <c r="G60" s="2">
        <v>751.29999999999916</v>
      </c>
      <c r="H60" s="2">
        <f>SUMIF(RouteID_Conversion!$J$2:$J$999,AM_BoardingByRoute!$D$3:$D$426,RouteID_Conversion!$K$2:$K$999)</f>
        <v>659.52688407897836</v>
      </c>
    </row>
    <row r="61" spans="1:8" ht="15" customHeight="1" x14ac:dyDescent="0.25">
      <c r="A61" s="7"/>
      <c r="B61" s="8">
        <v>1073</v>
      </c>
      <c r="C61" s="1" t="s">
        <v>159</v>
      </c>
      <c r="D61" s="1">
        <f t="shared" si="0"/>
        <v>1073</v>
      </c>
      <c r="E61" s="1" t="s">
        <v>160</v>
      </c>
      <c r="F61" s="8" t="str">
        <f t="shared" si="1"/>
        <v>MK</v>
      </c>
      <c r="G61" s="2">
        <v>721.5</v>
      </c>
      <c r="H61" s="2">
        <f>SUMIF(RouteID_Conversion!$J$2:$J$999,AM_BoardingByRoute!$D$3:$D$426,RouteID_Conversion!$K$2:$K$999)</f>
        <v>990.10847568511758</v>
      </c>
    </row>
    <row r="62" spans="1:8" ht="15" customHeight="1" x14ac:dyDescent="0.25">
      <c r="A62" s="7"/>
      <c r="B62" s="8">
        <v>1074</v>
      </c>
      <c r="C62" s="1" t="s">
        <v>161</v>
      </c>
      <c r="D62" s="1">
        <f t="shared" si="0"/>
        <v>1074</v>
      </c>
      <c r="E62" s="1" t="s">
        <v>162</v>
      </c>
      <c r="F62" s="8" t="str">
        <f t="shared" si="1"/>
        <v>MK</v>
      </c>
      <c r="G62" s="2">
        <v>362.4</v>
      </c>
      <c r="H62" s="2">
        <f>SUMIF(RouteID_Conversion!$J$2:$J$999,AM_BoardingByRoute!$D$3:$D$426,RouteID_Conversion!$K$2:$K$999)</f>
        <v>380.83226776122899</v>
      </c>
    </row>
    <row r="63" spans="1:8" ht="15" customHeight="1" x14ac:dyDescent="0.25">
      <c r="A63" s="7"/>
      <c r="B63" s="8">
        <v>1075</v>
      </c>
      <c r="C63" s="1" t="s">
        <v>163</v>
      </c>
      <c r="D63" s="1">
        <f t="shared" si="0"/>
        <v>1075</v>
      </c>
      <c r="E63" s="1" t="s">
        <v>164</v>
      </c>
      <c r="F63" s="8" t="str">
        <f t="shared" si="1"/>
        <v>MK</v>
      </c>
      <c r="G63" s="2">
        <v>1048.7</v>
      </c>
      <c r="H63" s="2">
        <f>SUMIF(RouteID_Conversion!$J$2:$J$999,AM_BoardingByRoute!$D$3:$D$426,RouteID_Conversion!$K$2:$K$999)</f>
        <v>1206.9316673278779</v>
      </c>
    </row>
    <row r="64" spans="1:8" ht="15" customHeight="1" x14ac:dyDescent="0.25">
      <c r="A64" s="7"/>
      <c r="B64" s="8">
        <v>1076</v>
      </c>
      <c r="C64" s="1" t="s">
        <v>165</v>
      </c>
      <c r="D64" s="1">
        <f t="shared" si="0"/>
        <v>1076</v>
      </c>
      <c r="E64" s="1" t="s">
        <v>166</v>
      </c>
      <c r="F64" s="8" t="str">
        <f t="shared" si="1"/>
        <v>MK</v>
      </c>
      <c r="G64" s="2">
        <v>406.7</v>
      </c>
      <c r="H64" s="2">
        <f>SUMIF(RouteID_Conversion!$J$2:$J$999,AM_BoardingByRoute!$D$3:$D$426,RouteID_Conversion!$K$2:$K$999)</f>
        <v>641.89031982421807</v>
      </c>
    </row>
    <row r="65" spans="1:8" ht="15" customHeight="1" x14ac:dyDescent="0.25">
      <c r="A65" s="7"/>
      <c r="B65" s="8">
        <v>1077</v>
      </c>
      <c r="C65" s="1" t="s">
        <v>167</v>
      </c>
      <c r="D65" s="1">
        <f t="shared" si="0"/>
        <v>1077</v>
      </c>
      <c r="E65" s="1" t="s">
        <v>168</v>
      </c>
      <c r="F65" s="8" t="str">
        <f t="shared" si="1"/>
        <v>MK</v>
      </c>
      <c r="G65" s="2">
        <v>343.3</v>
      </c>
      <c r="H65" s="2">
        <f>SUMIF(RouteID_Conversion!$J$2:$J$999,AM_BoardingByRoute!$D$3:$D$426,RouteID_Conversion!$K$2:$K$999)</f>
        <v>342.13757324218699</v>
      </c>
    </row>
    <row r="66" spans="1:8" ht="15" customHeight="1" x14ac:dyDescent="0.25">
      <c r="A66" s="7"/>
      <c r="B66" s="8">
        <v>1079</v>
      </c>
      <c r="C66" s="1" t="s">
        <v>169</v>
      </c>
      <c r="D66" s="1">
        <f t="shared" si="0"/>
        <v>1079</v>
      </c>
      <c r="E66" s="1" t="s">
        <v>170</v>
      </c>
      <c r="F66" s="8" t="str">
        <f t="shared" si="1"/>
        <v>MK</v>
      </c>
      <c r="G66" s="2">
        <v>168.1</v>
      </c>
      <c r="H66" s="2">
        <f>SUMIF(RouteID_Conversion!$J$2:$J$999,AM_BoardingByRoute!$D$3:$D$426,RouteID_Conversion!$K$2:$K$999)</f>
        <v>238.49534606933582</v>
      </c>
    </row>
    <row r="67" spans="1:8" ht="15" customHeight="1" x14ac:dyDescent="0.25">
      <c r="A67" s="7"/>
      <c r="B67" s="8">
        <v>1101</v>
      </c>
      <c r="C67" s="1" t="s">
        <v>173</v>
      </c>
      <c r="D67" s="1">
        <f t="shared" ref="D67:D129" si="6">MID(C67,3,3)+1000</f>
        <v>1101</v>
      </c>
      <c r="E67" s="1" t="s">
        <v>174</v>
      </c>
      <c r="F67" s="8" t="str">
        <f t="shared" ref="F67:F129" si="7">MID(C67,1,2)</f>
        <v>MK</v>
      </c>
      <c r="G67" s="2">
        <v>830.2</v>
      </c>
      <c r="H67" s="2">
        <f>SUMIF(RouteID_Conversion!$J$2:$J$999,AM_BoardingByRoute!$D$3:$D$426,RouteID_Conversion!$K$2:$K$999)</f>
        <v>1052.4700002670256</v>
      </c>
    </row>
    <row r="68" spans="1:8" ht="15" customHeight="1" x14ac:dyDescent="0.25">
      <c r="A68" s="7"/>
      <c r="B68" s="8">
        <v>1102</v>
      </c>
      <c r="C68" s="1" t="s">
        <v>175</v>
      </c>
      <c r="D68" s="1">
        <f t="shared" si="6"/>
        <v>1102</v>
      </c>
      <c r="E68" s="1" t="s">
        <v>176</v>
      </c>
      <c r="F68" s="8" t="str">
        <f t="shared" si="7"/>
        <v>MK</v>
      </c>
      <c r="G68" s="2">
        <v>168.9</v>
      </c>
      <c r="H68" s="2">
        <f>SUMIF(RouteID_Conversion!$J$2:$J$999,AM_BoardingByRoute!$D$3:$D$426,RouteID_Conversion!$K$2:$K$999)</f>
        <v>259.08279037475518</v>
      </c>
    </row>
    <row r="69" spans="1:8" ht="15" customHeight="1" x14ac:dyDescent="0.25">
      <c r="A69" s="7"/>
      <c r="B69" s="8">
        <v>1105</v>
      </c>
      <c r="C69" s="1" t="s">
        <v>177</v>
      </c>
      <c r="D69" s="1">
        <f t="shared" si="6"/>
        <v>1105</v>
      </c>
      <c r="E69" s="1" t="s">
        <v>178</v>
      </c>
      <c r="F69" s="8" t="str">
        <f t="shared" si="7"/>
        <v>MK</v>
      </c>
      <c r="G69" s="2">
        <v>212</v>
      </c>
      <c r="H69" s="2">
        <f>SUMIF(RouteID_Conversion!$J$2:$J$999,AM_BoardingByRoute!$D$3:$D$426,RouteID_Conversion!$K$2:$K$999)</f>
        <v>148.41173934936489</v>
      </c>
    </row>
    <row r="70" spans="1:8" ht="15" customHeight="1" x14ac:dyDescent="0.25">
      <c r="A70" s="7"/>
      <c r="B70" s="8">
        <v>1106</v>
      </c>
      <c r="C70" s="1" t="s">
        <v>179</v>
      </c>
      <c r="D70" s="1">
        <f t="shared" si="6"/>
        <v>1106</v>
      </c>
      <c r="E70" s="1" t="s">
        <v>180</v>
      </c>
      <c r="F70" s="8" t="str">
        <f t="shared" si="7"/>
        <v>MK</v>
      </c>
      <c r="G70" s="2">
        <v>924.5</v>
      </c>
      <c r="H70" s="2">
        <f>SUMIF(RouteID_Conversion!$J$2:$J$999,AM_BoardingByRoute!$D$3:$D$426,RouteID_Conversion!$K$2:$K$999)</f>
        <v>849.90789413452103</v>
      </c>
    </row>
    <row r="71" spans="1:8" ht="15" customHeight="1" x14ac:dyDescent="0.25">
      <c r="A71" s="7"/>
      <c r="B71" s="8">
        <v>1107</v>
      </c>
      <c r="C71" s="1" t="s">
        <v>181</v>
      </c>
      <c r="D71" s="1">
        <f t="shared" si="6"/>
        <v>1107</v>
      </c>
      <c r="E71" s="1" t="s">
        <v>182</v>
      </c>
      <c r="F71" s="8" t="str">
        <f t="shared" si="7"/>
        <v>MK</v>
      </c>
      <c r="G71" s="2">
        <v>265.3</v>
      </c>
      <c r="H71" s="2">
        <f>SUMIF(RouteID_Conversion!$J$2:$J$999,AM_BoardingByRoute!$D$3:$D$426,RouteID_Conversion!$K$2:$K$999)</f>
        <v>214.48904585838275</v>
      </c>
    </row>
    <row r="72" spans="1:8" ht="15" customHeight="1" x14ac:dyDescent="0.25">
      <c r="A72" s="7"/>
      <c r="B72" s="8">
        <v>1110</v>
      </c>
      <c r="C72" s="1" t="s">
        <v>183</v>
      </c>
      <c r="D72" s="1">
        <f t="shared" si="6"/>
        <v>1110</v>
      </c>
      <c r="E72" s="1" t="s">
        <v>184</v>
      </c>
      <c r="F72" s="8" t="str">
        <f t="shared" si="7"/>
        <v>MK</v>
      </c>
      <c r="G72" s="2">
        <v>67.599999999999994</v>
      </c>
      <c r="H72" s="2">
        <f>SUMIF(RouteID_Conversion!$J$2:$J$999,AM_BoardingByRoute!$D$3:$D$426,RouteID_Conversion!$K$2:$K$999)</f>
        <v>49.293129920959409</v>
      </c>
    </row>
    <row r="73" spans="1:8" ht="15" customHeight="1" x14ac:dyDescent="0.25">
      <c r="A73" s="7"/>
      <c r="B73" s="8">
        <v>1111</v>
      </c>
      <c r="C73" s="1" t="s">
        <v>185</v>
      </c>
      <c r="D73" s="1">
        <f t="shared" si="6"/>
        <v>1111</v>
      </c>
      <c r="E73" s="1" t="s">
        <v>186</v>
      </c>
      <c r="F73" s="8" t="str">
        <f t="shared" si="7"/>
        <v>MK</v>
      </c>
      <c r="G73" s="2">
        <v>324.3</v>
      </c>
      <c r="H73" s="2">
        <f>SUMIF(RouteID_Conversion!$J$2:$J$999,AM_BoardingByRoute!$D$3:$D$426,RouteID_Conversion!$K$2:$K$999)</f>
        <v>430.44103813171233</v>
      </c>
    </row>
    <row r="74" spans="1:8" ht="15" customHeight="1" x14ac:dyDescent="0.25">
      <c r="A74" s="7"/>
      <c r="B74" s="8">
        <v>1113</v>
      </c>
      <c r="C74" s="1" t="s">
        <v>187</v>
      </c>
      <c r="D74" s="1">
        <f t="shared" si="6"/>
        <v>1113</v>
      </c>
      <c r="E74" s="1" t="s">
        <v>188</v>
      </c>
      <c r="F74" s="8" t="str">
        <f t="shared" si="7"/>
        <v>MK</v>
      </c>
      <c r="G74" s="2">
        <v>183.9</v>
      </c>
      <c r="H74" s="2">
        <f>SUMIF(RouteID_Conversion!$J$2:$J$999,AM_BoardingByRoute!$D$3:$D$426,RouteID_Conversion!$K$2:$K$999)</f>
        <v>69.215881347656108</v>
      </c>
    </row>
    <row r="75" spans="1:8" ht="15" customHeight="1" x14ac:dyDescent="0.25">
      <c r="A75" s="7"/>
      <c r="B75" s="8">
        <v>1114</v>
      </c>
      <c r="C75" s="1" t="s">
        <v>189</v>
      </c>
      <c r="D75" s="1">
        <f t="shared" si="6"/>
        <v>1114</v>
      </c>
      <c r="E75" s="1" t="s">
        <v>190</v>
      </c>
      <c r="F75" s="8" t="str">
        <f t="shared" si="7"/>
        <v>MK</v>
      </c>
      <c r="G75" s="2">
        <v>133.9</v>
      </c>
      <c r="H75" s="2">
        <f>SUMIF(RouteID_Conversion!$J$2:$J$999,AM_BoardingByRoute!$D$3:$D$426,RouteID_Conversion!$K$2:$K$999)</f>
        <v>159.35672378540019</v>
      </c>
    </row>
    <row r="76" spans="1:8" ht="15" customHeight="1" x14ac:dyDescent="0.25">
      <c r="A76" s="7"/>
      <c r="B76" s="8">
        <v>1116</v>
      </c>
      <c r="C76" s="1" t="s">
        <v>191</v>
      </c>
      <c r="D76" s="1">
        <f t="shared" si="6"/>
        <v>1116</v>
      </c>
      <c r="E76" s="1" t="s">
        <v>192</v>
      </c>
      <c r="F76" s="8" t="str">
        <f t="shared" si="7"/>
        <v>MK</v>
      </c>
      <c r="G76" s="2">
        <v>194</v>
      </c>
      <c r="H76" s="2">
        <f>SUMIF(RouteID_Conversion!$J$2:$J$999,AM_BoardingByRoute!$D$3:$D$426,RouteID_Conversion!$K$2:$K$999)</f>
        <v>105.4516410827635</v>
      </c>
    </row>
    <row r="77" spans="1:8" ht="15" customHeight="1" x14ac:dyDescent="0.25">
      <c r="A77" s="7"/>
      <c r="B77" s="8">
        <v>1118</v>
      </c>
      <c r="C77" s="1" t="s">
        <v>193</v>
      </c>
      <c r="D77" s="1">
        <f t="shared" si="6"/>
        <v>1118</v>
      </c>
      <c r="E77" s="1" t="s">
        <v>194</v>
      </c>
      <c r="F77" s="8" t="str">
        <f t="shared" si="7"/>
        <v>MK</v>
      </c>
      <c r="G77" s="2">
        <v>11</v>
      </c>
      <c r="H77" s="2">
        <f>SUMIF(RouteID_Conversion!$J$2:$J$999,AM_BoardingByRoute!$D$3:$D$426,RouteID_Conversion!$K$2:$K$999)</f>
        <v>113.80643284320813</v>
      </c>
    </row>
    <row r="78" spans="1:8" ht="15" customHeight="1" x14ac:dyDescent="0.25">
      <c r="A78" s="7"/>
      <c r="B78" s="8">
        <v>1119</v>
      </c>
      <c r="C78" s="1" t="s">
        <v>195</v>
      </c>
      <c r="D78" s="1">
        <f t="shared" si="6"/>
        <v>1119</v>
      </c>
      <c r="E78" s="1" t="s">
        <v>196</v>
      </c>
      <c r="F78" s="8" t="str">
        <f t="shared" si="7"/>
        <v>MK</v>
      </c>
      <c r="G78" s="2">
        <v>26.2</v>
      </c>
      <c r="H78" s="2">
        <f>SUMIF(RouteID_Conversion!$J$2:$J$999,AM_BoardingByRoute!$D$3:$D$426,RouteID_Conversion!$K$2:$K$999)</f>
        <v>55.683440238237296</v>
      </c>
    </row>
    <row r="79" spans="1:8" ht="15" customHeight="1" x14ac:dyDescent="0.25">
      <c r="A79" s="7"/>
      <c r="B79" s="8">
        <v>1120</v>
      </c>
      <c r="C79" s="1" t="s">
        <v>197</v>
      </c>
      <c r="D79" s="1">
        <f t="shared" si="6"/>
        <v>1120</v>
      </c>
      <c r="E79" s="1" t="s">
        <v>198</v>
      </c>
      <c r="F79" s="8" t="str">
        <f t="shared" si="7"/>
        <v>MK</v>
      </c>
      <c r="G79" s="2">
        <v>1326.8</v>
      </c>
      <c r="H79" s="2">
        <f>SUMIF(RouteID_Conversion!$J$2:$J$999,AM_BoardingByRoute!$D$3:$D$426,RouteID_Conversion!$K$2:$K$999)</f>
        <v>1458.3905525207506</v>
      </c>
    </row>
    <row r="80" spans="1:8" ht="15" customHeight="1" x14ac:dyDescent="0.25">
      <c r="A80" s="7"/>
      <c r="B80" s="8">
        <v>1121</v>
      </c>
      <c r="C80" s="1" t="s">
        <v>199</v>
      </c>
      <c r="D80" s="1">
        <f t="shared" si="6"/>
        <v>1121</v>
      </c>
      <c r="E80" s="1" t="s">
        <v>200</v>
      </c>
      <c r="F80" s="8" t="str">
        <f t="shared" si="7"/>
        <v>MK</v>
      </c>
      <c r="G80" s="2">
        <v>340.9</v>
      </c>
      <c r="H80" s="2">
        <f>SUMIF(RouteID_Conversion!$J$2:$J$999,AM_BoardingByRoute!$D$3:$D$426,RouteID_Conversion!$K$2:$K$999)</f>
        <v>744.62056636810109</v>
      </c>
    </row>
    <row r="81" spans="1:8" ht="15" customHeight="1" x14ac:dyDescent="0.25">
      <c r="A81" s="7"/>
      <c r="B81" s="8">
        <v>1122</v>
      </c>
      <c r="C81" s="1" t="s">
        <v>201</v>
      </c>
      <c r="D81" s="1">
        <f t="shared" si="6"/>
        <v>1122</v>
      </c>
      <c r="E81" s="1" t="s">
        <v>202</v>
      </c>
      <c r="F81" s="8" t="str">
        <f t="shared" si="7"/>
        <v>MK</v>
      </c>
      <c r="G81" s="2">
        <v>260.8</v>
      </c>
      <c r="H81" s="2">
        <f>SUMIF(RouteID_Conversion!$J$2:$J$999,AM_BoardingByRoute!$D$3:$D$426,RouteID_Conversion!$K$2:$K$999)</f>
        <v>344.83378219604469</v>
      </c>
    </row>
    <row r="82" spans="1:8" ht="15" customHeight="1" x14ac:dyDescent="0.25">
      <c r="A82" s="7"/>
      <c r="B82" s="8">
        <v>1123</v>
      </c>
      <c r="C82" s="1" t="s">
        <v>203</v>
      </c>
      <c r="D82" s="1">
        <f t="shared" si="6"/>
        <v>1123</v>
      </c>
      <c r="E82" s="1" t="s">
        <v>204</v>
      </c>
      <c r="F82" s="8" t="str">
        <f t="shared" si="7"/>
        <v>MK</v>
      </c>
      <c r="G82" s="2">
        <v>117.5</v>
      </c>
      <c r="H82" s="2">
        <f>SUMIF(RouteID_Conversion!$J$2:$J$999,AM_BoardingByRoute!$D$3:$D$426,RouteID_Conversion!$K$2:$K$999)</f>
        <v>156.79384994506819</v>
      </c>
    </row>
    <row r="83" spans="1:8" ht="15" customHeight="1" x14ac:dyDescent="0.25">
      <c r="A83" s="7"/>
      <c r="B83" s="8">
        <v>1124</v>
      </c>
      <c r="C83" s="1" t="s">
        <v>205</v>
      </c>
      <c r="D83" s="1">
        <f t="shared" si="6"/>
        <v>1124</v>
      </c>
      <c r="E83" s="1" t="s">
        <v>206</v>
      </c>
      <c r="F83" s="8" t="str">
        <f t="shared" si="7"/>
        <v>MK</v>
      </c>
      <c r="G83" s="2">
        <v>601.4</v>
      </c>
      <c r="H83" s="2">
        <f>SUMIF(RouteID_Conversion!$J$2:$J$999,AM_BoardingByRoute!$D$3:$D$426,RouteID_Conversion!$K$2:$K$999)</f>
        <v>767.08453178405546</v>
      </c>
    </row>
    <row r="84" spans="1:8" ht="15" customHeight="1" x14ac:dyDescent="0.25">
      <c r="A84" s="7"/>
      <c r="B84" s="8">
        <v>1125</v>
      </c>
      <c r="C84" s="1" t="s">
        <v>207</v>
      </c>
      <c r="D84" s="1">
        <f t="shared" si="6"/>
        <v>1125</v>
      </c>
      <c r="E84" s="1" t="s">
        <v>208</v>
      </c>
      <c r="F84" s="8" t="str">
        <f t="shared" si="7"/>
        <v>MK</v>
      </c>
      <c r="G84" s="2">
        <v>601.4</v>
      </c>
      <c r="H84" s="2">
        <f>SUMIF(RouteID_Conversion!$J$2:$J$999,AM_BoardingByRoute!$D$3:$D$426,RouteID_Conversion!$K$2:$K$999)</f>
        <v>468.83471965789744</v>
      </c>
    </row>
    <row r="85" spans="1:8" ht="15" customHeight="1" x14ac:dyDescent="0.25">
      <c r="A85" s="7"/>
      <c r="B85" s="8">
        <v>1128</v>
      </c>
      <c r="C85" s="1" t="s">
        <v>209</v>
      </c>
      <c r="D85" s="1">
        <f t="shared" si="6"/>
        <v>1128</v>
      </c>
      <c r="E85" s="1" t="s">
        <v>210</v>
      </c>
      <c r="F85" s="8" t="str">
        <f t="shared" si="7"/>
        <v>MK</v>
      </c>
      <c r="G85" s="2">
        <v>506.2</v>
      </c>
      <c r="H85" s="2">
        <f>SUMIF(RouteID_Conversion!$J$2:$J$999,AM_BoardingByRoute!$D$3:$D$426,RouteID_Conversion!$K$2:$K$999)</f>
        <v>297.23168563842751</v>
      </c>
    </row>
    <row r="86" spans="1:8" ht="15" customHeight="1" x14ac:dyDescent="0.25">
      <c r="A86" s="7"/>
      <c r="B86" s="8">
        <v>1129</v>
      </c>
      <c r="C86" s="1" t="s">
        <v>211</v>
      </c>
      <c r="D86" s="1">
        <f t="shared" si="6"/>
        <v>1129</v>
      </c>
      <c r="E86" s="1" t="s">
        <v>212</v>
      </c>
      <c r="F86" s="8" t="str">
        <f t="shared" si="7"/>
        <v>MK</v>
      </c>
      <c r="G86" s="2">
        <v>14.7</v>
      </c>
      <c r="H86" s="2">
        <f>SUMIF(RouteID_Conversion!$J$2:$J$999,AM_BoardingByRoute!$D$3:$D$426,RouteID_Conversion!$K$2:$K$999)</f>
        <v>3.5508858934044758</v>
      </c>
    </row>
    <row r="87" spans="1:8" ht="15" customHeight="1" x14ac:dyDescent="0.25">
      <c r="A87" s="7"/>
      <c r="B87" s="8">
        <v>1131</v>
      </c>
      <c r="C87" s="1" t="s">
        <v>213</v>
      </c>
      <c r="D87" s="1">
        <f t="shared" si="6"/>
        <v>1131</v>
      </c>
      <c r="E87" s="1" t="s">
        <v>214</v>
      </c>
      <c r="F87" s="8" t="str">
        <f t="shared" si="7"/>
        <v>MK</v>
      </c>
      <c r="G87" s="2">
        <v>288.60000000000002</v>
      </c>
      <c r="H87" s="2">
        <f>SUMIF(RouteID_Conversion!$J$2:$J$999,AM_BoardingByRoute!$D$3:$D$426,RouteID_Conversion!$K$2:$K$999)</f>
        <v>183.58930015563939</v>
      </c>
    </row>
    <row r="88" spans="1:8" ht="15" customHeight="1" x14ac:dyDescent="0.25">
      <c r="A88" s="7"/>
      <c r="B88" s="8">
        <v>1132</v>
      </c>
      <c r="C88" s="1" t="s">
        <v>215</v>
      </c>
      <c r="D88" s="1">
        <f t="shared" si="6"/>
        <v>1132</v>
      </c>
      <c r="E88" s="1" t="s">
        <v>216</v>
      </c>
      <c r="F88" s="8" t="str">
        <f t="shared" si="7"/>
        <v>MK</v>
      </c>
      <c r="G88" s="2">
        <v>513.70000000000005</v>
      </c>
      <c r="H88" s="2">
        <f>SUMIF(RouteID_Conversion!$J$2:$J$999,AM_BoardingByRoute!$D$3:$D$426,RouteID_Conversion!$K$2:$K$999)</f>
        <v>319.56878900527897</v>
      </c>
    </row>
    <row r="89" spans="1:8" ht="15" customHeight="1" x14ac:dyDescent="0.25">
      <c r="A89" s="7"/>
      <c r="B89" s="8">
        <v>1133</v>
      </c>
      <c r="C89" s="1" t="s">
        <v>217</v>
      </c>
      <c r="D89" s="1">
        <f t="shared" si="6"/>
        <v>1133</v>
      </c>
      <c r="E89" s="1" t="s">
        <v>218</v>
      </c>
      <c r="F89" s="8" t="str">
        <f t="shared" si="7"/>
        <v>MK</v>
      </c>
      <c r="G89" s="2">
        <v>112.2</v>
      </c>
      <c r="H89" s="2">
        <f>SUMIF(RouteID_Conversion!$J$2:$J$999,AM_BoardingByRoute!$D$3:$D$426,RouteID_Conversion!$K$2:$K$999)</f>
        <v>73.984378814697109</v>
      </c>
    </row>
    <row r="90" spans="1:8" ht="15" customHeight="1" x14ac:dyDescent="0.25">
      <c r="A90" s="7"/>
      <c r="B90" s="8">
        <v>1134</v>
      </c>
      <c r="C90" s="1" t="s">
        <v>219</v>
      </c>
      <c r="D90" s="1">
        <f t="shared" si="6"/>
        <v>1134</v>
      </c>
      <c r="E90" s="1" t="s">
        <v>220</v>
      </c>
      <c r="F90" s="8" t="str">
        <f t="shared" si="7"/>
        <v>MK</v>
      </c>
      <c r="G90" s="2">
        <v>120.8</v>
      </c>
      <c r="H90" s="2">
        <f>SUMIF(RouteID_Conversion!$J$2:$J$999,AM_BoardingByRoute!$D$3:$D$426,RouteID_Conversion!$K$2:$K$999)</f>
        <v>141.2675514221188</v>
      </c>
    </row>
    <row r="91" spans="1:8" ht="15" customHeight="1" x14ac:dyDescent="0.25">
      <c r="A91" s="7"/>
      <c r="B91" s="8">
        <v>1139</v>
      </c>
      <c r="C91" s="1" t="s">
        <v>221</v>
      </c>
      <c r="D91" s="1">
        <f t="shared" si="6"/>
        <v>1139</v>
      </c>
      <c r="E91" s="1" t="s">
        <v>222</v>
      </c>
      <c r="F91" s="8" t="str">
        <f t="shared" si="7"/>
        <v>MK</v>
      </c>
      <c r="G91" s="2">
        <v>42.9</v>
      </c>
      <c r="H91" s="2">
        <f>SUMIF(RouteID_Conversion!$J$2:$J$999,AM_BoardingByRoute!$D$3:$D$426,RouteID_Conversion!$K$2:$K$999)</f>
        <v>32.908321857452307</v>
      </c>
    </row>
    <row r="92" spans="1:8" ht="15" customHeight="1" x14ac:dyDescent="0.25">
      <c r="A92" s="7"/>
      <c r="B92" s="8">
        <v>1140</v>
      </c>
      <c r="C92" s="1" t="s">
        <v>223</v>
      </c>
      <c r="D92" s="1">
        <f t="shared" si="6"/>
        <v>1140</v>
      </c>
      <c r="E92" s="1" t="s">
        <v>224</v>
      </c>
      <c r="F92" s="8" t="str">
        <f t="shared" si="7"/>
        <v>MK</v>
      </c>
      <c r="G92" s="2">
        <v>364.8</v>
      </c>
      <c r="H92" s="2">
        <f>SUMIF(RouteID_Conversion!$J$2:$J$999,AM_BoardingByRoute!$D$3:$D$426,RouteID_Conversion!$K$2:$K$999)</f>
        <v>627.09842443466152</v>
      </c>
    </row>
    <row r="93" spans="1:8" ht="15" customHeight="1" x14ac:dyDescent="0.25">
      <c r="A93" s="7"/>
      <c r="B93" s="8">
        <v>1143</v>
      </c>
      <c r="C93" s="1" t="s">
        <v>225</v>
      </c>
      <c r="D93" s="1">
        <f t="shared" si="6"/>
        <v>1143</v>
      </c>
      <c r="E93" s="1" t="s">
        <v>226</v>
      </c>
      <c r="F93" s="8" t="str">
        <f t="shared" si="7"/>
        <v>MK</v>
      </c>
      <c r="G93" s="2">
        <v>251.8</v>
      </c>
      <c r="H93" s="2">
        <f>SUMIF(RouteID_Conversion!$J$2:$J$999,AM_BoardingByRoute!$D$3:$D$426,RouteID_Conversion!$K$2:$K$999)</f>
        <v>106.1133594512939</v>
      </c>
    </row>
    <row r="94" spans="1:8" ht="15" customHeight="1" x14ac:dyDescent="0.25">
      <c r="A94" s="7"/>
      <c r="B94" s="8">
        <v>1148</v>
      </c>
      <c r="C94" s="1" t="s">
        <v>227</v>
      </c>
      <c r="D94" s="1">
        <f t="shared" si="6"/>
        <v>1148</v>
      </c>
      <c r="E94" s="1" t="s">
        <v>228</v>
      </c>
      <c r="F94" s="8" t="str">
        <f t="shared" si="7"/>
        <v>MK</v>
      </c>
      <c r="G94" s="2">
        <v>119.3</v>
      </c>
      <c r="H94" s="2">
        <f>SUMIF(RouteID_Conversion!$J$2:$J$999,AM_BoardingByRoute!$D$3:$D$426,RouteID_Conversion!$K$2:$K$999)</f>
        <v>235.63703918456997</v>
      </c>
    </row>
    <row r="95" spans="1:8" ht="15" customHeight="1" x14ac:dyDescent="0.25">
      <c r="A95" s="7"/>
      <c r="B95" s="8">
        <v>1149</v>
      </c>
      <c r="C95" s="1" t="s">
        <v>229</v>
      </c>
      <c r="D95" s="1">
        <f t="shared" si="6"/>
        <v>1149</v>
      </c>
      <c r="E95" s="1" t="s">
        <v>230</v>
      </c>
      <c r="F95" s="8" t="str">
        <f t="shared" si="7"/>
        <v>MK</v>
      </c>
      <c r="G95" s="2">
        <v>10.5</v>
      </c>
      <c r="H95" s="2">
        <f>SUMIF(RouteID_Conversion!$J$2:$J$999,AM_BoardingByRoute!$D$3:$D$426,RouteID_Conversion!$K$2:$K$999)</f>
        <v>38.509097695350597</v>
      </c>
    </row>
    <row r="96" spans="1:8" ht="15" customHeight="1" x14ac:dyDescent="0.25">
      <c r="A96" s="7"/>
      <c r="B96" s="8">
        <v>1150</v>
      </c>
      <c r="C96" s="1" t="s">
        <v>231</v>
      </c>
      <c r="D96" s="1">
        <f t="shared" si="6"/>
        <v>1150</v>
      </c>
      <c r="E96" s="1" t="s">
        <v>232</v>
      </c>
      <c r="F96" s="8" t="str">
        <f t="shared" si="7"/>
        <v>MK</v>
      </c>
      <c r="G96" s="2">
        <v>1124.2</v>
      </c>
      <c r="H96" s="2">
        <f>SUMIF(RouteID_Conversion!$J$2:$J$999,AM_BoardingByRoute!$D$3:$D$426,RouteID_Conversion!$K$2:$K$999)</f>
        <v>1885.4654998779283</v>
      </c>
    </row>
    <row r="97" spans="1:8" ht="15" customHeight="1" x14ac:dyDescent="0.25">
      <c r="A97" s="7"/>
      <c r="B97" s="8">
        <v>1152</v>
      </c>
      <c r="C97" s="1" t="s">
        <v>233</v>
      </c>
      <c r="D97" s="1">
        <f t="shared" si="6"/>
        <v>1152</v>
      </c>
      <c r="E97" s="1" t="s">
        <v>234</v>
      </c>
      <c r="F97" s="8" t="str">
        <f t="shared" si="7"/>
        <v>MK</v>
      </c>
      <c r="G97" s="2">
        <v>107.5</v>
      </c>
      <c r="H97" s="2">
        <f>SUMIF(RouteID_Conversion!$J$2:$J$999,AM_BoardingByRoute!$D$3:$D$426,RouteID_Conversion!$K$2:$K$999)</f>
        <v>81.3489341735838</v>
      </c>
    </row>
    <row r="98" spans="1:8" ht="15" customHeight="1" x14ac:dyDescent="0.25">
      <c r="A98" s="7"/>
      <c r="B98" s="8">
        <v>1153</v>
      </c>
      <c r="C98" s="1" t="s">
        <v>235</v>
      </c>
      <c r="D98" s="1">
        <f t="shared" si="6"/>
        <v>1153</v>
      </c>
      <c r="E98" s="1" t="s">
        <v>236</v>
      </c>
      <c r="F98" s="8" t="str">
        <f t="shared" si="7"/>
        <v>MK</v>
      </c>
      <c r="G98" s="2">
        <v>170.7</v>
      </c>
      <c r="H98" s="2">
        <f>SUMIF(RouteID_Conversion!$J$2:$J$999,AM_BoardingByRoute!$D$3:$D$426,RouteID_Conversion!$K$2:$K$999)</f>
        <v>186.11367988586389</v>
      </c>
    </row>
    <row r="99" spans="1:8" ht="15" customHeight="1" x14ac:dyDescent="0.25">
      <c r="A99" s="7"/>
      <c r="B99" s="8">
        <v>1154</v>
      </c>
      <c r="C99" s="1" t="s">
        <v>237</v>
      </c>
      <c r="D99" s="1">
        <f t="shared" si="6"/>
        <v>1154</v>
      </c>
      <c r="E99" s="1" t="s">
        <v>238</v>
      </c>
      <c r="F99" s="8" t="str">
        <f t="shared" si="7"/>
        <v>MK</v>
      </c>
      <c r="G99" s="2">
        <v>29.2</v>
      </c>
      <c r="H99" s="2">
        <f>SUMIF(RouteID_Conversion!$J$2:$J$999,AM_BoardingByRoute!$D$3:$D$426,RouteID_Conversion!$K$2:$K$999)</f>
        <v>14.218103170394881</v>
      </c>
    </row>
    <row r="100" spans="1:8" ht="15" customHeight="1" x14ac:dyDescent="0.25">
      <c r="A100" s="7"/>
      <c r="B100" s="8">
        <v>1155</v>
      </c>
      <c r="C100" s="1" t="s">
        <v>239</v>
      </c>
      <c r="D100" s="1">
        <f t="shared" si="6"/>
        <v>1155</v>
      </c>
      <c r="E100" s="1" t="s">
        <v>240</v>
      </c>
      <c r="F100" s="8" t="str">
        <f t="shared" si="7"/>
        <v>MK</v>
      </c>
      <c r="G100" s="2">
        <v>80.8</v>
      </c>
      <c r="H100" s="2">
        <f>SUMIF(RouteID_Conversion!$J$2:$J$999,AM_BoardingByRoute!$D$3:$D$426,RouteID_Conversion!$K$2:$K$999)</f>
        <v>91.979736328124915</v>
      </c>
    </row>
    <row r="101" spans="1:8" ht="15" customHeight="1" x14ac:dyDescent="0.25">
      <c r="A101" s="7"/>
      <c r="B101" s="8">
        <v>1156</v>
      </c>
      <c r="C101" s="1" t="s">
        <v>241</v>
      </c>
      <c r="D101" s="1">
        <f t="shared" si="6"/>
        <v>1156</v>
      </c>
      <c r="E101" s="1" t="s">
        <v>242</v>
      </c>
      <c r="F101" s="8" t="str">
        <f t="shared" si="7"/>
        <v>MK</v>
      </c>
      <c r="G101" s="2">
        <v>55.1</v>
      </c>
      <c r="H101" s="2">
        <f>SUMIF(RouteID_Conversion!$J$2:$J$999,AM_BoardingByRoute!$D$3:$D$426,RouteID_Conversion!$K$2:$K$999)</f>
        <v>61.441800117492583</v>
      </c>
    </row>
    <row r="102" spans="1:8" ht="15" customHeight="1" x14ac:dyDescent="0.25">
      <c r="A102" s="7"/>
      <c r="B102" s="8">
        <v>1157</v>
      </c>
      <c r="C102" s="1" t="s">
        <v>243</v>
      </c>
      <c r="D102" s="1">
        <f t="shared" si="6"/>
        <v>1157</v>
      </c>
      <c r="E102" s="1" t="s">
        <v>244</v>
      </c>
      <c r="F102" s="8" t="str">
        <f t="shared" si="7"/>
        <v>MK</v>
      </c>
      <c r="G102" s="2">
        <v>85.3</v>
      </c>
      <c r="H102" s="2">
        <f>SUMIF(RouteID_Conversion!$J$2:$J$999,AM_BoardingByRoute!$D$3:$D$426,RouteID_Conversion!$K$2:$K$999)</f>
        <v>94.097858428954893</v>
      </c>
    </row>
    <row r="103" spans="1:8" ht="15" customHeight="1" x14ac:dyDescent="0.25">
      <c r="A103" s="7"/>
      <c r="B103" s="8">
        <v>1158</v>
      </c>
      <c r="C103" s="1" t="s">
        <v>245</v>
      </c>
      <c r="D103" s="1">
        <f t="shared" si="6"/>
        <v>1158</v>
      </c>
      <c r="E103" s="1" t="s">
        <v>246</v>
      </c>
      <c r="F103" s="8" t="str">
        <f t="shared" si="7"/>
        <v>MK</v>
      </c>
      <c r="G103" s="2">
        <v>172</v>
      </c>
      <c r="H103" s="2">
        <f>SUMIF(RouteID_Conversion!$J$2:$J$999,AM_BoardingByRoute!$D$3:$D$426,RouteID_Conversion!$K$2:$K$999)</f>
        <v>140.5198516845702</v>
      </c>
    </row>
    <row r="104" spans="1:8" ht="15" customHeight="1" x14ac:dyDescent="0.25">
      <c r="A104" s="7"/>
      <c r="B104" s="8">
        <v>1159</v>
      </c>
      <c r="C104" s="1" t="s">
        <v>247</v>
      </c>
      <c r="D104" s="1">
        <f t="shared" si="6"/>
        <v>1159</v>
      </c>
      <c r="E104" s="1" t="s">
        <v>248</v>
      </c>
      <c r="F104" s="8" t="str">
        <f t="shared" si="7"/>
        <v>MK</v>
      </c>
      <c r="G104" s="2">
        <v>215.4</v>
      </c>
      <c r="H104" s="2">
        <f>SUMIF(RouteID_Conversion!$J$2:$J$999,AM_BoardingByRoute!$D$3:$D$426,RouteID_Conversion!$K$2:$K$999)</f>
        <v>137.0092887878416</v>
      </c>
    </row>
    <row r="105" spans="1:8" ht="15" customHeight="1" x14ac:dyDescent="0.25">
      <c r="A105" s="7"/>
      <c r="B105" s="8">
        <v>1161</v>
      </c>
      <c r="C105" s="1" t="s">
        <v>249</v>
      </c>
      <c r="D105" s="1">
        <f t="shared" si="6"/>
        <v>1161</v>
      </c>
      <c r="E105" s="1" t="s">
        <v>250</v>
      </c>
      <c r="F105" s="8" t="str">
        <f t="shared" si="7"/>
        <v>MK</v>
      </c>
      <c r="G105" s="2">
        <v>158.69999999999999</v>
      </c>
      <c r="H105" s="2">
        <f>SUMIF(RouteID_Conversion!$J$2:$J$999,AM_BoardingByRoute!$D$3:$D$426,RouteID_Conversion!$K$2:$K$999)</f>
        <v>294.53044509887627</v>
      </c>
    </row>
    <row r="106" spans="1:8" ht="15" customHeight="1" x14ac:dyDescent="0.25">
      <c r="A106" s="7"/>
      <c r="B106" s="8">
        <v>1162</v>
      </c>
      <c r="C106" s="1" t="s">
        <v>251</v>
      </c>
      <c r="D106" s="1">
        <f t="shared" si="6"/>
        <v>1162</v>
      </c>
      <c r="E106" s="1" t="s">
        <v>252</v>
      </c>
      <c r="F106" s="8" t="str">
        <f t="shared" si="7"/>
        <v>MK</v>
      </c>
      <c r="G106" s="2">
        <v>137.1</v>
      </c>
      <c r="H106" s="2">
        <f>SUMIF(RouteID_Conversion!$J$2:$J$999,AM_BoardingByRoute!$D$3:$D$426,RouteID_Conversion!$K$2:$K$999)</f>
        <v>123.40458202362052</v>
      </c>
    </row>
    <row r="107" spans="1:8" ht="15" customHeight="1" x14ac:dyDescent="0.25">
      <c r="A107" s="7"/>
      <c r="B107" s="8">
        <v>1164</v>
      </c>
      <c r="C107" s="1" t="s">
        <v>253</v>
      </c>
      <c r="D107" s="1">
        <f t="shared" si="6"/>
        <v>1164</v>
      </c>
      <c r="E107" s="1" t="s">
        <v>254</v>
      </c>
      <c r="F107" s="8" t="str">
        <f t="shared" si="7"/>
        <v>MK</v>
      </c>
      <c r="G107" s="2">
        <v>208.5</v>
      </c>
      <c r="H107" s="2">
        <f>SUMIF(RouteID_Conversion!$J$2:$J$999,AM_BoardingByRoute!$D$3:$D$426,RouteID_Conversion!$K$2:$K$999)</f>
        <v>266.9517116546628</v>
      </c>
    </row>
    <row r="108" spans="1:8" ht="15" customHeight="1" x14ac:dyDescent="0.25">
      <c r="A108" s="7"/>
      <c r="B108" s="8">
        <v>1166</v>
      </c>
      <c r="C108" s="1" t="s">
        <v>255</v>
      </c>
      <c r="D108" s="1">
        <f t="shared" si="6"/>
        <v>1166</v>
      </c>
      <c r="E108" s="1" t="s">
        <v>256</v>
      </c>
      <c r="F108" s="8" t="str">
        <f t="shared" si="7"/>
        <v>MK</v>
      </c>
      <c r="G108" s="2">
        <v>247.7</v>
      </c>
      <c r="H108" s="2">
        <f>SUMIF(RouteID_Conversion!$J$2:$J$999,AM_BoardingByRoute!$D$3:$D$426,RouteID_Conversion!$K$2:$K$999)</f>
        <v>312.64719009399403</v>
      </c>
    </row>
    <row r="109" spans="1:8" ht="15" customHeight="1" x14ac:dyDescent="0.25">
      <c r="A109" s="7"/>
      <c r="B109" s="8">
        <v>1167</v>
      </c>
      <c r="C109" s="1" t="s">
        <v>257</v>
      </c>
      <c r="D109" s="1">
        <f t="shared" si="6"/>
        <v>1167</v>
      </c>
      <c r="E109" s="1" t="s">
        <v>258</v>
      </c>
      <c r="F109" s="8" t="str">
        <f t="shared" si="7"/>
        <v>MK</v>
      </c>
      <c r="G109" s="2">
        <v>160.1</v>
      </c>
      <c r="H109" s="2">
        <f>SUMIF(RouteID_Conversion!$J$2:$J$999,AM_BoardingByRoute!$D$3:$D$426,RouteID_Conversion!$K$2:$K$999)</f>
        <v>134.1656417846678</v>
      </c>
    </row>
    <row r="110" spans="1:8" ht="15" customHeight="1" x14ac:dyDescent="0.25">
      <c r="A110" s="7"/>
      <c r="B110" s="8">
        <v>1168</v>
      </c>
      <c r="C110" s="1" t="s">
        <v>259</v>
      </c>
      <c r="D110" s="1">
        <f t="shared" si="6"/>
        <v>1168</v>
      </c>
      <c r="E110" s="1" t="s">
        <v>260</v>
      </c>
      <c r="F110" s="8" t="str">
        <f t="shared" si="7"/>
        <v>MK</v>
      </c>
      <c r="G110" s="2">
        <v>161.5</v>
      </c>
      <c r="H110" s="2">
        <f>SUMIF(RouteID_Conversion!$J$2:$J$999,AM_BoardingByRoute!$D$3:$D$426,RouteID_Conversion!$K$2:$K$999)</f>
        <v>226.37581443786598</v>
      </c>
    </row>
    <row r="111" spans="1:8" ht="15" customHeight="1" x14ac:dyDescent="0.25">
      <c r="A111" s="7"/>
      <c r="B111" s="8">
        <v>1169</v>
      </c>
      <c r="C111" s="1" t="s">
        <v>261</v>
      </c>
      <c r="D111" s="1">
        <f t="shared" si="6"/>
        <v>1169</v>
      </c>
      <c r="E111" s="1" t="s">
        <v>262</v>
      </c>
      <c r="F111" s="8" t="str">
        <f t="shared" si="7"/>
        <v>MK</v>
      </c>
      <c r="G111" s="2">
        <v>377.2</v>
      </c>
      <c r="H111" s="2">
        <f>SUMIF(RouteID_Conversion!$J$2:$J$999,AM_BoardingByRoute!$D$3:$D$426,RouteID_Conversion!$K$2:$K$999)</f>
        <v>595.10576629638479</v>
      </c>
    </row>
    <row r="112" spans="1:8" ht="15" customHeight="1" x14ac:dyDescent="0.25">
      <c r="A112" s="7"/>
      <c r="B112" s="8">
        <v>1173</v>
      </c>
      <c r="C112" s="1" t="s">
        <v>263</v>
      </c>
      <c r="D112" s="1">
        <f t="shared" si="6"/>
        <v>1173</v>
      </c>
      <c r="E112" s="1" t="s">
        <v>264</v>
      </c>
      <c r="F112" s="8" t="str">
        <f t="shared" si="7"/>
        <v>MK</v>
      </c>
      <c r="G112" s="2">
        <v>37.299999999999997</v>
      </c>
      <c r="H112" s="2">
        <f>SUMIF(RouteID_Conversion!$J$2:$J$999,AM_BoardingByRoute!$D$3:$D$426,RouteID_Conversion!$K$2:$K$999)</f>
        <v>22.126908779144273</v>
      </c>
    </row>
    <row r="113" spans="1:8" ht="15" customHeight="1" x14ac:dyDescent="0.25">
      <c r="A113" s="7"/>
      <c r="B113" s="8">
        <v>1174</v>
      </c>
      <c r="C113" s="1" t="s">
        <v>265</v>
      </c>
      <c r="D113" s="1">
        <f t="shared" si="6"/>
        <v>1174</v>
      </c>
      <c r="E113" s="1" t="s">
        <v>266</v>
      </c>
      <c r="F113" s="8" t="str">
        <f t="shared" si="7"/>
        <v>MK</v>
      </c>
      <c r="G113" s="2">
        <v>748</v>
      </c>
      <c r="H113" s="2">
        <f>SUMIF(RouteID_Conversion!$J$2:$J$999,AM_BoardingByRoute!$D$3:$D$426,RouteID_Conversion!$K$2:$K$999)</f>
        <v>729.07479953765721</v>
      </c>
    </row>
    <row r="114" spans="1:8" ht="15" customHeight="1" x14ac:dyDescent="0.25">
      <c r="A114" s="7"/>
      <c r="B114" s="8">
        <v>1175</v>
      </c>
      <c r="C114" s="1" t="s">
        <v>267</v>
      </c>
      <c r="D114" s="1">
        <f t="shared" si="6"/>
        <v>1175</v>
      </c>
      <c r="E114" s="1" t="s">
        <v>268</v>
      </c>
      <c r="F114" s="8" t="str">
        <f t="shared" si="7"/>
        <v>MK</v>
      </c>
      <c r="G114" s="2">
        <v>93.5</v>
      </c>
      <c r="H114" s="2">
        <f>SUMIF(RouteID_Conversion!$J$2:$J$999,AM_BoardingByRoute!$D$3:$D$426,RouteID_Conversion!$K$2:$K$999)</f>
        <v>76.078964233398295</v>
      </c>
    </row>
    <row r="115" spans="1:8" ht="15" customHeight="1" x14ac:dyDescent="0.25">
      <c r="A115" s="7"/>
      <c r="B115" s="8">
        <v>1177</v>
      </c>
      <c r="C115" s="1" t="s">
        <v>269</v>
      </c>
      <c r="D115" s="1">
        <f t="shared" si="6"/>
        <v>1177</v>
      </c>
      <c r="E115" s="1" t="s">
        <v>270</v>
      </c>
      <c r="F115" s="8" t="str">
        <f t="shared" si="7"/>
        <v>MK</v>
      </c>
      <c r="G115" s="2">
        <v>313.8</v>
      </c>
      <c r="H115" s="2">
        <f>SUMIF(RouteID_Conversion!$J$2:$J$999,AM_BoardingByRoute!$D$3:$D$426,RouteID_Conversion!$K$2:$K$999)</f>
        <v>667.35725402831906</v>
      </c>
    </row>
    <row r="116" spans="1:8" ht="15" customHeight="1" x14ac:dyDescent="0.25">
      <c r="A116" s="7"/>
      <c r="B116" s="8">
        <v>1179</v>
      </c>
      <c r="C116" s="1" t="s">
        <v>271</v>
      </c>
      <c r="D116" s="1">
        <f t="shared" si="6"/>
        <v>1179</v>
      </c>
      <c r="E116" s="1" t="s">
        <v>272</v>
      </c>
      <c r="F116" s="8" t="str">
        <f t="shared" si="7"/>
        <v>MK</v>
      </c>
      <c r="G116" s="2">
        <v>195.4</v>
      </c>
      <c r="H116" s="2">
        <f>SUMIF(RouteID_Conversion!$J$2:$J$999,AM_BoardingByRoute!$D$3:$D$426,RouteID_Conversion!$K$2:$K$999)</f>
        <v>356.86673736572101</v>
      </c>
    </row>
    <row r="117" spans="1:8" ht="15" customHeight="1" x14ac:dyDescent="0.25">
      <c r="A117" s="7"/>
      <c r="B117" s="8">
        <v>1180</v>
      </c>
      <c r="C117" s="1" t="s">
        <v>273</v>
      </c>
      <c r="D117" s="1">
        <f t="shared" si="6"/>
        <v>1180</v>
      </c>
      <c r="E117" s="1" t="s">
        <v>274</v>
      </c>
      <c r="F117" s="8" t="str">
        <f t="shared" si="7"/>
        <v>MK</v>
      </c>
      <c r="G117" s="2">
        <v>719.1</v>
      </c>
      <c r="H117" s="2">
        <f>SUMIF(RouteID_Conversion!$J$2:$J$999,AM_BoardingByRoute!$D$3:$D$426,RouteID_Conversion!$K$2:$K$999)</f>
        <v>663.68273162841729</v>
      </c>
    </row>
    <row r="118" spans="1:8" ht="15" customHeight="1" x14ac:dyDescent="0.25">
      <c r="A118" s="7"/>
      <c r="B118" s="8">
        <v>1181</v>
      </c>
      <c r="C118" s="1" t="s">
        <v>275</v>
      </c>
      <c r="D118" s="1">
        <f t="shared" si="6"/>
        <v>1181</v>
      </c>
      <c r="E118" s="1" t="s">
        <v>276</v>
      </c>
      <c r="F118" s="8" t="str">
        <f t="shared" si="7"/>
        <v>MK</v>
      </c>
      <c r="G118" s="2">
        <v>305.60000000000002</v>
      </c>
      <c r="H118" s="2">
        <f>SUMIF(RouteID_Conversion!$J$2:$J$999,AM_BoardingByRoute!$D$3:$D$426,RouteID_Conversion!$K$2:$K$999)</f>
        <v>464.01636123657204</v>
      </c>
    </row>
    <row r="119" spans="1:8" ht="15" customHeight="1" x14ac:dyDescent="0.25">
      <c r="A119" s="7"/>
      <c r="B119" s="8">
        <v>1182</v>
      </c>
      <c r="C119" s="1" t="s">
        <v>277</v>
      </c>
      <c r="D119" s="1">
        <f t="shared" si="6"/>
        <v>1182</v>
      </c>
      <c r="E119" s="1" t="s">
        <v>278</v>
      </c>
      <c r="F119" s="8" t="str">
        <f t="shared" si="7"/>
        <v>MK</v>
      </c>
      <c r="G119" s="2">
        <v>59.8</v>
      </c>
      <c r="H119" s="2">
        <f>SUMIF(RouteID_Conversion!$J$2:$J$999,AM_BoardingByRoute!$D$3:$D$426,RouteID_Conversion!$K$2:$K$999)</f>
        <v>115.42515659332261</v>
      </c>
    </row>
    <row r="120" spans="1:8" ht="15" customHeight="1" x14ac:dyDescent="0.25">
      <c r="A120" s="7"/>
      <c r="B120" s="8">
        <v>1183</v>
      </c>
      <c r="C120" s="1" t="s">
        <v>279</v>
      </c>
      <c r="D120" s="1">
        <f t="shared" si="6"/>
        <v>1183</v>
      </c>
      <c r="E120" s="1" t="s">
        <v>280</v>
      </c>
      <c r="F120" s="8" t="str">
        <f t="shared" si="7"/>
        <v>MK</v>
      </c>
      <c r="G120" s="2">
        <v>168.2</v>
      </c>
      <c r="H120" s="2">
        <f>SUMIF(RouteID_Conversion!$J$2:$J$999,AM_BoardingByRoute!$D$3:$D$426,RouteID_Conversion!$K$2:$K$999)</f>
        <v>203.98847484588589</v>
      </c>
    </row>
    <row r="121" spans="1:8" ht="15" customHeight="1" x14ac:dyDescent="0.25">
      <c r="A121" s="7"/>
      <c r="B121" s="8">
        <v>1187</v>
      </c>
      <c r="C121" s="1" t="s">
        <v>281</v>
      </c>
      <c r="D121" s="1">
        <f t="shared" si="6"/>
        <v>1187</v>
      </c>
      <c r="E121" s="1" t="s">
        <v>282</v>
      </c>
      <c r="F121" s="8" t="str">
        <f t="shared" si="7"/>
        <v>MK</v>
      </c>
      <c r="G121" s="2">
        <v>98.8</v>
      </c>
      <c r="H121" s="2">
        <f>SUMIF(RouteID_Conversion!$J$2:$J$999,AM_BoardingByRoute!$D$3:$D$426,RouteID_Conversion!$K$2:$K$999)</f>
        <v>83.168804645538231</v>
      </c>
    </row>
    <row r="122" spans="1:8" ht="15" customHeight="1" x14ac:dyDescent="0.25">
      <c r="A122" s="7"/>
      <c r="B122" s="8">
        <v>1190</v>
      </c>
      <c r="C122" s="1" t="s">
        <v>283</v>
      </c>
      <c r="D122" s="1">
        <f t="shared" si="6"/>
        <v>1190</v>
      </c>
      <c r="E122" s="1" t="s">
        <v>284</v>
      </c>
      <c r="F122" s="8" t="str">
        <f t="shared" si="7"/>
        <v>MK</v>
      </c>
      <c r="G122" s="2">
        <v>153.9</v>
      </c>
      <c r="H122" s="2">
        <f>SUMIF(RouteID_Conversion!$J$2:$J$999,AM_BoardingByRoute!$D$3:$D$426,RouteID_Conversion!$K$2:$K$999)</f>
        <v>155.4752597808837</v>
      </c>
    </row>
    <row r="123" spans="1:8" ht="15" customHeight="1" x14ac:dyDescent="0.25">
      <c r="A123" s="7"/>
      <c r="B123" s="8">
        <v>1192</v>
      </c>
      <c r="C123" s="1" t="s">
        <v>285</v>
      </c>
      <c r="D123" s="1">
        <f t="shared" si="6"/>
        <v>1192</v>
      </c>
      <c r="E123" s="1" t="s">
        <v>286</v>
      </c>
      <c r="F123" s="8" t="str">
        <f t="shared" si="7"/>
        <v>MK</v>
      </c>
      <c r="G123" s="2">
        <v>94.4</v>
      </c>
      <c r="H123" s="2">
        <f>SUMIF(RouteID_Conversion!$J$2:$J$999,AM_BoardingByRoute!$D$3:$D$426,RouteID_Conversion!$K$2:$K$999)</f>
        <v>128.26593875884979</v>
      </c>
    </row>
    <row r="124" spans="1:8" ht="15" customHeight="1" x14ac:dyDescent="0.25">
      <c r="A124" s="7"/>
      <c r="B124" s="8">
        <v>1196</v>
      </c>
      <c r="C124" s="1" t="s">
        <v>287</v>
      </c>
      <c r="D124" s="1">
        <f t="shared" si="6"/>
        <v>1196</v>
      </c>
      <c r="E124" s="1" t="s">
        <v>288</v>
      </c>
      <c r="F124" s="8" t="str">
        <f t="shared" si="7"/>
        <v>MK</v>
      </c>
      <c r="G124" s="2">
        <v>143.69999999999999</v>
      </c>
      <c r="H124" s="2">
        <f>SUMIF(RouteID_Conversion!$J$2:$J$999,AM_BoardingByRoute!$D$3:$D$426,RouteID_Conversion!$K$2:$K$999)</f>
        <v>226.74800872802729</v>
      </c>
    </row>
    <row r="125" spans="1:8" ht="15" customHeight="1" x14ac:dyDescent="0.25">
      <c r="A125" s="7"/>
      <c r="B125" s="8">
        <v>1197</v>
      </c>
      <c r="C125" s="1" t="s">
        <v>289</v>
      </c>
      <c r="D125" s="1">
        <f t="shared" si="6"/>
        <v>1197</v>
      </c>
      <c r="E125" s="1" t="s">
        <v>290</v>
      </c>
      <c r="F125" s="8" t="str">
        <f t="shared" si="7"/>
        <v>MK</v>
      </c>
      <c r="G125" s="2">
        <v>272.7</v>
      </c>
      <c r="H125" s="2">
        <f>SUMIF(RouteID_Conversion!$J$2:$J$999,AM_BoardingByRoute!$D$3:$D$426,RouteID_Conversion!$K$2:$K$999)</f>
        <v>227.09779357910099</v>
      </c>
    </row>
    <row r="126" spans="1:8" ht="15" customHeight="1" x14ac:dyDescent="0.25">
      <c r="A126" s="7"/>
      <c r="B126" s="8">
        <v>1200</v>
      </c>
      <c r="C126" s="1" t="s">
        <v>291</v>
      </c>
      <c r="D126" s="1">
        <f t="shared" si="6"/>
        <v>1200</v>
      </c>
      <c r="E126" s="1" t="s">
        <v>292</v>
      </c>
      <c r="F126" s="8" t="str">
        <f t="shared" si="7"/>
        <v>MK</v>
      </c>
      <c r="G126" s="2">
        <v>61.3</v>
      </c>
      <c r="H126" s="2">
        <f>SUMIF(RouteID_Conversion!$J$2:$J$999,AM_BoardingByRoute!$D$3:$D$426,RouteID_Conversion!$K$2:$K$999)</f>
        <v>41.700386285781818</v>
      </c>
    </row>
    <row r="127" spans="1:8" ht="15" customHeight="1" x14ac:dyDescent="0.25">
      <c r="A127" s="7"/>
      <c r="B127" s="8">
        <v>1201</v>
      </c>
      <c r="C127" s="1" t="s">
        <v>293</v>
      </c>
      <c r="D127" s="1">
        <f t="shared" si="6"/>
        <v>1201</v>
      </c>
      <c r="E127" s="1" t="s">
        <v>294</v>
      </c>
      <c r="F127" s="8" t="str">
        <f t="shared" si="7"/>
        <v>MK</v>
      </c>
      <c r="G127" s="2">
        <v>4.8</v>
      </c>
      <c r="H127" s="2">
        <f>SUMIF(RouteID_Conversion!$J$2:$J$999,AM_BoardingByRoute!$D$3:$D$426,RouteID_Conversion!$K$2:$K$999)</f>
        <v>22.849999427795399</v>
      </c>
    </row>
    <row r="128" spans="1:8" ht="15" customHeight="1" x14ac:dyDescent="0.25">
      <c r="A128" s="7"/>
      <c r="B128" s="8">
        <v>1202</v>
      </c>
      <c r="C128" s="1" t="s">
        <v>295</v>
      </c>
      <c r="D128" s="1">
        <f t="shared" si="6"/>
        <v>1202</v>
      </c>
      <c r="E128" s="1" t="s">
        <v>296</v>
      </c>
      <c r="F128" s="8" t="str">
        <f t="shared" si="7"/>
        <v>MK</v>
      </c>
      <c r="G128" s="2">
        <v>132.1</v>
      </c>
      <c r="H128" s="2">
        <f>SUMIF(RouteID_Conversion!$J$2:$J$999,AM_BoardingByRoute!$D$3:$D$426,RouteID_Conversion!$K$2:$K$999)</f>
        <v>402.11991214752038</v>
      </c>
    </row>
    <row r="129" spans="1:8" ht="15" customHeight="1" x14ac:dyDescent="0.25">
      <c r="A129" s="7"/>
      <c r="B129" s="8">
        <v>1203</v>
      </c>
      <c r="C129" s="1" t="s">
        <v>297</v>
      </c>
      <c r="D129" s="1">
        <f t="shared" si="6"/>
        <v>1203</v>
      </c>
      <c r="E129" s="1" t="s">
        <v>298</v>
      </c>
      <c r="F129" s="8" t="str">
        <f t="shared" si="7"/>
        <v>MK</v>
      </c>
      <c r="G129" s="2">
        <v>24.1</v>
      </c>
      <c r="H129" s="2">
        <f>SUMIF(RouteID_Conversion!$J$2:$J$999,AM_BoardingByRoute!$D$3:$D$426,RouteID_Conversion!$K$2:$K$999)</f>
        <v>23.938461720943419</v>
      </c>
    </row>
    <row r="130" spans="1:8" ht="15" customHeight="1" x14ac:dyDescent="0.25">
      <c r="A130" s="7"/>
      <c r="B130" s="8">
        <v>1204</v>
      </c>
      <c r="C130" s="1" t="s">
        <v>299</v>
      </c>
      <c r="D130" s="1">
        <f t="shared" ref="D130:D192" si="8">MID(C130,3,3)+1000</f>
        <v>1204</v>
      </c>
      <c r="E130" s="1" t="s">
        <v>300</v>
      </c>
      <c r="F130" s="8" t="str">
        <f t="shared" ref="F130:F192" si="9">MID(C130,1,2)</f>
        <v>MK</v>
      </c>
      <c r="G130" s="2">
        <v>6.5</v>
      </c>
      <c r="H130" s="2">
        <f>SUMIF(RouteID_Conversion!$J$2:$J$999,AM_BoardingByRoute!$D$3:$D$426,RouteID_Conversion!$K$2:$K$999)</f>
        <v>97.264587402343579</v>
      </c>
    </row>
    <row r="131" spans="1:8" ht="15" customHeight="1" x14ac:dyDescent="0.25">
      <c r="A131" s="7"/>
      <c r="B131" s="8">
        <v>1205</v>
      </c>
      <c r="C131" s="1" t="s">
        <v>301</v>
      </c>
      <c r="D131" s="1">
        <f t="shared" si="8"/>
        <v>1205</v>
      </c>
      <c r="E131" s="1" t="s">
        <v>302</v>
      </c>
      <c r="F131" s="8" t="str">
        <f t="shared" si="9"/>
        <v>MK</v>
      </c>
      <c r="G131" s="2">
        <v>87.5</v>
      </c>
      <c r="H131" s="2">
        <f>SUMIF(RouteID_Conversion!$J$2:$J$999,AM_BoardingByRoute!$D$3:$D$426,RouteID_Conversion!$K$2:$K$999)</f>
        <v>167.81388854980437</v>
      </c>
    </row>
    <row r="132" spans="1:8" ht="15" customHeight="1" x14ac:dyDescent="0.25">
      <c r="A132" s="7"/>
      <c r="B132" s="8">
        <v>1206</v>
      </c>
      <c r="C132" s="1" t="s">
        <v>303</v>
      </c>
      <c r="D132" s="1">
        <f t="shared" si="8"/>
        <v>1206</v>
      </c>
      <c r="E132" s="1" t="s">
        <v>304</v>
      </c>
      <c r="F132" s="8" t="str">
        <f t="shared" si="9"/>
        <v>MK</v>
      </c>
      <c r="G132" s="2">
        <v>36.5</v>
      </c>
      <c r="H132" s="2">
        <f>SUMIF(RouteID_Conversion!$J$2:$J$999,AM_BoardingByRoute!$D$3:$D$426,RouteID_Conversion!$K$2:$K$999)</f>
        <v>4.2067078351974398</v>
      </c>
    </row>
    <row r="133" spans="1:8" ht="15" customHeight="1" x14ac:dyDescent="0.25">
      <c r="A133" s="7"/>
      <c r="B133" s="8">
        <v>1207</v>
      </c>
      <c r="C133" s="1" t="s">
        <v>305</v>
      </c>
      <c r="D133" s="1">
        <f t="shared" si="8"/>
        <v>1207</v>
      </c>
      <c r="E133" s="1" t="s">
        <v>306</v>
      </c>
      <c r="F133" s="8" t="str">
        <f t="shared" si="9"/>
        <v>MK</v>
      </c>
      <c r="G133" s="2">
        <v>38.4</v>
      </c>
      <c r="H133" s="2">
        <f>SUMIF(RouteID_Conversion!$J$2:$J$999,AM_BoardingByRoute!$D$3:$D$426,RouteID_Conversion!$K$2:$K$999)</f>
        <v>14.836272239685051</v>
      </c>
    </row>
    <row r="134" spans="1:8" ht="15" customHeight="1" x14ac:dyDescent="0.25">
      <c r="A134" s="7"/>
      <c r="B134" s="8">
        <v>1208</v>
      </c>
      <c r="C134" s="1" t="s">
        <v>307</v>
      </c>
      <c r="D134" s="1">
        <f t="shared" si="8"/>
        <v>1208</v>
      </c>
      <c r="E134" s="1" t="s">
        <v>308</v>
      </c>
      <c r="F134" s="8" t="str">
        <f t="shared" si="9"/>
        <v>MK</v>
      </c>
      <c r="G134" s="2">
        <v>36.700000000000003</v>
      </c>
      <c r="H134" s="2">
        <f>SUMIF(RouteID_Conversion!$J$2:$J$999,AM_BoardingByRoute!$D$3:$D$426,RouteID_Conversion!$K$2:$K$999)</f>
        <v>14.29509210586547</v>
      </c>
    </row>
    <row r="135" spans="1:8" ht="15" customHeight="1" x14ac:dyDescent="0.25">
      <c r="A135" s="7"/>
      <c r="B135" s="8">
        <v>1209</v>
      </c>
      <c r="C135" s="1" t="s">
        <v>309</v>
      </c>
      <c r="D135" s="1">
        <f t="shared" si="8"/>
        <v>1209</v>
      </c>
      <c r="E135" s="1" t="s">
        <v>310</v>
      </c>
      <c r="F135" s="8" t="str">
        <f t="shared" si="9"/>
        <v>MK</v>
      </c>
      <c r="G135" s="2">
        <v>53</v>
      </c>
      <c r="H135" s="2">
        <f>SUMIF(RouteID_Conversion!$J$2:$J$999,AM_BoardingByRoute!$D$3:$D$426,RouteID_Conversion!$K$2:$K$999)</f>
        <v>63.933762073516647</v>
      </c>
    </row>
    <row r="136" spans="1:8" ht="15" customHeight="1" x14ac:dyDescent="0.25">
      <c r="A136" s="7"/>
      <c r="B136" s="8">
        <v>1210</v>
      </c>
      <c r="C136" s="1" t="s">
        <v>311</v>
      </c>
      <c r="D136" s="1">
        <f t="shared" si="8"/>
        <v>1210</v>
      </c>
      <c r="E136" s="1" t="s">
        <v>312</v>
      </c>
      <c r="F136" s="8" t="str">
        <f t="shared" si="9"/>
        <v>MK</v>
      </c>
      <c r="G136" s="2">
        <v>85.1</v>
      </c>
      <c r="H136" s="2">
        <f>SUMIF(RouteID_Conversion!$J$2:$J$999,AM_BoardingByRoute!$D$3:$D$426,RouteID_Conversion!$K$2:$K$999)</f>
        <v>138.5481529235839</v>
      </c>
    </row>
    <row r="137" spans="1:8" ht="15" customHeight="1" x14ac:dyDescent="0.25">
      <c r="A137" s="7"/>
      <c r="B137" s="8">
        <v>1211</v>
      </c>
      <c r="C137" s="1" t="s">
        <v>313</v>
      </c>
      <c r="D137" s="1">
        <f t="shared" si="8"/>
        <v>1211</v>
      </c>
      <c r="E137" s="1" t="s">
        <v>314</v>
      </c>
      <c r="F137" s="8" t="str">
        <f t="shared" si="9"/>
        <v>MK</v>
      </c>
      <c r="G137" s="2">
        <v>113</v>
      </c>
      <c r="H137" s="2">
        <f>SUMIF(RouteID_Conversion!$J$2:$J$999,AM_BoardingByRoute!$D$3:$D$426,RouteID_Conversion!$K$2:$K$999)</f>
        <v>97.461021423339716</v>
      </c>
    </row>
    <row r="138" spans="1:8" ht="15" customHeight="1" x14ac:dyDescent="0.25">
      <c r="A138" s="7"/>
      <c r="B138" s="8">
        <v>1212</v>
      </c>
      <c r="C138" s="1" t="s">
        <v>315</v>
      </c>
      <c r="D138" s="1">
        <f t="shared" si="8"/>
        <v>1212</v>
      </c>
      <c r="E138" s="1" t="s">
        <v>316</v>
      </c>
      <c r="F138" s="8" t="str">
        <f t="shared" si="9"/>
        <v>MK</v>
      </c>
      <c r="G138" s="2">
        <v>659.5</v>
      </c>
      <c r="H138" s="2">
        <f>SUMIF(RouteID_Conversion!$J$2:$J$999,AM_BoardingByRoute!$D$3:$D$426,RouteID_Conversion!$K$2:$K$999)</f>
        <v>779.81819152831827</v>
      </c>
    </row>
    <row r="139" spans="1:8" ht="15" customHeight="1" x14ac:dyDescent="0.25">
      <c r="A139" s="7"/>
      <c r="B139" s="8">
        <v>1214</v>
      </c>
      <c r="C139" s="1" t="s">
        <v>1572</v>
      </c>
      <c r="D139" s="1">
        <f t="shared" si="8"/>
        <v>1214</v>
      </c>
      <c r="E139" s="1" t="s">
        <v>1841</v>
      </c>
      <c r="F139" s="8" t="str">
        <f t="shared" si="9"/>
        <v>MK</v>
      </c>
      <c r="G139" s="2">
        <v>318</v>
      </c>
      <c r="H139" s="2">
        <f>SUMIF(RouteID_Conversion!$J$2:$J$999,AM_BoardingByRoute!$D$3:$D$426,RouteID_Conversion!$K$2:$K$999)</f>
        <v>395.6124343872055</v>
      </c>
    </row>
    <row r="140" spans="1:8" ht="15" customHeight="1" x14ac:dyDescent="0.25">
      <c r="A140" s="7"/>
      <c r="B140" s="8">
        <v>1215</v>
      </c>
      <c r="C140" s="1" t="s">
        <v>1574</v>
      </c>
      <c r="D140" s="1">
        <f t="shared" si="8"/>
        <v>1215</v>
      </c>
      <c r="E140" s="1" t="s">
        <v>1842</v>
      </c>
      <c r="F140" s="8" t="str">
        <f t="shared" si="9"/>
        <v>MK</v>
      </c>
      <c r="G140" s="2">
        <v>135.5</v>
      </c>
      <c r="H140" s="2">
        <f>SUMIF(RouteID_Conversion!$J$2:$J$999,AM_BoardingByRoute!$D$3:$D$426,RouteID_Conversion!$K$2:$K$999)</f>
        <v>197.2023925781248</v>
      </c>
    </row>
    <row r="141" spans="1:8" ht="15" customHeight="1" x14ac:dyDescent="0.25">
      <c r="A141" s="7"/>
      <c r="B141" s="8">
        <v>1216</v>
      </c>
      <c r="C141" s="1" t="s">
        <v>1576</v>
      </c>
      <c r="D141" s="1">
        <f t="shared" si="8"/>
        <v>1216</v>
      </c>
      <c r="E141" s="1" t="s">
        <v>1843</v>
      </c>
      <c r="F141" s="8" t="str">
        <f t="shared" si="9"/>
        <v>MK</v>
      </c>
      <c r="G141" s="2">
        <v>287.89999999999998</v>
      </c>
      <c r="H141" s="2">
        <f>SUMIF(RouteID_Conversion!$J$2:$J$999,AM_BoardingByRoute!$D$3:$D$426,RouteID_Conversion!$K$2:$K$999)</f>
        <v>368.22260284423686</v>
      </c>
    </row>
    <row r="142" spans="1:8" ht="15" customHeight="1" x14ac:dyDescent="0.25">
      <c r="A142" s="7"/>
      <c r="B142" s="8">
        <v>1217</v>
      </c>
      <c r="C142" s="1" t="s">
        <v>1578</v>
      </c>
      <c r="D142" s="1">
        <f t="shared" si="8"/>
        <v>1217</v>
      </c>
      <c r="E142" s="1" t="s">
        <v>1844</v>
      </c>
      <c r="F142" s="8" t="str">
        <f t="shared" si="9"/>
        <v>MK</v>
      </c>
      <c r="G142" s="2">
        <v>142.6</v>
      </c>
      <c r="H142" s="2">
        <f>SUMIF(RouteID_Conversion!$J$2:$J$999,AM_BoardingByRoute!$D$3:$D$426,RouteID_Conversion!$K$2:$K$999)</f>
        <v>211.50228500366188</v>
      </c>
    </row>
    <row r="143" spans="1:8" ht="15" customHeight="1" x14ac:dyDescent="0.25">
      <c r="A143" s="7"/>
      <c r="B143" s="8">
        <v>1218</v>
      </c>
      <c r="C143" s="1" t="s">
        <v>1592</v>
      </c>
      <c r="D143" s="1">
        <f t="shared" si="8"/>
        <v>1218</v>
      </c>
      <c r="E143" s="1" t="s">
        <v>1845</v>
      </c>
      <c r="F143" s="8" t="str">
        <f t="shared" si="9"/>
        <v>MK</v>
      </c>
      <c r="G143" s="2">
        <v>701.7</v>
      </c>
      <c r="H143" s="2">
        <f>SUMIF(RouteID_Conversion!$J$2:$J$999,AM_BoardingByRoute!$D$3:$D$426,RouteID_Conversion!$K$2:$K$999)</f>
        <v>424.67998504638609</v>
      </c>
    </row>
    <row r="144" spans="1:8" ht="15" customHeight="1" x14ac:dyDescent="0.25">
      <c r="A144" s="7"/>
      <c r="B144" s="8">
        <v>1219</v>
      </c>
      <c r="C144" s="1" t="s">
        <v>736</v>
      </c>
      <c r="D144" s="1">
        <f t="shared" si="8"/>
        <v>1219</v>
      </c>
      <c r="E144" s="1" t="s">
        <v>1846</v>
      </c>
      <c r="F144" s="8" t="str">
        <f t="shared" si="9"/>
        <v>MK</v>
      </c>
      <c r="G144" s="2">
        <v>57.3</v>
      </c>
      <c r="H144" s="2">
        <f>SUMIF(RouteID_Conversion!$J$2:$J$999,AM_BoardingByRoute!$D$3:$D$426,RouteID_Conversion!$K$2:$K$999)</f>
        <v>95.975276947021086</v>
      </c>
    </row>
    <row r="145" spans="1:8" ht="15" customHeight="1" x14ac:dyDescent="0.25">
      <c r="A145" s="7"/>
      <c r="B145" s="8">
        <v>1221</v>
      </c>
      <c r="C145" s="1" t="s">
        <v>996</v>
      </c>
      <c r="D145" s="1">
        <f t="shared" si="8"/>
        <v>1221</v>
      </c>
      <c r="E145" s="1" t="s">
        <v>1847</v>
      </c>
      <c r="F145" s="8" t="str">
        <f t="shared" si="9"/>
        <v>MK</v>
      </c>
      <c r="G145" s="2">
        <v>234.1</v>
      </c>
      <c r="H145" s="2">
        <f>SUMIF(RouteID_Conversion!$J$2:$J$999,AM_BoardingByRoute!$D$3:$D$426,RouteID_Conversion!$K$2:$K$999)</f>
        <v>458.69759368896428</v>
      </c>
    </row>
    <row r="146" spans="1:8" ht="15" customHeight="1" x14ac:dyDescent="0.25">
      <c r="A146" s="7"/>
      <c r="B146" s="8">
        <v>1222</v>
      </c>
      <c r="C146" s="1" t="s">
        <v>1755</v>
      </c>
      <c r="D146" s="1">
        <f t="shared" si="8"/>
        <v>1222</v>
      </c>
      <c r="E146" s="1" t="s">
        <v>1848</v>
      </c>
      <c r="F146" s="8" t="str">
        <f t="shared" si="9"/>
        <v>MK</v>
      </c>
      <c r="G146" s="2">
        <v>124.5</v>
      </c>
      <c r="H146" s="2">
        <f>SUMIF(RouteID_Conversion!$J$2:$J$999,AM_BoardingByRoute!$D$3:$D$426,RouteID_Conversion!$K$2:$K$999)</f>
        <v>306.12429046630831</v>
      </c>
    </row>
    <row r="147" spans="1:8" ht="15" customHeight="1" x14ac:dyDescent="0.25">
      <c r="A147" s="7"/>
      <c r="B147" s="8">
        <v>1225</v>
      </c>
      <c r="C147" s="1" t="s">
        <v>1580</v>
      </c>
      <c r="D147" s="1">
        <f t="shared" si="8"/>
        <v>1225</v>
      </c>
      <c r="E147" s="1" t="s">
        <v>1849</v>
      </c>
      <c r="F147" s="8" t="str">
        <f t="shared" si="9"/>
        <v>MK</v>
      </c>
      <c r="G147" s="2">
        <v>89.4</v>
      </c>
      <c r="H147" s="2">
        <f>SUMIF(RouteID_Conversion!$J$2:$J$999,AM_BoardingByRoute!$D$3:$D$426,RouteID_Conversion!$K$2:$K$999)</f>
        <v>128.49705123901339</v>
      </c>
    </row>
    <row r="148" spans="1:8" ht="15" customHeight="1" x14ac:dyDescent="0.25">
      <c r="A148" s="7"/>
      <c r="B148" s="8">
        <v>1229</v>
      </c>
      <c r="C148" s="1" t="s">
        <v>1583</v>
      </c>
      <c r="D148" s="1">
        <f t="shared" si="8"/>
        <v>1229</v>
      </c>
      <c r="E148" s="1" t="s">
        <v>1850</v>
      </c>
      <c r="F148" s="8" t="str">
        <f t="shared" si="9"/>
        <v>MK</v>
      </c>
      <c r="G148" s="2">
        <v>160.30000000000001</v>
      </c>
      <c r="H148" s="2">
        <f>SUMIF(RouteID_Conversion!$J$2:$J$999,AM_BoardingByRoute!$D$3:$D$426,RouteID_Conversion!$K$2:$K$999)</f>
        <v>203.19301986694319</v>
      </c>
    </row>
    <row r="149" spans="1:8" ht="15" customHeight="1" x14ac:dyDescent="0.25">
      <c r="A149" s="7"/>
      <c r="B149" s="8">
        <v>1230</v>
      </c>
      <c r="C149" s="1" t="s">
        <v>401</v>
      </c>
      <c r="D149" s="1">
        <f t="shared" si="8"/>
        <v>1230</v>
      </c>
      <c r="E149" s="1" t="s">
        <v>1851</v>
      </c>
      <c r="F149" s="8" t="str">
        <f t="shared" si="9"/>
        <v>MK</v>
      </c>
      <c r="G149" s="2">
        <v>428.6</v>
      </c>
      <c r="H149" s="2">
        <f>SUMIF(RouteID_Conversion!$J$2:$J$999,AM_BoardingByRoute!$D$3:$D$426,RouteID_Conversion!$K$2:$K$999)</f>
        <v>1269.2634484171826</v>
      </c>
    </row>
    <row r="150" spans="1:8" ht="15" customHeight="1" x14ac:dyDescent="0.25">
      <c r="A150" s="7"/>
      <c r="B150" s="8">
        <v>1232</v>
      </c>
      <c r="C150" s="1" t="s">
        <v>1535</v>
      </c>
      <c r="D150" s="1">
        <f t="shared" si="8"/>
        <v>1232</v>
      </c>
      <c r="E150" s="1" t="s">
        <v>1852</v>
      </c>
      <c r="F150" s="8" t="str">
        <f t="shared" si="9"/>
        <v>MK</v>
      </c>
      <c r="G150" s="2">
        <v>135.19999999999999</v>
      </c>
      <c r="H150" s="2">
        <f>SUMIF(RouteID_Conversion!$J$2:$J$999,AM_BoardingByRoute!$D$3:$D$426,RouteID_Conversion!$K$2:$K$999)</f>
        <v>230.26617240905745</v>
      </c>
    </row>
    <row r="151" spans="1:8" ht="15" customHeight="1" x14ac:dyDescent="0.25">
      <c r="A151" s="7"/>
      <c r="B151" s="8">
        <v>1233</v>
      </c>
      <c r="C151" s="1" t="s">
        <v>1760</v>
      </c>
      <c r="D151" s="1">
        <f t="shared" si="8"/>
        <v>1233</v>
      </c>
      <c r="E151" s="1" t="s">
        <v>1853</v>
      </c>
      <c r="F151" s="8" t="str">
        <f t="shared" si="9"/>
        <v>MK</v>
      </c>
      <c r="G151" s="2">
        <v>164.5</v>
      </c>
      <c r="H151" s="2">
        <f>SUMIF(RouteID_Conversion!$J$2:$J$999,AM_BoardingByRoute!$D$3:$D$426,RouteID_Conversion!$K$2:$K$999)</f>
        <v>375.48693275451649</v>
      </c>
    </row>
    <row r="152" spans="1:8" ht="15" customHeight="1" x14ac:dyDescent="0.25">
      <c r="A152" s="7"/>
      <c r="B152" s="8">
        <v>1234</v>
      </c>
      <c r="C152" s="1" t="s">
        <v>1015</v>
      </c>
      <c r="D152" s="1">
        <f t="shared" si="8"/>
        <v>1234</v>
      </c>
      <c r="E152" s="1" t="s">
        <v>1854</v>
      </c>
      <c r="F152" s="8" t="str">
        <f t="shared" si="9"/>
        <v>MK</v>
      </c>
      <c r="G152" s="2">
        <v>279.39999999999998</v>
      </c>
      <c r="H152" s="2">
        <f>SUMIF(RouteID_Conversion!$J$2:$J$999,AM_BoardingByRoute!$D$3:$D$426,RouteID_Conversion!$K$2:$K$999)</f>
        <v>947.81696510314805</v>
      </c>
    </row>
    <row r="153" spans="1:8" ht="15" customHeight="1" x14ac:dyDescent="0.25">
      <c r="A153" s="7"/>
      <c r="B153" s="8">
        <v>1236</v>
      </c>
      <c r="C153" s="1" t="s">
        <v>542</v>
      </c>
      <c r="D153" s="1">
        <f t="shared" si="8"/>
        <v>1236</v>
      </c>
      <c r="E153" s="1" t="s">
        <v>1855</v>
      </c>
      <c r="F153" s="8" t="str">
        <f t="shared" si="9"/>
        <v>MK</v>
      </c>
      <c r="G153" s="2">
        <v>98.7</v>
      </c>
      <c r="H153" s="2">
        <f>SUMIF(RouteID_Conversion!$J$2:$J$999,AM_BoardingByRoute!$D$3:$D$426,RouteID_Conversion!$K$2:$K$999)</f>
        <v>205.58260540664173</v>
      </c>
    </row>
    <row r="154" spans="1:8" ht="15" customHeight="1" x14ac:dyDescent="0.25">
      <c r="A154" s="7"/>
      <c r="B154" s="8"/>
      <c r="C154" s="1" t="s">
        <v>1856</v>
      </c>
      <c r="D154" s="1">
        <f t="shared" si="8"/>
        <v>1237</v>
      </c>
      <c r="E154" s="1" t="s">
        <v>1857</v>
      </c>
      <c r="F154" s="8" t="str">
        <f t="shared" si="9"/>
        <v>MK</v>
      </c>
      <c r="G154" s="2">
        <v>43.7</v>
      </c>
      <c r="H154" s="2">
        <f>SUMIF(RouteID_Conversion!$J$2:$J$999,AM_BoardingByRoute!$D$3:$D$426,RouteID_Conversion!$K$2:$K$999)</f>
        <v>0</v>
      </c>
    </row>
    <row r="155" spans="1:8" ht="15" customHeight="1" x14ac:dyDescent="0.25">
      <c r="A155" s="7"/>
      <c r="B155" s="8">
        <v>1238</v>
      </c>
      <c r="C155" s="1" t="s">
        <v>1013</v>
      </c>
      <c r="D155" s="1">
        <f t="shared" si="8"/>
        <v>1238</v>
      </c>
      <c r="E155" s="1" t="s">
        <v>1858</v>
      </c>
      <c r="F155" s="8" t="str">
        <f t="shared" si="9"/>
        <v>MK</v>
      </c>
      <c r="G155" s="2">
        <v>172.9</v>
      </c>
      <c r="H155" s="2">
        <f>SUMIF(RouteID_Conversion!$J$2:$J$999,AM_BoardingByRoute!$D$3:$D$426,RouteID_Conversion!$K$2:$K$999)</f>
        <v>354.36428260803189</v>
      </c>
    </row>
    <row r="156" spans="1:8" ht="15" customHeight="1" x14ac:dyDescent="0.25">
      <c r="A156" s="7"/>
      <c r="B156" s="8">
        <v>1240</v>
      </c>
      <c r="C156" s="1" t="s">
        <v>1763</v>
      </c>
      <c r="D156" s="1">
        <f t="shared" si="8"/>
        <v>1240</v>
      </c>
      <c r="E156" s="1" t="s">
        <v>1859</v>
      </c>
      <c r="F156" s="8" t="str">
        <f t="shared" si="9"/>
        <v>MK</v>
      </c>
      <c r="G156" s="2">
        <v>450.1</v>
      </c>
      <c r="H156" s="2">
        <f>SUMIF(RouteID_Conversion!$J$2:$J$999,AM_BoardingByRoute!$D$3:$D$426,RouteID_Conversion!$K$2:$K$999)</f>
        <v>823.77969741821107</v>
      </c>
    </row>
    <row r="157" spans="1:8" ht="15" customHeight="1" x14ac:dyDescent="0.25">
      <c r="A157" s="7"/>
      <c r="B157" s="8">
        <v>1242</v>
      </c>
      <c r="C157" s="1" t="s">
        <v>1640</v>
      </c>
      <c r="D157" s="1">
        <f t="shared" si="8"/>
        <v>1242</v>
      </c>
      <c r="E157" s="1" t="s">
        <v>1860</v>
      </c>
      <c r="F157" s="8" t="str">
        <f t="shared" si="9"/>
        <v>MK</v>
      </c>
      <c r="G157" s="2">
        <v>229.5</v>
      </c>
      <c r="H157" s="2">
        <f>SUMIF(RouteID_Conversion!$J$2:$J$999,AM_BoardingByRoute!$D$3:$D$426,RouteID_Conversion!$K$2:$K$999)</f>
        <v>506.06826782226301</v>
      </c>
    </row>
    <row r="158" spans="1:8" ht="15" customHeight="1" x14ac:dyDescent="0.25">
      <c r="A158" s="7"/>
      <c r="B158" s="8">
        <v>1243</v>
      </c>
      <c r="C158" s="1" t="s">
        <v>1826</v>
      </c>
      <c r="D158" s="1">
        <f t="shared" si="8"/>
        <v>1243</v>
      </c>
      <c r="E158" s="1" t="s">
        <v>1861</v>
      </c>
      <c r="F158" s="8" t="str">
        <f t="shared" si="9"/>
        <v>MK</v>
      </c>
      <c r="G158" s="2">
        <v>114.6</v>
      </c>
      <c r="H158" s="2">
        <f>SUMIF(RouteID_Conversion!$J$2:$J$999,AM_BoardingByRoute!$D$3:$D$426,RouteID_Conversion!$K$2:$K$999)</f>
        <v>136.39451980590812</v>
      </c>
    </row>
    <row r="159" spans="1:8" ht="15" customHeight="1" x14ac:dyDescent="0.25">
      <c r="A159" s="7"/>
      <c r="B159" s="8">
        <v>1244</v>
      </c>
      <c r="C159" s="1" t="s">
        <v>538</v>
      </c>
      <c r="D159" s="1">
        <f t="shared" si="8"/>
        <v>1244</v>
      </c>
      <c r="E159" s="1" t="s">
        <v>1862</v>
      </c>
      <c r="F159" s="8" t="str">
        <f t="shared" si="9"/>
        <v>MK</v>
      </c>
      <c r="G159" s="2">
        <v>120.3</v>
      </c>
      <c r="H159" s="2">
        <f>SUMIF(RouteID_Conversion!$J$2:$J$999,AM_BoardingByRoute!$D$3:$D$426,RouteID_Conversion!$K$2:$K$999)</f>
        <v>178.25625228881822</v>
      </c>
    </row>
    <row r="160" spans="1:8" ht="15" customHeight="1" x14ac:dyDescent="0.25">
      <c r="A160" s="7"/>
      <c r="B160" s="8">
        <v>1245</v>
      </c>
      <c r="C160" s="1" t="s">
        <v>1140</v>
      </c>
      <c r="D160" s="1">
        <f t="shared" si="8"/>
        <v>1245</v>
      </c>
      <c r="E160" s="1" t="s">
        <v>1863</v>
      </c>
      <c r="F160" s="8" t="str">
        <f t="shared" si="9"/>
        <v>MK</v>
      </c>
      <c r="G160" s="2">
        <v>478.2</v>
      </c>
      <c r="H160" s="2">
        <f>SUMIF(RouteID_Conversion!$J$2:$J$999,AM_BoardingByRoute!$D$3:$D$426,RouteID_Conversion!$K$2:$K$999)</f>
        <v>1139.8458147048932</v>
      </c>
    </row>
    <row r="161" spans="1:8" ht="15" customHeight="1" x14ac:dyDescent="0.25">
      <c r="A161" s="7"/>
      <c r="B161" s="8">
        <v>1247</v>
      </c>
      <c r="C161" s="1" t="s">
        <v>1428</v>
      </c>
      <c r="D161" s="1">
        <f t="shared" si="8"/>
        <v>1247</v>
      </c>
      <c r="E161" s="1" t="s">
        <v>1864</v>
      </c>
      <c r="F161" s="8" t="str">
        <f t="shared" si="9"/>
        <v>MK</v>
      </c>
      <c r="G161" s="2">
        <v>27.7</v>
      </c>
      <c r="H161" s="2">
        <f>SUMIF(RouteID_Conversion!$J$2:$J$999,AM_BoardingByRoute!$D$3:$D$426,RouteID_Conversion!$K$2:$K$999)</f>
        <v>64.772436141967603</v>
      </c>
    </row>
    <row r="162" spans="1:8" ht="15" customHeight="1" x14ac:dyDescent="0.25">
      <c r="A162" s="7"/>
      <c r="B162" s="8">
        <v>1248</v>
      </c>
      <c r="C162" s="1" t="s">
        <v>999</v>
      </c>
      <c r="D162" s="1">
        <f t="shared" si="8"/>
        <v>1248</v>
      </c>
      <c r="E162" s="1" t="s">
        <v>1865</v>
      </c>
      <c r="F162" s="8" t="str">
        <f t="shared" si="9"/>
        <v>MK</v>
      </c>
      <c r="G162" s="2">
        <v>137.80000000000001</v>
      </c>
      <c r="H162" s="2">
        <f>SUMIF(RouteID_Conversion!$J$2:$J$999,AM_BoardingByRoute!$D$3:$D$426,RouteID_Conversion!$K$2:$K$999)</f>
        <v>273.83378601074196</v>
      </c>
    </row>
    <row r="163" spans="1:8" ht="15" customHeight="1" x14ac:dyDescent="0.25">
      <c r="A163" s="7"/>
      <c r="B163" s="8">
        <v>1249</v>
      </c>
      <c r="C163" s="1" t="s">
        <v>1768</v>
      </c>
      <c r="D163" s="1">
        <f t="shared" si="8"/>
        <v>1249</v>
      </c>
      <c r="E163" s="1" t="s">
        <v>1866</v>
      </c>
      <c r="F163" s="8" t="str">
        <f t="shared" si="9"/>
        <v>MK</v>
      </c>
      <c r="G163" s="2">
        <v>121.3</v>
      </c>
      <c r="H163" s="2">
        <f>SUMIF(RouteID_Conversion!$J$2:$J$999,AM_BoardingByRoute!$D$3:$D$426,RouteID_Conversion!$K$2:$K$999)</f>
        <v>860.56235504150243</v>
      </c>
    </row>
    <row r="164" spans="1:8" ht="15" customHeight="1" x14ac:dyDescent="0.25">
      <c r="A164" s="7"/>
      <c r="B164" s="8">
        <v>1250</v>
      </c>
      <c r="C164" s="1" t="s">
        <v>1539</v>
      </c>
      <c r="D164" s="1">
        <f t="shared" si="8"/>
        <v>1250</v>
      </c>
      <c r="E164" s="1" t="s">
        <v>1867</v>
      </c>
      <c r="F164" s="8" t="str">
        <f t="shared" si="9"/>
        <v>MK</v>
      </c>
      <c r="G164" s="2">
        <v>114.5</v>
      </c>
      <c r="H164" s="2">
        <f>SUMIF(RouteID_Conversion!$J$2:$J$999,AM_BoardingByRoute!$D$3:$D$426,RouteID_Conversion!$K$2:$K$999)</f>
        <v>149.30329132080061</v>
      </c>
    </row>
    <row r="165" spans="1:8" ht="15" customHeight="1" x14ac:dyDescent="0.25">
      <c r="A165" s="7"/>
      <c r="B165" s="8">
        <v>1251</v>
      </c>
      <c r="C165" s="1" t="s">
        <v>546</v>
      </c>
      <c r="D165" s="1">
        <f t="shared" si="8"/>
        <v>1251</v>
      </c>
      <c r="E165" s="1" t="s">
        <v>1868</v>
      </c>
      <c r="F165" s="8" t="str">
        <f t="shared" si="9"/>
        <v>MK</v>
      </c>
      <c r="G165" s="2">
        <v>73</v>
      </c>
      <c r="H165" s="2">
        <f>SUMIF(RouteID_Conversion!$J$2:$J$999,AM_BoardingByRoute!$D$3:$D$426,RouteID_Conversion!$K$2:$K$999)</f>
        <v>180.98930239677401</v>
      </c>
    </row>
    <row r="166" spans="1:8" ht="15" customHeight="1" x14ac:dyDescent="0.25">
      <c r="A166" s="7"/>
      <c r="B166" s="8">
        <v>1252</v>
      </c>
      <c r="C166" s="1" t="s">
        <v>1541</v>
      </c>
      <c r="D166" s="1">
        <f t="shared" si="8"/>
        <v>1252</v>
      </c>
      <c r="E166" s="1" t="s">
        <v>1869</v>
      </c>
      <c r="F166" s="8" t="str">
        <f t="shared" si="9"/>
        <v>MK</v>
      </c>
      <c r="G166" s="2">
        <v>274.5</v>
      </c>
      <c r="H166" s="2">
        <f>SUMIF(RouteID_Conversion!$J$2:$J$999,AM_BoardingByRoute!$D$3:$D$426,RouteID_Conversion!$K$2:$K$999)</f>
        <v>415.0018920898429</v>
      </c>
    </row>
    <row r="167" spans="1:8" ht="15" customHeight="1" x14ac:dyDescent="0.25">
      <c r="A167" s="7"/>
      <c r="B167" s="8">
        <v>1253</v>
      </c>
      <c r="C167" s="1" t="s">
        <v>1774</v>
      </c>
      <c r="D167" s="1">
        <f t="shared" si="8"/>
        <v>1253</v>
      </c>
      <c r="E167" s="1" t="s">
        <v>1870</v>
      </c>
      <c r="F167" s="8" t="str">
        <f t="shared" si="9"/>
        <v>MK</v>
      </c>
      <c r="G167" s="2">
        <v>424.1</v>
      </c>
      <c r="H167" s="2">
        <f>SUMIF(RouteID_Conversion!$J$2:$J$999,AM_BoardingByRoute!$D$3:$D$426,RouteID_Conversion!$K$2:$K$999)</f>
        <v>916.96740150451512</v>
      </c>
    </row>
    <row r="168" spans="1:8" ht="15" customHeight="1" x14ac:dyDescent="0.25">
      <c r="A168" s="7"/>
      <c r="B168" s="8">
        <v>1255</v>
      </c>
      <c r="C168" s="1" t="s">
        <v>1287</v>
      </c>
      <c r="D168" s="1">
        <f t="shared" si="8"/>
        <v>1255</v>
      </c>
      <c r="E168" s="1" t="s">
        <v>1871</v>
      </c>
      <c r="F168" s="8" t="str">
        <f t="shared" si="9"/>
        <v>MK</v>
      </c>
      <c r="G168" s="2">
        <v>786.1</v>
      </c>
      <c r="H168" s="2">
        <f>SUMIF(RouteID_Conversion!$J$2:$J$999,AM_BoardingByRoute!$D$3:$D$426,RouteID_Conversion!$K$2:$K$999)</f>
        <v>1591.6378707885733</v>
      </c>
    </row>
    <row r="169" spans="1:8" ht="15" customHeight="1" x14ac:dyDescent="0.25">
      <c r="A169" s="7"/>
      <c r="B169" s="8">
        <v>1256</v>
      </c>
      <c r="C169" s="1" t="s">
        <v>1644</v>
      </c>
      <c r="D169" s="1">
        <f t="shared" si="8"/>
        <v>1256</v>
      </c>
      <c r="E169" s="1" t="s">
        <v>1872</v>
      </c>
      <c r="F169" s="8" t="str">
        <f t="shared" si="9"/>
        <v>MK</v>
      </c>
      <c r="G169" s="2">
        <v>85.6</v>
      </c>
      <c r="H169" s="2">
        <f>SUMIF(RouteID_Conversion!$J$2:$J$999,AM_BoardingByRoute!$D$3:$D$426,RouteID_Conversion!$K$2:$K$999)</f>
        <v>552.07484436034997</v>
      </c>
    </row>
    <row r="170" spans="1:8" ht="15" customHeight="1" x14ac:dyDescent="0.25">
      <c r="A170" s="7"/>
      <c r="B170" s="8">
        <v>1257</v>
      </c>
      <c r="C170" s="1" t="s">
        <v>1646</v>
      </c>
      <c r="D170" s="1">
        <f t="shared" si="8"/>
        <v>1257</v>
      </c>
      <c r="E170" s="1" t="s">
        <v>1873</v>
      </c>
      <c r="F170" s="8" t="str">
        <f t="shared" si="9"/>
        <v>MK</v>
      </c>
      <c r="G170" s="2">
        <v>182.2</v>
      </c>
      <c r="H170" s="2">
        <f>SUMIF(RouteID_Conversion!$J$2:$J$999,AM_BoardingByRoute!$D$3:$D$426,RouteID_Conversion!$K$2:$K$999)</f>
        <v>347.74482727050679</v>
      </c>
    </row>
    <row r="171" spans="1:8" ht="15" customHeight="1" x14ac:dyDescent="0.25">
      <c r="A171" s="7"/>
      <c r="B171" s="8">
        <v>1260</v>
      </c>
      <c r="C171" s="1" t="s">
        <v>1543</v>
      </c>
      <c r="D171" s="1">
        <f t="shared" si="8"/>
        <v>1260</v>
      </c>
      <c r="E171" s="1" t="s">
        <v>1874</v>
      </c>
      <c r="F171" s="8" t="str">
        <f t="shared" si="9"/>
        <v>MK</v>
      </c>
      <c r="G171" s="2">
        <v>89.8</v>
      </c>
      <c r="H171" s="2">
        <f>SUMIF(RouteID_Conversion!$J$2:$J$999,AM_BoardingByRoute!$D$3:$D$426,RouteID_Conversion!$K$2:$K$999)</f>
        <v>128.4626731872558</v>
      </c>
    </row>
    <row r="172" spans="1:8" ht="15" customHeight="1" x14ac:dyDescent="0.25">
      <c r="A172" s="7"/>
      <c r="B172" s="8">
        <v>1261</v>
      </c>
      <c r="C172" s="1" t="s">
        <v>1780</v>
      </c>
      <c r="D172" s="1">
        <f t="shared" si="8"/>
        <v>1261</v>
      </c>
      <c r="E172" s="1" t="s">
        <v>1875</v>
      </c>
      <c r="F172" s="8" t="str">
        <f t="shared" si="9"/>
        <v>MK</v>
      </c>
      <c r="G172" s="2">
        <v>145.6</v>
      </c>
      <c r="H172" s="2">
        <f>SUMIF(RouteID_Conversion!$J$2:$J$999,AM_BoardingByRoute!$D$3:$D$426,RouteID_Conversion!$K$2:$K$999)</f>
        <v>398.95533752441298</v>
      </c>
    </row>
    <row r="173" spans="1:8" ht="15" customHeight="1" x14ac:dyDescent="0.25">
      <c r="A173" s="7"/>
      <c r="B173" s="8">
        <v>1265</v>
      </c>
      <c r="C173" s="1" t="s">
        <v>1124</v>
      </c>
      <c r="D173" s="1">
        <f t="shared" si="8"/>
        <v>1265</v>
      </c>
      <c r="E173" s="1" t="s">
        <v>1876</v>
      </c>
      <c r="F173" s="8" t="str">
        <f t="shared" si="9"/>
        <v>MK</v>
      </c>
      <c r="G173" s="2">
        <v>182.3</v>
      </c>
      <c r="H173" s="2">
        <f>SUMIF(RouteID_Conversion!$J$2:$J$999,AM_BoardingByRoute!$D$3:$D$426,RouteID_Conversion!$K$2:$K$999)</f>
        <v>222.08379364013661</v>
      </c>
    </row>
    <row r="174" spans="1:8" ht="15" customHeight="1" x14ac:dyDescent="0.25">
      <c r="A174" s="7"/>
      <c r="B174" s="8">
        <v>1266</v>
      </c>
      <c r="C174" s="1" t="s">
        <v>1545</v>
      </c>
      <c r="D174" s="1">
        <f t="shared" si="8"/>
        <v>1266</v>
      </c>
      <c r="E174" s="1" t="s">
        <v>1877</v>
      </c>
      <c r="F174" s="8" t="str">
        <f t="shared" si="9"/>
        <v>MK</v>
      </c>
      <c r="G174" s="2">
        <v>141.1</v>
      </c>
      <c r="H174" s="2">
        <f>SUMIF(RouteID_Conversion!$J$2:$J$999,AM_BoardingByRoute!$D$3:$D$426,RouteID_Conversion!$K$2:$K$999)</f>
        <v>302.16883850097588</v>
      </c>
    </row>
    <row r="175" spans="1:8" ht="15" customHeight="1" x14ac:dyDescent="0.25">
      <c r="A175" s="7"/>
      <c r="B175" s="8">
        <v>1268</v>
      </c>
      <c r="C175" s="1" t="s">
        <v>1547</v>
      </c>
      <c r="D175" s="1">
        <f t="shared" si="8"/>
        <v>1268</v>
      </c>
      <c r="E175" s="1" t="s">
        <v>1878</v>
      </c>
      <c r="F175" s="8" t="str">
        <f t="shared" si="9"/>
        <v>MK</v>
      </c>
      <c r="G175" s="2">
        <v>114.3</v>
      </c>
      <c r="H175" s="2">
        <f>SUMIF(RouteID_Conversion!$J$2:$J$999,AM_BoardingByRoute!$D$3:$D$426,RouteID_Conversion!$K$2:$K$999)</f>
        <v>202.36744689941398</v>
      </c>
    </row>
    <row r="176" spans="1:8" ht="15" customHeight="1" x14ac:dyDescent="0.25">
      <c r="A176" s="7"/>
      <c r="B176" s="8">
        <v>1269</v>
      </c>
      <c r="C176" s="1" t="s">
        <v>704</v>
      </c>
      <c r="D176" s="1">
        <f t="shared" si="8"/>
        <v>1269</v>
      </c>
      <c r="E176" s="1" t="s">
        <v>1879</v>
      </c>
      <c r="F176" s="8" t="str">
        <f t="shared" si="9"/>
        <v>MK</v>
      </c>
      <c r="G176" s="2">
        <v>144.19999999999999</v>
      </c>
      <c r="H176" s="2">
        <f>SUMIF(RouteID_Conversion!$J$2:$J$999,AM_BoardingByRoute!$D$3:$D$426,RouteID_Conversion!$K$2:$K$999)</f>
        <v>390.26621723174964</v>
      </c>
    </row>
    <row r="177" spans="1:8" ht="15" customHeight="1" x14ac:dyDescent="0.25">
      <c r="A177" s="7"/>
      <c r="B177" s="8">
        <v>1271</v>
      </c>
      <c r="C177" s="1" t="s">
        <v>1782</v>
      </c>
      <c r="D177" s="1">
        <f t="shared" si="8"/>
        <v>1271</v>
      </c>
      <c r="E177" s="1" t="s">
        <v>1880</v>
      </c>
      <c r="F177" s="8" t="str">
        <f t="shared" si="9"/>
        <v>MK</v>
      </c>
      <c r="G177" s="2">
        <v>900.7</v>
      </c>
      <c r="H177" s="2">
        <f>SUMIF(RouteID_Conversion!$J$2:$J$999,AM_BoardingByRoute!$D$3:$D$426,RouteID_Conversion!$K$2:$K$999)</f>
        <v>1910.2504882812427</v>
      </c>
    </row>
    <row r="178" spans="1:8" ht="15" customHeight="1" x14ac:dyDescent="0.25">
      <c r="A178" s="7"/>
      <c r="B178" s="8">
        <v>1272</v>
      </c>
      <c r="C178" s="1" t="s">
        <v>1787</v>
      </c>
      <c r="D178" s="1">
        <f t="shared" si="8"/>
        <v>1272</v>
      </c>
      <c r="E178" s="1" t="s">
        <v>1881</v>
      </c>
      <c r="F178" s="8" t="str">
        <f t="shared" si="9"/>
        <v>MK</v>
      </c>
      <c r="G178" s="2">
        <v>186</v>
      </c>
      <c r="H178" s="2">
        <f>SUMIF(RouteID_Conversion!$J$2:$J$999,AM_BoardingByRoute!$D$3:$D$426,RouteID_Conversion!$K$2:$K$999)</f>
        <v>300.29402923583831</v>
      </c>
    </row>
    <row r="179" spans="1:8" ht="15" customHeight="1" x14ac:dyDescent="0.25">
      <c r="A179" s="7"/>
      <c r="B179" s="8">
        <v>1277</v>
      </c>
      <c r="C179" s="1" t="s">
        <v>1549</v>
      </c>
      <c r="D179" s="1">
        <f t="shared" si="8"/>
        <v>1277</v>
      </c>
      <c r="E179" s="1" t="s">
        <v>1882</v>
      </c>
      <c r="F179" s="8" t="str">
        <f t="shared" si="9"/>
        <v>MK</v>
      </c>
      <c r="G179" s="2">
        <v>129.4</v>
      </c>
      <c r="H179" s="2">
        <f>SUMIF(RouteID_Conversion!$J$2:$J$999,AM_BoardingByRoute!$D$3:$D$426,RouteID_Conversion!$K$2:$K$999)</f>
        <v>235.71160125732411</v>
      </c>
    </row>
    <row r="180" spans="1:8" ht="15" customHeight="1" x14ac:dyDescent="0.25">
      <c r="A180" s="7"/>
      <c r="B180" s="8">
        <v>1301</v>
      </c>
      <c r="C180" s="1" t="s">
        <v>1648</v>
      </c>
      <c r="D180" s="1">
        <f t="shared" si="8"/>
        <v>1301</v>
      </c>
      <c r="E180" s="1" t="s">
        <v>1883</v>
      </c>
      <c r="F180" s="8" t="str">
        <f t="shared" si="9"/>
        <v>MK</v>
      </c>
      <c r="G180" s="2">
        <v>749.3</v>
      </c>
      <c r="H180" s="2">
        <f>SUMIF(RouteID_Conversion!$J$2:$J$999,AM_BoardingByRoute!$D$3:$D$426,RouteID_Conversion!$K$2:$K$999)</f>
        <v>587.63031673431249</v>
      </c>
    </row>
    <row r="181" spans="1:8" ht="15" customHeight="1" x14ac:dyDescent="0.25">
      <c r="A181" s="7"/>
      <c r="B181" s="8">
        <v>1303</v>
      </c>
      <c r="C181" s="1" t="s">
        <v>1653</v>
      </c>
      <c r="D181" s="1">
        <f t="shared" si="8"/>
        <v>1303</v>
      </c>
      <c r="E181" s="1" t="s">
        <v>1884</v>
      </c>
      <c r="F181" s="8" t="str">
        <f t="shared" si="9"/>
        <v>MK</v>
      </c>
      <c r="G181" s="2">
        <v>543.70000000000005</v>
      </c>
      <c r="H181" s="2">
        <f>SUMIF(RouteID_Conversion!$J$2:$J$999,AM_BoardingByRoute!$D$3:$D$426,RouteID_Conversion!$K$2:$K$999)</f>
        <v>526.44789886474405</v>
      </c>
    </row>
    <row r="182" spans="1:8" ht="15" customHeight="1" x14ac:dyDescent="0.25">
      <c r="A182" s="7"/>
      <c r="B182" s="8">
        <v>1304</v>
      </c>
      <c r="C182" s="1" t="s">
        <v>1655</v>
      </c>
      <c r="D182" s="1">
        <f t="shared" si="8"/>
        <v>1304</v>
      </c>
      <c r="E182" s="1" t="s">
        <v>1885</v>
      </c>
      <c r="F182" s="8" t="str">
        <f t="shared" si="9"/>
        <v>MK</v>
      </c>
      <c r="G182" s="2">
        <v>196.7</v>
      </c>
      <c r="H182" s="2">
        <f>SUMIF(RouteID_Conversion!$J$2:$J$999,AM_BoardingByRoute!$D$3:$D$426,RouteID_Conversion!$K$2:$K$999)</f>
        <v>161.33499526977531</v>
      </c>
    </row>
    <row r="183" spans="1:8" ht="15" customHeight="1" x14ac:dyDescent="0.25">
      <c r="A183" s="7"/>
      <c r="B183" s="8">
        <v>1306</v>
      </c>
      <c r="C183" s="1" t="s">
        <v>1657</v>
      </c>
      <c r="D183" s="1">
        <f t="shared" si="8"/>
        <v>1306</v>
      </c>
      <c r="E183" s="1" t="s">
        <v>1886</v>
      </c>
      <c r="F183" s="8" t="str">
        <f t="shared" si="9"/>
        <v>MK</v>
      </c>
      <c r="G183" s="2">
        <v>189.7</v>
      </c>
      <c r="H183" s="2">
        <f>SUMIF(RouteID_Conversion!$J$2:$J$999,AM_BoardingByRoute!$D$3:$D$426,RouteID_Conversion!$K$2:$K$999)</f>
        <v>229.0954246520987</v>
      </c>
    </row>
    <row r="184" spans="1:8" ht="15" customHeight="1" x14ac:dyDescent="0.25">
      <c r="A184" s="7"/>
      <c r="B184" s="8">
        <v>1308</v>
      </c>
      <c r="C184" s="1" t="s">
        <v>1659</v>
      </c>
      <c r="D184" s="1">
        <f t="shared" si="8"/>
        <v>1308</v>
      </c>
      <c r="E184" s="1" t="s">
        <v>1887</v>
      </c>
      <c r="F184" s="8" t="str">
        <f t="shared" si="9"/>
        <v>MK</v>
      </c>
      <c r="G184" s="2">
        <v>115.6</v>
      </c>
      <c r="H184" s="2">
        <f>SUMIF(RouteID_Conversion!$J$2:$J$999,AM_BoardingByRoute!$D$3:$D$426,RouteID_Conversion!$K$2:$K$999)</f>
        <v>68.364969253539812</v>
      </c>
    </row>
    <row r="185" spans="1:8" ht="15" customHeight="1" x14ac:dyDescent="0.25">
      <c r="A185" s="7"/>
      <c r="B185" s="8">
        <v>1311</v>
      </c>
      <c r="C185" s="1" t="s">
        <v>1661</v>
      </c>
      <c r="D185" s="1">
        <f t="shared" si="8"/>
        <v>1311</v>
      </c>
      <c r="E185" s="1" t="s">
        <v>1888</v>
      </c>
      <c r="F185" s="8" t="str">
        <f t="shared" si="9"/>
        <v>MK</v>
      </c>
      <c r="G185" s="2">
        <v>275.3</v>
      </c>
      <c r="H185" s="2">
        <f>SUMIF(RouteID_Conversion!$J$2:$J$999,AM_BoardingByRoute!$D$3:$D$426,RouteID_Conversion!$K$2:$K$999)</f>
        <v>437.29940032958922</v>
      </c>
    </row>
    <row r="186" spans="1:8" ht="15" customHeight="1" x14ac:dyDescent="0.25">
      <c r="A186" s="7"/>
      <c r="B186" s="8">
        <v>1312</v>
      </c>
      <c r="C186" s="1" t="s">
        <v>1664</v>
      </c>
      <c r="D186" s="1">
        <f t="shared" si="8"/>
        <v>1312</v>
      </c>
      <c r="E186" s="1" t="s">
        <v>1889</v>
      </c>
      <c r="F186" s="8" t="str">
        <f t="shared" si="9"/>
        <v>MK</v>
      </c>
      <c r="G186" s="2">
        <v>680.9</v>
      </c>
      <c r="H186" s="2">
        <f>SUMIF(RouteID_Conversion!$J$2:$J$999,AM_BoardingByRoute!$D$3:$D$426,RouteID_Conversion!$K$2:$K$999)</f>
        <v>871.25188064574991</v>
      </c>
    </row>
    <row r="187" spans="1:8" ht="15" customHeight="1" x14ac:dyDescent="0.25">
      <c r="A187" s="7"/>
      <c r="B187" s="8">
        <v>1316</v>
      </c>
      <c r="C187" s="1" t="s">
        <v>1290</v>
      </c>
      <c r="D187" s="1">
        <f t="shared" si="8"/>
        <v>1316</v>
      </c>
      <c r="E187" s="1" t="s">
        <v>1890</v>
      </c>
      <c r="F187" s="8" t="str">
        <f t="shared" si="9"/>
        <v>MK</v>
      </c>
      <c r="G187" s="2">
        <v>364.9</v>
      </c>
      <c r="H187" s="2">
        <f>SUMIF(RouteID_Conversion!$J$2:$J$999,AM_BoardingByRoute!$D$3:$D$426,RouteID_Conversion!$K$2:$K$999)</f>
        <v>232.47194671630854</v>
      </c>
    </row>
    <row r="188" spans="1:8" ht="15" customHeight="1" x14ac:dyDescent="0.25">
      <c r="A188" s="7"/>
      <c r="B188" s="8">
        <v>1330</v>
      </c>
      <c r="C188" s="1" t="s">
        <v>567</v>
      </c>
      <c r="D188" s="1">
        <f t="shared" si="8"/>
        <v>1330</v>
      </c>
      <c r="E188" s="1" t="s">
        <v>1891</v>
      </c>
      <c r="F188" s="8" t="str">
        <f t="shared" si="9"/>
        <v>MK</v>
      </c>
      <c r="G188" s="2">
        <v>101.3</v>
      </c>
      <c r="H188" s="2">
        <f>SUMIF(RouteID_Conversion!$J$2:$J$999,AM_BoardingByRoute!$D$3:$D$426,RouteID_Conversion!$K$2:$K$999)</f>
        <v>55.585753679275463</v>
      </c>
    </row>
    <row r="189" spans="1:8" ht="15" customHeight="1" x14ac:dyDescent="0.25">
      <c r="A189" s="7"/>
      <c r="B189" s="8">
        <v>1331</v>
      </c>
      <c r="C189" s="1" t="s">
        <v>571</v>
      </c>
      <c r="D189" s="1">
        <f t="shared" si="8"/>
        <v>1331</v>
      </c>
      <c r="E189" s="1" t="s">
        <v>1892</v>
      </c>
      <c r="F189" s="8" t="str">
        <f t="shared" si="9"/>
        <v>MK</v>
      </c>
      <c r="G189" s="2">
        <v>214.8</v>
      </c>
      <c r="H189" s="2">
        <f>SUMIF(RouteID_Conversion!$J$2:$J$999,AM_BoardingByRoute!$D$3:$D$426,RouteID_Conversion!$K$2:$K$999)</f>
        <v>165.59062838554343</v>
      </c>
    </row>
    <row r="190" spans="1:8" ht="15" customHeight="1" x14ac:dyDescent="0.25">
      <c r="A190" s="7"/>
      <c r="B190" s="8">
        <v>1342</v>
      </c>
      <c r="C190" s="1" t="s">
        <v>1816</v>
      </c>
      <c r="D190" s="1">
        <f t="shared" si="8"/>
        <v>1342</v>
      </c>
      <c r="E190" s="1" t="s">
        <v>1893</v>
      </c>
      <c r="F190" s="8" t="str">
        <f t="shared" si="9"/>
        <v>MK</v>
      </c>
      <c r="G190" s="2">
        <v>128.69999999999999</v>
      </c>
      <c r="H190" s="2">
        <f>SUMIF(RouteID_Conversion!$J$2:$J$999,AM_BoardingByRoute!$D$3:$D$426,RouteID_Conversion!$K$2:$K$999)</f>
        <v>274.77459716796733</v>
      </c>
    </row>
    <row r="191" spans="1:8" ht="15" customHeight="1" x14ac:dyDescent="0.25">
      <c r="A191" s="7"/>
      <c r="B191" s="8">
        <v>1345</v>
      </c>
      <c r="C191" s="1" t="s">
        <v>575</v>
      </c>
      <c r="D191" s="1">
        <f t="shared" si="8"/>
        <v>1345</v>
      </c>
      <c r="E191" s="1" t="s">
        <v>1894</v>
      </c>
      <c r="F191" s="8" t="str">
        <f t="shared" si="9"/>
        <v>MK</v>
      </c>
      <c r="G191" s="2">
        <v>219.7</v>
      </c>
      <c r="H191" s="2">
        <f>SUMIF(RouteID_Conversion!$J$2:$J$999,AM_BoardingByRoute!$D$3:$D$426,RouteID_Conversion!$K$2:$K$999)</f>
        <v>158.35846042633028</v>
      </c>
    </row>
    <row r="192" spans="1:8" ht="15" customHeight="1" x14ac:dyDescent="0.25">
      <c r="A192" s="7"/>
      <c r="B192" s="8">
        <v>1346</v>
      </c>
      <c r="C192" s="1" t="s">
        <v>578</v>
      </c>
      <c r="D192" s="1">
        <f t="shared" si="8"/>
        <v>1346</v>
      </c>
      <c r="E192" s="1" t="s">
        <v>1895</v>
      </c>
      <c r="F192" s="8" t="str">
        <f t="shared" si="9"/>
        <v>MK</v>
      </c>
      <c r="G192" s="2">
        <v>232.8</v>
      </c>
      <c r="H192" s="2">
        <f>SUMIF(RouteID_Conversion!$J$2:$J$999,AM_BoardingByRoute!$D$3:$D$426,RouteID_Conversion!$K$2:$K$999)</f>
        <v>205.89050483703579</v>
      </c>
    </row>
    <row r="193" spans="1:8" ht="15" customHeight="1" x14ac:dyDescent="0.25">
      <c r="A193" s="7"/>
      <c r="B193" s="8">
        <v>1347</v>
      </c>
      <c r="C193" s="1" t="s">
        <v>333</v>
      </c>
      <c r="D193" s="1">
        <f t="shared" ref="D193:D204" si="10">MID(C193,3,3)+1000</f>
        <v>1347</v>
      </c>
      <c r="E193" s="1" t="s">
        <v>1896</v>
      </c>
      <c r="F193" s="8" t="str">
        <f t="shared" ref="F193:F256" si="11">MID(C193,1,2)</f>
        <v>MK</v>
      </c>
      <c r="G193" s="2">
        <v>197.7</v>
      </c>
      <c r="H193" s="2">
        <f>SUMIF(RouteID_Conversion!$J$2:$J$999,AM_BoardingByRoute!$D$3:$D$426,RouteID_Conversion!$K$2:$K$999)</f>
        <v>282.25354385375971</v>
      </c>
    </row>
    <row r="194" spans="1:8" ht="15" customHeight="1" x14ac:dyDescent="0.25">
      <c r="A194" s="7"/>
      <c r="B194" s="8">
        <v>1348</v>
      </c>
      <c r="C194" s="1" t="s">
        <v>336</v>
      </c>
      <c r="D194" s="1">
        <f t="shared" si="10"/>
        <v>1348</v>
      </c>
      <c r="E194" s="1" t="s">
        <v>1897</v>
      </c>
      <c r="F194" s="8" t="str">
        <f t="shared" si="11"/>
        <v>MK</v>
      </c>
      <c r="G194" s="2">
        <v>204</v>
      </c>
      <c r="H194" s="2">
        <f>SUMIF(RouteID_Conversion!$J$2:$J$999,AM_BoardingByRoute!$D$3:$D$426,RouteID_Conversion!$K$2:$K$999)</f>
        <v>372.6316223144529</v>
      </c>
    </row>
    <row r="195" spans="1:8" ht="15" customHeight="1" x14ac:dyDescent="0.25">
      <c r="A195" s="7"/>
      <c r="B195" s="8">
        <v>1355</v>
      </c>
      <c r="C195" s="1" t="s">
        <v>1667</v>
      </c>
      <c r="D195" s="1">
        <f t="shared" si="10"/>
        <v>1355</v>
      </c>
      <c r="E195" s="1" t="s">
        <v>1898</v>
      </c>
      <c r="F195" s="8" t="str">
        <f t="shared" si="11"/>
        <v>MK</v>
      </c>
      <c r="G195" s="2">
        <v>398.9</v>
      </c>
      <c r="H195" s="2">
        <f>SUMIF(RouteID_Conversion!$J$2:$J$999,AM_BoardingByRoute!$D$3:$D$426,RouteID_Conversion!$K$2:$K$999)</f>
        <v>367.03932380676201</v>
      </c>
    </row>
    <row r="196" spans="1:8" ht="15" customHeight="1" x14ac:dyDescent="0.25">
      <c r="A196" s="7"/>
      <c r="B196" s="8">
        <v>1358</v>
      </c>
      <c r="C196" s="1" t="s">
        <v>581</v>
      </c>
      <c r="D196" s="1">
        <f t="shared" si="10"/>
        <v>1358</v>
      </c>
      <c r="E196" s="1" t="s">
        <v>1899</v>
      </c>
      <c r="F196" s="8" t="str">
        <f t="shared" si="11"/>
        <v>MK</v>
      </c>
      <c r="G196" s="2">
        <v>1849.2</v>
      </c>
      <c r="H196" s="2">
        <f>SUMIF(RouteID_Conversion!$J$2:$J$999,AM_BoardingByRoute!$D$3:$D$426,RouteID_Conversion!$K$2:$K$999)</f>
        <v>3119.5275878906232</v>
      </c>
    </row>
    <row r="197" spans="1:8" ht="15" customHeight="1" x14ac:dyDescent="0.25">
      <c r="A197" s="7"/>
      <c r="B197" s="8">
        <v>1372</v>
      </c>
      <c r="C197" s="1" t="s">
        <v>1104</v>
      </c>
      <c r="D197" s="1">
        <f t="shared" si="10"/>
        <v>1372</v>
      </c>
      <c r="E197" s="1" t="s">
        <v>1900</v>
      </c>
      <c r="F197" s="8" t="str">
        <f t="shared" si="11"/>
        <v>MK</v>
      </c>
      <c r="G197" s="2">
        <v>894.6</v>
      </c>
      <c r="H197" s="2">
        <f>SUMIF(RouteID_Conversion!$J$2:$J$999,AM_BoardingByRoute!$D$3:$D$426,RouteID_Conversion!$K$2:$K$999)</f>
        <v>885.2840003967267</v>
      </c>
    </row>
    <row r="198" spans="1:8" ht="15" customHeight="1" x14ac:dyDescent="0.25">
      <c r="A198" s="7"/>
      <c r="B198" s="8">
        <v>1373</v>
      </c>
      <c r="C198" s="1" t="s">
        <v>583</v>
      </c>
      <c r="D198" s="1">
        <f t="shared" si="10"/>
        <v>1373</v>
      </c>
      <c r="E198" s="1" t="s">
        <v>1901</v>
      </c>
      <c r="F198" s="8" t="str">
        <f t="shared" si="11"/>
        <v>MK</v>
      </c>
      <c r="G198" s="2">
        <v>285.2</v>
      </c>
      <c r="H198" s="2">
        <f>SUMIF(RouteID_Conversion!$J$2:$J$999,AM_BoardingByRoute!$D$3:$D$426,RouteID_Conversion!$K$2:$K$999)</f>
        <v>383.74641418456804</v>
      </c>
    </row>
    <row r="199" spans="1:8" ht="15" customHeight="1" x14ac:dyDescent="0.25">
      <c r="A199" s="7"/>
      <c r="B199" s="8">
        <v>1600</v>
      </c>
      <c r="C199" s="1" t="s">
        <v>1303</v>
      </c>
      <c r="D199" s="1">
        <f t="shared" si="10"/>
        <v>1600</v>
      </c>
      <c r="E199" s="1" t="s">
        <v>1902</v>
      </c>
      <c r="F199" s="8" t="str">
        <f t="shared" si="11"/>
        <v>MK</v>
      </c>
      <c r="G199" s="2">
        <v>11.4</v>
      </c>
      <c r="H199" s="2">
        <f>SUMIF(RouteID_Conversion!$J$2:$J$999,AM_BoardingByRoute!$D$3:$D$426,RouteID_Conversion!$K$2:$K$999)</f>
        <v>23.58628845214842</v>
      </c>
    </row>
    <row r="200" spans="1:8" ht="15" customHeight="1" x14ac:dyDescent="0.25">
      <c r="A200" s="7"/>
      <c r="B200" s="8">
        <v>1661</v>
      </c>
      <c r="C200" s="1" t="s">
        <v>1752</v>
      </c>
      <c r="D200" s="1">
        <f t="shared" si="10"/>
        <v>1661</v>
      </c>
      <c r="E200" s="1" t="s">
        <v>1903</v>
      </c>
      <c r="F200" s="8" t="str">
        <f t="shared" si="11"/>
        <v>MK</v>
      </c>
      <c r="G200" s="2">
        <v>3.6</v>
      </c>
      <c r="H200" s="2">
        <f>SUMIF(RouteID_Conversion!$J$2:$J$999,AM_BoardingByRoute!$D$3:$D$426,RouteID_Conversion!$K$2:$K$999)</f>
        <v>6.6354705095290907</v>
      </c>
    </row>
    <row r="201" spans="1:8" ht="15" customHeight="1" x14ac:dyDescent="0.25">
      <c r="A201" s="7"/>
      <c r="B201" s="8">
        <v>1915</v>
      </c>
      <c r="C201" s="1" t="s">
        <v>1117</v>
      </c>
      <c r="D201" s="1">
        <f t="shared" si="10"/>
        <v>1915</v>
      </c>
      <c r="E201" s="1" t="s">
        <v>1904</v>
      </c>
      <c r="F201" s="8" t="str">
        <f t="shared" si="11"/>
        <v>MK</v>
      </c>
      <c r="G201" s="2">
        <v>73.3</v>
      </c>
      <c r="H201" s="2">
        <f>SUMIF(RouteID_Conversion!$J$2:$J$999,AM_BoardingByRoute!$D$3:$D$426,RouteID_Conversion!$K$2:$K$999)</f>
        <v>63.914534091949356</v>
      </c>
    </row>
    <row r="202" spans="1:8" ht="15" customHeight="1" x14ac:dyDescent="0.25">
      <c r="A202" s="7"/>
      <c r="B202" s="8">
        <v>1921</v>
      </c>
      <c r="C202" s="1" t="s">
        <v>1798</v>
      </c>
      <c r="D202" s="1">
        <f t="shared" si="10"/>
        <v>1921</v>
      </c>
      <c r="E202" s="1" t="s">
        <v>1905</v>
      </c>
      <c r="F202" s="8" t="str">
        <f t="shared" si="11"/>
        <v>MK</v>
      </c>
      <c r="G202" s="2">
        <v>80.900000000000006</v>
      </c>
      <c r="H202" s="2">
        <f>SUMIF(RouteID_Conversion!$J$2:$J$999,AM_BoardingByRoute!$D$3:$D$426,RouteID_Conversion!$K$2:$K$999)</f>
        <v>294.90290069580038</v>
      </c>
    </row>
    <row r="203" spans="1:8" ht="15" customHeight="1" x14ac:dyDescent="0.25">
      <c r="A203" s="7"/>
      <c r="B203" s="8">
        <v>1941</v>
      </c>
      <c r="C203" s="1" t="s">
        <v>1207</v>
      </c>
      <c r="D203" s="1">
        <f t="shared" si="10"/>
        <v>1941</v>
      </c>
      <c r="E203" s="1" t="s">
        <v>1906</v>
      </c>
      <c r="F203" s="8" t="str">
        <f t="shared" si="11"/>
        <v>MK</v>
      </c>
      <c r="G203" s="2">
        <v>290.39999999999998</v>
      </c>
      <c r="H203" s="2">
        <f>SUMIF(RouteID_Conversion!$J$2:$J$999,AM_BoardingByRoute!$D$3:$D$426,RouteID_Conversion!$K$2:$K$999)</f>
        <v>79.123928070068203</v>
      </c>
    </row>
    <row r="204" spans="1:8" ht="15" customHeight="1" x14ac:dyDescent="0.25">
      <c r="A204" s="7"/>
      <c r="B204" s="8"/>
      <c r="C204" s="1" t="s">
        <v>1907</v>
      </c>
      <c r="D204" s="1">
        <f t="shared" si="10"/>
        <v>1952</v>
      </c>
      <c r="E204" s="1" t="s">
        <v>1908</v>
      </c>
      <c r="F204" s="8" t="str">
        <f t="shared" si="11"/>
        <v>MK</v>
      </c>
      <c r="G204" s="2">
        <v>37.5</v>
      </c>
      <c r="H204" s="2">
        <f>SUMIF(RouteID_Conversion!$J$2:$J$999,AM_BoardingByRoute!$D$3:$D$426,RouteID_Conversion!$K$2:$K$999)</f>
        <v>0</v>
      </c>
    </row>
    <row r="205" spans="1:8" ht="15" customHeight="1" x14ac:dyDescent="0.25">
      <c r="A205" s="7"/>
      <c r="B205" s="8">
        <v>2001</v>
      </c>
      <c r="C205" s="1" t="s">
        <v>480</v>
      </c>
      <c r="D205" s="1">
        <f t="shared" ref="D205:D236" si="12">MID(C205,3,3)+2000</f>
        <v>2001</v>
      </c>
      <c r="E205" s="1" t="s">
        <v>479</v>
      </c>
      <c r="F205" s="8" t="str">
        <f t="shared" si="11"/>
        <v>PT</v>
      </c>
      <c r="G205" s="2">
        <v>1152.909090909091</v>
      </c>
      <c r="H205" s="2">
        <f>SUMIF(RouteID_Conversion!$J$2:$J$999,AM_BoardingByRoute!$D$3:$D$426,RouteID_Conversion!$K$2:$K$999)</f>
        <v>2773.7270355224537</v>
      </c>
    </row>
    <row r="206" spans="1:8" ht="15" customHeight="1" x14ac:dyDescent="0.25">
      <c r="A206" s="7"/>
      <c r="B206" s="8">
        <v>2002</v>
      </c>
      <c r="C206" s="1" t="s">
        <v>806</v>
      </c>
      <c r="D206" s="1">
        <f t="shared" si="12"/>
        <v>2002</v>
      </c>
      <c r="E206" s="1" t="s">
        <v>805</v>
      </c>
      <c r="F206" s="8" t="str">
        <f t="shared" si="11"/>
        <v>PT</v>
      </c>
      <c r="G206" s="2">
        <v>646.5</v>
      </c>
      <c r="H206" s="2">
        <f>SUMIF(RouteID_Conversion!$J$2:$J$999,AM_BoardingByRoute!$D$3:$D$426,RouteID_Conversion!$K$2:$K$999)</f>
        <v>1462.7129960060095</v>
      </c>
    </row>
    <row r="207" spans="1:8" ht="15" customHeight="1" x14ac:dyDescent="0.25">
      <c r="A207" s="7"/>
      <c r="B207" s="8">
        <v>2003</v>
      </c>
      <c r="C207" s="1" t="s">
        <v>796</v>
      </c>
      <c r="D207" s="1">
        <f t="shared" si="12"/>
        <v>2003</v>
      </c>
      <c r="E207" s="1" t="s">
        <v>795</v>
      </c>
      <c r="F207" s="8" t="str">
        <f t="shared" si="11"/>
        <v>PT</v>
      </c>
      <c r="G207" s="2">
        <v>461.31818181818181</v>
      </c>
      <c r="H207" s="2">
        <f>SUMIF(RouteID_Conversion!$J$2:$J$999,AM_BoardingByRoute!$D$3:$D$426,RouteID_Conversion!$K$2:$K$999)</f>
        <v>971.64350843429372</v>
      </c>
    </row>
    <row r="208" spans="1:8" ht="15" customHeight="1" x14ac:dyDescent="0.25">
      <c r="A208" s="7"/>
      <c r="B208" s="8">
        <v>2010</v>
      </c>
      <c r="C208" s="1" t="s">
        <v>816</v>
      </c>
      <c r="D208" s="1">
        <f t="shared" si="12"/>
        <v>2010</v>
      </c>
      <c r="E208" s="1" t="s">
        <v>815</v>
      </c>
      <c r="F208" s="8" t="str">
        <f t="shared" si="11"/>
        <v>PT</v>
      </c>
      <c r="G208" s="2">
        <v>155</v>
      </c>
      <c r="H208" s="2">
        <f>SUMIF(RouteID_Conversion!$J$2:$J$999,AM_BoardingByRoute!$D$3:$D$426,RouteID_Conversion!$K$2:$K$999)</f>
        <v>114.8404397964475</v>
      </c>
    </row>
    <row r="209" spans="1:8" ht="15" customHeight="1" x14ac:dyDescent="0.25">
      <c r="A209" s="7"/>
      <c r="B209" s="8">
        <v>2011</v>
      </c>
      <c r="C209" s="1" t="s">
        <v>950</v>
      </c>
      <c r="D209" s="1">
        <f t="shared" si="12"/>
        <v>2011</v>
      </c>
      <c r="E209" s="1" t="s">
        <v>949</v>
      </c>
      <c r="F209" s="8" t="str">
        <f t="shared" si="11"/>
        <v>PT</v>
      </c>
      <c r="G209" s="2">
        <v>166.59090909090909</v>
      </c>
      <c r="H209" s="2">
        <f>SUMIF(RouteID_Conversion!$J$2:$J$999,AM_BoardingByRoute!$D$3:$D$426,RouteID_Conversion!$K$2:$K$999)</f>
        <v>289.21071434020979</v>
      </c>
    </row>
    <row r="210" spans="1:8" ht="15" customHeight="1" x14ac:dyDescent="0.25">
      <c r="A210" s="7"/>
      <c r="B210" s="8">
        <v>2013</v>
      </c>
      <c r="C210" s="1" t="s">
        <v>809</v>
      </c>
      <c r="D210" s="1">
        <f t="shared" si="12"/>
        <v>2013</v>
      </c>
      <c r="E210" s="1" t="s">
        <v>808</v>
      </c>
      <c r="F210" s="8" t="str">
        <f t="shared" si="11"/>
        <v>PT</v>
      </c>
      <c r="G210" s="2">
        <v>75.954545454545453</v>
      </c>
      <c r="H210" s="2">
        <f>SUMIF(RouteID_Conversion!$J$2:$J$999,AM_BoardingByRoute!$D$3:$D$426,RouteID_Conversion!$K$2:$K$999)</f>
        <v>119.6164741516111</v>
      </c>
    </row>
    <row r="211" spans="1:8" ht="15" customHeight="1" x14ac:dyDescent="0.25">
      <c r="A211" s="7"/>
      <c r="B211" s="8">
        <v>2016</v>
      </c>
      <c r="C211" s="1" t="s">
        <v>941</v>
      </c>
      <c r="D211" s="1">
        <f t="shared" si="12"/>
        <v>2016</v>
      </c>
      <c r="E211" s="1" t="s">
        <v>940</v>
      </c>
      <c r="F211" s="8" t="str">
        <f t="shared" si="11"/>
        <v>PT</v>
      </c>
      <c r="G211" s="2">
        <v>223.5</v>
      </c>
      <c r="H211" s="2">
        <f>SUMIF(RouteID_Conversion!$J$2:$J$999,AM_BoardingByRoute!$D$3:$D$426,RouteID_Conversion!$K$2:$K$999)</f>
        <v>263.3333873748777</v>
      </c>
    </row>
    <row r="212" spans="1:8" ht="15" customHeight="1" x14ac:dyDescent="0.25">
      <c r="A212" s="7"/>
      <c r="B212" s="8">
        <v>2026</v>
      </c>
      <c r="C212" s="1" t="s">
        <v>991</v>
      </c>
      <c r="D212" s="1">
        <f t="shared" si="12"/>
        <v>2026</v>
      </c>
      <c r="E212" s="1" t="s">
        <v>990</v>
      </c>
      <c r="F212" s="8" t="str">
        <f t="shared" si="11"/>
        <v>PT</v>
      </c>
      <c r="G212" s="2">
        <v>17</v>
      </c>
      <c r="H212" s="2">
        <f>SUMIF(RouteID_Conversion!$J$2:$J$999,AM_BoardingByRoute!$D$3:$D$426,RouteID_Conversion!$K$2:$K$999)</f>
        <v>10.29299688339232</v>
      </c>
    </row>
    <row r="213" spans="1:8" ht="15" customHeight="1" x14ac:dyDescent="0.25">
      <c r="A213" s="7"/>
      <c r="B213" s="8">
        <v>2028</v>
      </c>
      <c r="C213" s="1" t="s">
        <v>432</v>
      </c>
      <c r="D213" s="1">
        <f t="shared" si="12"/>
        <v>2028</v>
      </c>
      <c r="E213" s="1" t="s">
        <v>431</v>
      </c>
      <c r="F213" s="8" t="str">
        <f t="shared" si="11"/>
        <v>PT</v>
      </c>
      <c r="G213" s="2">
        <v>196.36363636363637</v>
      </c>
      <c r="H213" s="2">
        <f>SUMIF(RouteID_Conversion!$J$2:$J$999,AM_BoardingByRoute!$D$3:$D$426,RouteID_Conversion!$K$2:$K$999)</f>
        <v>77.094901084899846</v>
      </c>
    </row>
    <row r="214" spans="1:8" ht="15" customHeight="1" x14ac:dyDescent="0.25">
      <c r="A214" s="7"/>
      <c r="B214" s="8">
        <v>2041</v>
      </c>
      <c r="C214" s="1" t="s">
        <v>783</v>
      </c>
      <c r="D214" s="1">
        <f t="shared" si="12"/>
        <v>2041</v>
      </c>
      <c r="E214" s="1" t="s">
        <v>782</v>
      </c>
      <c r="F214" s="8" t="str">
        <f t="shared" si="11"/>
        <v>PT</v>
      </c>
      <c r="G214" s="2">
        <v>182.04545454545456</v>
      </c>
      <c r="H214" s="2">
        <f>SUMIF(RouteID_Conversion!$J$2:$J$999,AM_BoardingByRoute!$D$3:$D$426,RouteID_Conversion!$K$2:$K$999)</f>
        <v>267.17508697509732</v>
      </c>
    </row>
    <row r="215" spans="1:8" ht="15" customHeight="1" x14ac:dyDescent="0.25">
      <c r="A215" s="7"/>
      <c r="B215" s="8">
        <v>2042</v>
      </c>
      <c r="C215" s="1" t="s">
        <v>476</v>
      </c>
      <c r="D215" s="1">
        <f t="shared" si="12"/>
        <v>2042</v>
      </c>
      <c r="E215" s="1" t="s">
        <v>475</v>
      </c>
      <c r="F215" s="8" t="str">
        <f t="shared" si="11"/>
        <v>PT</v>
      </c>
      <c r="G215" s="2">
        <v>150.18181818181819</v>
      </c>
      <c r="H215" s="2">
        <f>SUMIF(RouteID_Conversion!$J$2:$J$999,AM_BoardingByRoute!$D$3:$D$426,RouteID_Conversion!$K$2:$K$999)</f>
        <v>156.48871135711633</v>
      </c>
    </row>
    <row r="216" spans="1:8" ht="15" customHeight="1" x14ac:dyDescent="0.25">
      <c r="A216" s="7"/>
      <c r="B216" s="8">
        <v>2045</v>
      </c>
      <c r="C216" s="1" t="s">
        <v>369</v>
      </c>
      <c r="D216" s="1">
        <f t="shared" si="12"/>
        <v>2045</v>
      </c>
      <c r="E216" s="1" t="s">
        <v>368</v>
      </c>
      <c r="F216" s="8" t="str">
        <f t="shared" si="11"/>
        <v>PT</v>
      </c>
      <c r="G216" s="2">
        <v>195.90909090909091</v>
      </c>
      <c r="H216" s="2">
        <f>SUMIF(RouteID_Conversion!$J$2:$J$999,AM_BoardingByRoute!$D$3:$D$426,RouteID_Conversion!$K$2:$K$999)</f>
        <v>143.10745620727525</v>
      </c>
    </row>
    <row r="217" spans="1:8" ht="15" customHeight="1" x14ac:dyDescent="0.25">
      <c r="A217" s="7"/>
      <c r="B217" s="8">
        <v>2048</v>
      </c>
      <c r="C217" s="1" t="s">
        <v>366</v>
      </c>
      <c r="D217" s="1">
        <f t="shared" si="12"/>
        <v>2048</v>
      </c>
      <c r="E217" s="1" t="s">
        <v>365</v>
      </c>
      <c r="F217" s="8" t="str">
        <f t="shared" si="11"/>
        <v>PT</v>
      </c>
      <c r="G217" s="2">
        <v>280.45454545454544</v>
      </c>
      <c r="H217" s="2">
        <f>SUMIF(RouteID_Conversion!$J$2:$J$999,AM_BoardingByRoute!$D$3:$D$426,RouteID_Conversion!$K$2:$K$999)</f>
        <v>327.93365383148171</v>
      </c>
    </row>
    <row r="218" spans="1:8" ht="15" customHeight="1" x14ac:dyDescent="0.25">
      <c r="A218" s="7"/>
      <c r="B218" s="8">
        <v>2051</v>
      </c>
      <c r="C218" s="1" t="s">
        <v>828</v>
      </c>
      <c r="D218" s="1">
        <f t="shared" si="12"/>
        <v>2051</v>
      </c>
      <c r="E218" s="1" t="s">
        <v>827</v>
      </c>
      <c r="F218" s="8" t="str">
        <f t="shared" si="11"/>
        <v>PT</v>
      </c>
      <c r="G218" s="2">
        <v>69.22727272727272</v>
      </c>
      <c r="H218" s="2">
        <f>SUMIF(RouteID_Conversion!$J$2:$J$999,AM_BoardingByRoute!$D$3:$D$426,RouteID_Conversion!$K$2:$K$999)</f>
        <v>80.018344879150163</v>
      </c>
    </row>
    <row r="219" spans="1:8" ht="15" customHeight="1" x14ac:dyDescent="0.25">
      <c r="A219" s="7"/>
      <c r="B219" s="8">
        <v>2052</v>
      </c>
      <c r="C219" s="1" t="s">
        <v>864</v>
      </c>
      <c r="D219" s="1">
        <f t="shared" si="12"/>
        <v>2052</v>
      </c>
      <c r="E219" s="1" t="s">
        <v>1909</v>
      </c>
      <c r="F219" s="8" t="str">
        <f t="shared" si="11"/>
        <v>PT</v>
      </c>
      <c r="G219" s="2">
        <v>226.09090909090909</v>
      </c>
      <c r="H219" s="2">
        <f>SUMIF(RouteID_Conversion!$J$2:$J$999,AM_BoardingByRoute!$D$3:$D$426,RouteID_Conversion!$K$2:$K$999)</f>
        <v>256.33749389648398</v>
      </c>
    </row>
    <row r="220" spans="1:8" ht="15" customHeight="1" x14ac:dyDescent="0.25">
      <c r="A220" s="7"/>
      <c r="B220" s="8">
        <v>2053</v>
      </c>
      <c r="C220" s="1" t="s">
        <v>472</v>
      </c>
      <c r="D220" s="1">
        <f t="shared" si="12"/>
        <v>2053</v>
      </c>
      <c r="E220" s="1" t="s">
        <v>926</v>
      </c>
      <c r="F220" s="8" t="str">
        <f t="shared" si="11"/>
        <v>PT</v>
      </c>
      <c r="G220" s="2">
        <v>307.95454545454544</v>
      </c>
      <c r="H220" s="2">
        <f>SUMIF(RouteID_Conversion!$J$2:$J$999,AM_BoardingByRoute!$D$3:$D$426,RouteID_Conversion!$K$2:$K$999)</f>
        <v>479.76952743530228</v>
      </c>
    </row>
    <row r="221" spans="1:8" ht="15" customHeight="1" x14ac:dyDescent="0.25">
      <c r="A221" s="7"/>
      <c r="B221" s="8">
        <v>2054</v>
      </c>
      <c r="C221" s="1" t="s">
        <v>360</v>
      </c>
      <c r="D221" s="1">
        <f t="shared" si="12"/>
        <v>2054</v>
      </c>
      <c r="E221" s="1" t="s">
        <v>359</v>
      </c>
      <c r="F221" s="8" t="str">
        <f t="shared" si="11"/>
        <v>PT</v>
      </c>
      <c r="G221" s="2">
        <v>139.36363636363637</v>
      </c>
      <c r="H221" s="2">
        <f>SUMIF(RouteID_Conversion!$J$2:$J$999,AM_BoardingByRoute!$D$3:$D$426,RouteID_Conversion!$K$2:$K$999)</f>
        <v>161.63436317443819</v>
      </c>
    </row>
    <row r="222" spans="1:8" ht="15" customHeight="1" x14ac:dyDescent="0.25">
      <c r="A222" s="7"/>
      <c r="B222" s="8">
        <v>2055</v>
      </c>
      <c r="C222" s="1" t="s">
        <v>356</v>
      </c>
      <c r="D222" s="1">
        <f t="shared" si="12"/>
        <v>2055</v>
      </c>
      <c r="E222" s="1" t="s">
        <v>1910</v>
      </c>
      <c r="F222" s="8" t="str">
        <f t="shared" si="11"/>
        <v>PT</v>
      </c>
      <c r="G222" s="2">
        <v>209.72727272727272</v>
      </c>
      <c r="H222" s="2">
        <f>SUMIF(RouteID_Conversion!$J$2:$J$999,AM_BoardingByRoute!$D$3:$D$426,RouteID_Conversion!$K$2:$K$999)</f>
        <v>187.13295745849581</v>
      </c>
    </row>
    <row r="223" spans="1:8" ht="15" customHeight="1" x14ac:dyDescent="0.25">
      <c r="A223" s="7"/>
      <c r="B223" s="8">
        <v>2056</v>
      </c>
      <c r="C223" s="1" t="s">
        <v>352</v>
      </c>
      <c r="D223" s="1">
        <f t="shared" si="12"/>
        <v>2056</v>
      </c>
      <c r="E223" s="1" t="s">
        <v>351</v>
      </c>
      <c r="F223" s="8" t="str">
        <f t="shared" si="11"/>
        <v>PT</v>
      </c>
      <c r="G223" s="2">
        <v>110.09090909090909</v>
      </c>
      <c r="H223" s="2">
        <f>SUMIF(RouteID_Conversion!$J$2:$J$999,AM_BoardingByRoute!$D$3:$D$426,RouteID_Conversion!$K$2:$K$999)</f>
        <v>181.05547904968228</v>
      </c>
    </row>
    <row r="224" spans="1:8" ht="15" customHeight="1" x14ac:dyDescent="0.25">
      <c r="A224" s="7"/>
      <c r="B224" s="8">
        <v>2057</v>
      </c>
      <c r="C224" s="1" t="s">
        <v>923</v>
      </c>
      <c r="D224" s="1">
        <f t="shared" si="12"/>
        <v>2057</v>
      </c>
      <c r="E224" s="1" t="s">
        <v>922</v>
      </c>
      <c r="F224" s="8" t="str">
        <f t="shared" si="11"/>
        <v>PT</v>
      </c>
      <c r="G224" s="2">
        <v>164.86363636363637</v>
      </c>
      <c r="H224" s="2">
        <f>SUMIF(RouteID_Conversion!$J$2:$J$999,AM_BoardingByRoute!$D$3:$D$426,RouteID_Conversion!$K$2:$K$999)</f>
        <v>171.70048046112032</v>
      </c>
    </row>
    <row r="225" spans="1:8" ht="15" customHeight="1" x14ac:dyDescent="0.25">
      <c r="A225" s="7"/>
      <c r="B225" s="8">
        <v>2059</v>
      </c>
      <c r="C225" s="1" t="s">
        <v>767</v>
      </c>
      <c r="D225" s="1">
        <f t="shared" si="12"/>
        <v>2059</v>
      </c>
      <c r="E225" s="1" t="s">
        <v>766</v>
      </c>
      <c r="F225" s="8" t="str">
        <f t="shared" si="11"/>
        <v>PT</v>
      </c>
      <c r="G225" s="2">
        <v>35.545454545454547</v>
      </c>
      <c r="H225" s="2">
        <f>SUMIF(RouteID_Conversion!$J$2:$J$999,AM_BoardingByRoute!$D$3:$D$426,RouteID_Conversion!$K$2:$K$999)</f>
        <v>51.502394199371309</v>
      </c>
    </row>
    <row r="226" spans="1:8" ht="15" customHeight="1" x14ac:dyDescent="0.25">
      <c r="A226" s="7"/>
      <c r="B226" s="8"/>
      <c r="C226" s="1" t="s">
        <v>1327</v>
      </c>
      <c r="D226" s="1">
        <f t="shared" si="12"/>
        <v>2060</v>
      </c>
      <c r="E226" s="1" t="s">
        <v>1911</v>
      </c>
      <c r="F226" s="8" t="str">
        <f t="shared" si="11"/>
        <v>PT</v>
      </c>
      <c r="G226" s="2">
        <v>12</v>
      </c>
      <c r="H226" s="2">
        <f>SUMIF(RouteID_Conversion!$J$2:$J$999,AM_BoardingByRoute!$D$3:$D$426,RouteID_Conversion!$K$2:$K$999)</f>
        <v>99.078796386718608</v>
      </c>
    </row>
    <row r="227" spans="1:8" ht="15" customHeight="1" x14ac:dyDescent="0.25">
      <c r="A227" s="7"/>
      <c r="B227" s="8">
        <v>2061</v>
      </c>
      <c r="C227" s="1" t="s">
        <v>1323</v>
      </c>
      <c r="D227" s="1">
        <f t="shared" si="12"/>
        <v>2061</v>
      </c>
      <c r="E227" s="1" t="s">
        <v>1912</v>
      </c>
      <c r="F227" s="8" t="str">
        <f t="shared" si="11"/>
        <v>PT</v>
      </c>
      <c r="G227" s="2">
        <v>54.727272727272727</v>
      </c>
      <c r="H227" s="2">
        <f>SUMIF(RouteID_Conversion!$J$2:$J$999,AM_BoardingByRoute!$D$3:$D$426,RouteID_Conversion!$K$2:$K$999)</f>
        <v>116.04730272293068</v>
      </c>
    </row>
    <row r="228" spans="1:8" ht="15" customHeight="1" x14ac:dyDescent="0.25">
      <c r="A228" s="7"/>
      <c r="B228" s="8">
        <v>2100</v>
      </c>
      <c r="C228" s="1" t="s">
        <v>812</v>
      </c>
      <c r="D228" s="1">
        <f t="shared" si="12"/>
        <v>2100</v>
      </c>
      <c r="E228" s="1" t="s">
        <v>811</v>
      </c>
      <c r="F228" s="8" t="str">
        <f t="shared" si="11"/>
        <v>PT</v>
      </c>
      <c r="G228" s="2">
        <v>110.18181818181819</v>
      </c>
      <c r="H228" s="2">
        <f>SUMIF(RouteID_Conversion!$J$2:$J$999,AM_BoardingByRoute!$D$3:$D$426,RouteID_Conversion!$K$2:$K$999)</f>
        <v>248.94641494750942</v>
      </c>
    </row>
    <row r="229" spans="1:8" ht="15" customHeight="1" x14ac:dyDescent="0.25">
      <c r="A229" s="7"/>
      <c r="B229" s="8">
        <v>2102</v>
      </c>
      <c r="C229" s="1" t="s">
        <v>1405</v>
      </c>
      <c r="D229" s="1">
        <f t="shared" si="12"/>
        <v>2102</v>
      </c>
      <c r="E229" s="1" t="s">
        <v>1404</v>
      </c>
      <c r="F229" s="8" t="str">
        <f t="shared" si="11"/>
        <v>PT</v>
      </c>
      <c r="G229" s="2">
        <v>89.590909090909093</v>
      </c>
      <c r="H229" s="2">
        <f>SUMIF(RouteID_Conversion!$J$2:$J$999,AM_BoardingByRoute!$D$3:$D$426,RouteID_Conversion!$K$2:$K$999)</f>
        <v>265.87233734130837</v>
      </c>
    </row>
    <row r="230" spans="1:8" ht="15" customHeight="1" x14ac:dyDescent="0.25">
      <c r="A230" s="7"/>
      <c r="B230" s="8">
        <v>2113</v>
      </c>
      <c r="C230" s="1" t="s">
        <v>946</v>
      </c>
      <c r="D230" s="1">
        <f t="shared" si="12"/>
        <v>2113</v>
      </c>
      <c r="E230" s="1" t="s">
        <v>945</v>
      </c>
      <c r="F230" s="8" t="str">
        <f t="shared" si="11"/>
        <v>PT</v>
      </c>
      <c r="G230" s="2">
        <v>5.4545454545454541</v>
      </c>
      <c r="H230" s="2">
        <f>SUMIF(RouteID_Conversion!$J$2:$J$999,AM_BoardingByRoute!$D$3:$D$426,RouteID_Conversion!$K$2:$K$999)</f>
        <v>2.3922078013420052</v>
      </c>
    </row>
    <row r="231" spans="1:8" ht="15" customHeight="1" x14ac:dyDescent="0.25">
      <c r="A231" s="7"/>
      <c r="B231" s="8">
        <v>2202</v>
      </c>
      <c r="C231" s="1" t="s">
        <v>394</v>
      </c>
      <c r="D231" s="1">
        <f t="shared" si="12"/>
        <v>2202</v>
      </c>
      <c r="E231" s="1" t="s">
        <v>393</v>
      </c>
      <c r="F231" s="8" t="str">
        <f t="shared" si="11"/>
        <v>PT</v>
      </c>
      <c r="G231" s="2">
        <v>302.63636363636363</v>
      </c>
      <c r="H231" s="2">
        <f>SUMIF(RouteID_Conversion!$J$2:$J$999,AM_BoardingByRoute!$D$3:$D$426,RouteID_Conversion!$K$2:$K$999)</f>
        <v>248.46319389343228</v>
      </c>
    </row>
    <row r="232" spans="1:8" ht="15" customHeight="1" x14ac:dyDescent="0.25">
      <c r="A232" s="7"/>
      <c r="B232" s="8">
        <v>2204</v>
      </c>
      <c r="C232" s="1" t="s">
        <v>803</v>
      </c>
      <c r="D232" s="1">
        <f t="shared" si="12"/>
        <v>2204</v>
      </c>
      <c r="E232" s="1" t="s">
        <v>1913</v>
      </c>
      <c r="F232" s="8" t="str">
        <f t="shared" si="11"/>
        <v>PT</v>
      </c>
      <c r="G232" s="2">
        <v>305.72727272727275</v>
      </c>
      <c r="H232" s="2">
        <f>SUMIF(RouteID_Conversion!$J$2:$J$999,AM_BoardingByRoute!$D$3:$D$426,RouteID_Conversion!$K$2:$K$999)</f>
        <v>503.58182525634572</v>
      </c>
    </row>
    <row r="233" spans="1:8" ht="15" customHeight="1" x14ac:dyDescent="0.25">
      <c r="A233" s="7"/>
      <c r="B233" s="8">
        <v>2206</v>
      </c>
      <c r="C233" s="1" t="s">
        <v>390</v>
      </c>
      <c r="D233" s="1">
        <f t="shared" si="12"/>
        <v>2206</v>
      </c>
      <c r="E233" s="1" t="s">
        <v>1914</v>
      </c>
      <c r="F233" s="8" t="str">
        <f t="shared" si="11"/>
        <v>PT</v>
      </c>
      <c r="G233" s="2">
        <v>164.81818181818181</v>
      </c>
      <c r="H233" s="2">
        <f>SUMIF(RouteID_Conversion!$J$2:$J$999,AM_BoardingByRoute!$D$3:$D$426,RouteID_Conversion!$K$2:$K$999)</f>
        <v>154.85691070556609</v>
      </c>
    </row>
    <row r="234" spans="1:8" ht="15" customHeight="1" x14ac:dyDescent="0.25">
      <c r="A234" s="7"/>
      <c r="B234" s="8">
        <v>2207</v>
      </c>
      <c r="C234" s="1" t="s">
        <v>387</v>
      </c>
      <c r="D234" s="1">
        <f t="shared" si="12"/>
        <v>2207</v>
      </c>
      <c r="E234" s="1" t="s">
        <v>386</v>
      </c>
      <c r="F234" s="8" t="str">
        <f t="shared" si="11"/>
        <v>PT</v>
      </c>
      <c r="G234" s="2">
        <v>29.045454545454547</v>
      </c>
      <c r="H234" s="2">
        <f>SUMIF(RouteID_Conversion!$J$2:$J$999,AM_BoardingByRoute!$D$3:$D$426,RouteID_Conversion!$K$2:$K$999)</f>
        <v>19.530949592590289</v>
      </c>
    </row>
    <row r="235" spans="1:8" ht="15" customHeight="1" x14ac:dyDescent="0.25">
      <c r="A235" s="7"/>
      <c r="B235" s="8">
        <v>2212</v>
      </c>
      <c r="C235" s="1" t="s">
        <v>799</v>
      </c>
      <c r="D235" s="1">
        <f t="shared" si="12"/>
        <v>2212</v>
      </c>
      <c r="E235" s="1" t="s">
        <v>798</v>
      </c>
      <c r="F235" s="8" t="str">
        <f t="shared" si="11"/>
        <v>PT</v>
      </c>
      <c r="G235" s="2">
        <v>138.09090909090909</v>
      </c>
      <c r="H235" s="2">
        <f>SUMIF(RouteID_Conversion!$J$2:$J$999,AM_BoardingByRoute!$D$3:$D$426,RouteID_Conversion!$K$2:$K$999)</f>
        <v>81.539621591567766</v>
      </c>
    </row>
    <row r="236" spans="1:8" ht="15" customHeight="1" x14ac:dyDescent="0.25">
      <c r="A236" s="7"/>
      <c r="B236" s="8">
        <v>2214</v>
      </c>
      <c r="C236" s="1" t="s">
        <v>1009</v>
      </c>
      <c r="D236" s="1">
        <f t="shared" si="12"/>
        <v>2214</v>
      </c>
      <c r="E236" s="1" t="s">
        <v>1008</v>
      </c>
      <c r="F236" s="8" t="str">
        <f t="shared" si="11"/>
        <v>PT</v>
      </c>
      <c r="G236" s="2">
        <v>226.22727272727275</v>
      </c>
      <c r="H236" s="2">
        <f>SUMIF(RouteID_Conversion!$J$2:$J$999,AM_BoardingByRoute!$D$3:$D$426,RouteID_Conversion!$K$2:$K$999)</f>
        <v>121.5127334594725</v>
      </c>
    </row>
    <row r="237" spans="1:8" ht="15" customHeight="1" x14ac:dyDescent="0.25">
      <c r="A237" s="7"/>
      <c r="B237" s="8">
        <v>2220</v>
      </c>
      <c r="C237" s="1" t="s">
        <v>383</v>
      </c>
      <c r="D237" s="1">
        <f t="shared" ref="D237:D255" si="13">MID(C237,3,3)+2000</f>
        <v>2220</v>
      </c>
      <c r="E237" s="1" t="s">
        <v>382</v>
      </c>
      <c r="F237" s="8" t="str">
        <f t="shared" si="11"/>
        <v>PT</v>
      </c>
      <c r="G237" s="2">
        <v>82.090909090909093</v>
      </c>
      <c r="H237" s="2">
        <f>SUMIF(RouteID_Conversion!$J$2:$J$999,AM_BoardingByRoute!$D$3:$D$426,RouteID_Conversion!$K$2:$K$999)</f>
        <v>101.50133228301969</v>
      </c>
    </row>
    <row r="238" spans="1:8" ht="15" customHeight="1" x14ac:dyDescent="0.25">
      <c r="A238" s="7"/>
      <c r="B238" s="8">
        <v>2300</v>
      </c>
      <c r="C238" s="1" t="s">
        <v>791</v>
      </c>
      <c r="D238" s="1">
        <f t="shared" si="13"/>
        <v>2300</v>
      </c>
      <c r="E238" s="1" t="s">
        <v>790</v>
      </c>
      <c r="F238" s="8" t="str">
        <f t="shared" si="11"/>
        <v>PT</v>
      </c>
      <c r="G238" s="2">
        <v>151.68181818181819</v>
      </c>
      <c r="H238" s="2">
        <f>SUMIF(RouteID_Conversion!$J$2:$J$999,AM_BoardingByRoute!$D$3:$D$426,RouteID_Conversion!$K$2:$K$999)</f>
        <v>239.52523803710883</v>
      </c>
    </row>
    <row r="239" spans="1:8" ht="15" customHeight="1" x14ac:dyDescent="0.25">
      <c r="A239" s="7"/>
      <c r="B239" s="8">
        <v>2402</v>
      </c>
      <c r="C239" s="1" t="s">
        <v>1390</v>
      </c>
      <c r="D239" s="1">
        <f t="shared" si="13"/>
        <v>2402</v>
      </c>
      <c r="E239" s="1" t="s">
        <v>1389</v>
      </c>
      <c r="F239" s="8" t="str">
        <f t="shared" si="11"/>
        <v>PT</v>
      </c>
      <c r="G239" s="2">
        <v>275.59090909090912</v>
      </c>
      <c r="H239" s="2">
        <f>SUMIF(RouteID_Conversion!$J$2:$J$999,AM_BoardingByRoute!$D$3:$D$426,RouteID_Conversion!$K$2:$K$999)</f>
        <v>516.94614744186345</v>
      </c>
    </row>
    <row r="240" spans="1:8" ht="15" customHeight="1" x14ac:dyDescent="0.25">
      <c r="A240" s="7"/>
      <c r="B240" s="8">
        <v>2406</v>
      </c>
      <c r="C240" s="1" t="s">
        <v>1468</v>
      </c>
      <c r="D240" s="1">
        <f t="shared" si="13"/>
        <v>2406</v>
      </c>
      <c r="E240" s="1" t="s">
        <v>1467</v>
      </c>
      <c r="F240" s="8" t="str">
        <f t="shared" si="11"/>
        <v>PT</v>
      </c>
      <c r="G240" s="2">
        <v>10.136363636363637</v>
      </c>
      <c r="H240" s="2">
        <f>SUMIF(RouteID_Conversion!$J$2:$J$999,AM_BoardingByRoute!$D$3:$D$426,RouteID_Conversion!$K$2:$K$999)</f>
        <v>5.1333333402872086</v>
      </c>
    </row>
    <row r="241" spans="1:8" ht="15" customHeight="1" x14ac:dyDescent="0.25">
      <c r="A241" s="7"/>
      <c r="B241" s="8">
        <v>2407</v>
      </c>
      <c r="C241" s="1" t="s">
        <v>787</v>
      </c>
      <c r="D241" s="1">
        <f t="shared" si="13"/>
        <v>2407</v>
      </c>
      <c r="E241" s="1" t="s">
        <v>1915</v>
      </c>
      <c r="F241" s="8" t="str">
        <f t="shared" si="11"/>
        <v>PT</v>
      </c>
      <c r="G241" s="2">
        <v>4.6363636363636367</v>
      </c>
      <c r="H241" s="2">
        <f>SUMIF(RouteID_Conversion!$J$2:$J$999,AM_BoardingByRoute!$D$3:$D$426,RouteID_Conversion!$K$2:$K$999)</f>
        <v>6.6666670143604195E-2</v>
      </c>
    </row>
    <row r="242" spans="1:8" ht="15" customHeight="1" x14ac:dyDescent="0.25">
      <c r="A242" s="7"/>
      <c r="B242" s="8">
        <v>2408</v>
      </c>
      <c r="C242" s="1" t="s">
        <v>379</v>
      </c>
      <c r="D242" s="1">
        <f t="shared" si="13"/>
        <v>2408</v>
      </c>
      <c r="E242" s="1" t="s">
        <v>1916</v>
      </c>
      <c r="F242" s="8" t="str">
        <f t="shared" si="11"/>
        <v>PT</v>
      </c>
      <c r="G242" s="2">
        <v>21.227272727272727</v>
      </c>
      <c r="H242" s="2">
        <f>SUMIF(RouteID_Conversion!$J$2:$J$999,AM_BoardingByRoute!$D$3:$D$426,RouteID_Conversion!$K$2:$K$999)</f>
        <v>0</v>
      </c>
    </row>
    <row r="243" spans="1:8" ht="15" customHeight="1" x14ac:dyDescent="0.25">
      <c r="A243" s="7"/>
      <c r="B243" s="8">
        <v>2409</v>
      </c>
      <c r="C243" s="1" t="s">
        <v>487</v>
      </c>
      <c r="D243" s="1">
        <f t="shared" si="13"/>
        <v>2409</v>
      </c>
      <c r="E243" s="1" t="s">
        <v>1917</v>
      </c>
      <c r="F243" s="8" t="str">
        <f t="shared" si="11"/>
        <v>PT</v>
      </c>
      <c r="G243" s="2">
        <v>110.22727272727273</v>
      </c>
      <c r="H243" s="2">
        <f>SUMIF(RouteID_Conversion!$J$2:$J$999,AM_BoardingByRoute!$D$3:$D$426,RouteID_Conversion!$K$2:$K$999)</f>
        <v>276.33411026000942</v>
      </c>
    </row>
    <row r="244" spans="1:8" ht="15" customHeight="1" x14ac:dyDescent="0.25">
      <c r="A244" s="7"/>
      <c r="B244" s="8">
        <v>2410</v>
      </c>
      <c r="C244" s="1" t="s">
        <v>373</v>
      </c>
      <c r="D244" s="1">
        <f t="shared" si="13"/>
        <v>2410</v>
      </c>
      <c r="E244" s="1" t="s">
        <v>372</v>
      </c>
      <c r="F244" s="8" t="str">
        <f t="shared" si="11"/>
        <v>PT</v>
      </c>
      <c r="G244" s="2">
        <v>226.68181818181819</v>
      </c>
      <c r="H244" s="2">
        <f>SUMIF(RouteID_Conversion!$J$2:$J$999,AM_BoardingByRoute!$D$3:$D$426,RouteID_Conversion!$K$2:$K$999)</f>
        <v>287.72049975395169</v>
      </c>
    </row>
    <row r="245" spans="1:8" ht="15" customHeight="1" x14ac:dyDescent="0.25">
      <c r="A245" s="7"/>
      <c r="B245" s="8">
        <v>2413</v>
      </c>
      <c r="C245" s="1" t="s">
        <v>933</v>
      </c>
      <c r="D245" s="1">
        <f t="shared" si="13"/>
        <v>2413</v>
      </c>
      <c r="E245" s="1" t="s">
        <v>932</v>
      </c>
      <c r="F245" s="8" t="str">
        <f t="shared" si="11"/>
        <v>PT</v>
      </c>
      <c r="G245" s="2">
        <v>41.409090909090907</v>
      </c>
      <c r="H245" s="2">
        <f>SUMIF(RouteID_Conversion!$J$2:$J$999,AM_BoardingByRoute!$D$3:$D$426,RouteID_Conversion!$K$2:$K$999)</f>
        <v>28.704005002975435</v>
      </c>
    </row>
    <row r="246" spans="1:8" ht="15" customHeight="1" x14ac:dyDescent="0.25">
      <c r="A246" s="7"/>
      <c r="B246" s="8">
        <v>2444</v>
      </c>
      <c r="C246" s="1" t="s">
        <v>780</v>
      </c>
      <c r="D246" s="1">
        <f t="shared" si="13"/>
        <v>2444</v>
      </c>
      <c r="E246" s="1" t="s">
        <v>1918</v>
      </c>
      <c r="F246" s="8" t="str">
        <f t="shared" si="11"/>
        <v>PT</v>
      </c>
      <c r="G246" s="2">
        <v>13.272727272727273</v>
      </c>
      <c r="H246" s="2">
        <f>SUMIF(RouteID_Conversion!$J$2:$J$999,AM_BoardingByRoute!$D$3:$D$426,RouteID_Conversion!$K$2:$K$999)</f>
        <v>16.5763018131256</v>
      </c>
    </row>
    <row r="247" spans="1:8" ht="15" customHeight="1" x14ac:dyDescent="0.25">
      <c r="A247" s="7"/>
      <c r="B247" s="8"/>
      <c r="C247" s="1" t="s">
        <v>1919</v>
      </c>
      <c r="D247" s="1">
        <f t="shared" si="13"/>
        <v>2446</v>
      </c>
      <c r="E247" s="1" t="s">
        <v>1920</v>
      </c>
      <c r="F247" s="8" t="str">
        <f t="shared" si="11"/>
        <v>PT</v>
      </c>
      <c r="G247" s="2">
        <v>5.6818181818181817</v>
      </c>
      <c r="H247" s="2">
        <f>SUMIF(RouteID_Conversion!$J$2:$J$999,AM_BoardingByRoute!$D$3:$D$426,RouteID_Conversion!$K$2:$K$999)</f>
        <v>0</v>
      </c>
    </row>
    <row r="248" spans="1:8" ht="15" customHeight="1" x14ac:dyDescent="0.25">
      <c r="A248" s="7"/>
      <c r="B248" s="8">
        <v>2490</v>
      </c>
      <c r="C248" s="1" t="s">
        <v>1020</v>
      </c>
      <c r="D248" s="1">
        <f t="shared" si="13"/>
        <v>2490</v>
      </c>
      <c r="E248" s="1" t="s">
        <v>1921</v>
      </c>
      <c r="F248" s="8" t="str">
        <f t="shared" si="11"/>
        <v>PT</v>
      </c>
      <c r="G248" s="2">
        <v>75.681818181818187</v>
      </c>
      <c r="H248" s="2">
        <f>SUMIF(RouteID_Conversion!$J$2:$J$999,AM_BoardingByRoute!$D$3:$D$426,RouteID_Conversion!$K$2:$K$999)</f>
        <v>151.90649032592762</v>
      </c>
    </row>
    <row r="249" spans="1:8" ht="15" customHeight="1" x14ac:dyDescent="0.25">
      <c r="A249" s="7"/>
      <c r="B249" s="8">
        <v>2495</v>
      </c>
      <c r="C249" s="1" t="s">
        <v>1006</v>
      </c>
      <c r="D249" s="1">
        <f t="shared" si="13"/>
        <v>2495</v>
      </c>
      <c r="E249" s="1" t="s">
        <v>1005</v>
      </c>
      <c r="F249" s="8" t="str">
        <f t="shared" si="11"/>
        <v>PT</v>
      </c>
      <c r="G249" s="2">
        <v>59.545454545454547</v>
      </c>
      <c r="H249" s="2">
        <f>SUMIF(RouteID_Conversion!$J$2:$J$999,AM_BoardingByRoute!$D$3:$D$426,RouteID_Conversion!$K$2:$K$999)</f>
        <v>20.787745952606191</v>
      </c>
    </row>
    <row r="250" spans="1:8" ht="15" customHeight="1" x14ac:dyDescent="0.25">
      <c r="A250" s="7"/>
      <c r="B250" s="8">
        <v>2496</v>
      </c>
      <c r="C250" s="1" t="s">
        <v>363</v>
      </c>
      <c r="D250" s="1">
        <f t="shared" si="13"/>
        <v>2496</v>
      </c>
      <c r="E250" s="1" t="s">
        <v>1922</v>
      </c>
      <c r="F250" s="8" t="str">
        <f t="shared" si="11"/>
        <v>PT</v>
      </c>
      <c r="G250" s="2">
        <v>84.72727272727272</v>
      </c>
      <c r="H250" s="2">
        <f>SUMIF(RouteID_Conversion!$J$2:$J$999,AM_BoardingByRoute!$D$3:$D$426,RouteID_Conversion!$K$2:$K$999)</f>
        <v>68.042628288268929</v>
      </c>
    </row>
    <row r="251" spans="1:8" ht="15" customHeight="1" x14ac:dyDescent="0.25">
      <c r="A251" s="7"/>
      <c r="B251" s="8">
        <v>2497</v>
      </c>
      <c r="C251" s="1" t="s">
        <v>775</v>
      </c>
      <c r="D251" s="1">
        <f t="shared" si="13"/>
        <v>2497</v>
      </c>
      <c r="E251" s="1" t="s">
        <v>1923</v>
      </c>
      <c r="F251" s="8" t="str">
        <f t="shared" si="11"/>
        <v>PT</v>
      </c>
      <c r="G251" s="2">
        <v>54.31818181818182</v>
      </c>
      <c r="H251" s="2">
        <f>SUMIF(RouteID_Conversion!$J$2:$J$999,AM_BoardingByRoute!$D$3:$D$426,RouteID_Conversion!$K$2:$K$999)</f>
        <v>0</v>
      </c>
    </row>
    <row r="252" spans="1:8" ht="15" customHeight="1" x14ac:dyDescent="0.25">
      <c r="A252" s="7"/>
      <c r="B252" s="8">
        <v>2500</v>
      </c>
      <c r="C252" s="1" t="s">
        <v>530</v>
      </c>
      <c r="D252" s="1">
        <f t="shared" si="13"/>
        <v>2500</v>
      </c>
      <c r="E252" s="1" t="s">
        <v>529</v>
      </c>
      <c r="F252" s="8" t="str">
        <f t="shared" si="11"/>
        <v>PT</v>
      </c>
      <c r="G252" s="2">
        <v>194.40909090909091</v>
      </c>
      <c r="H252" s="2">
        <f>SUMIF(RouteID_Conversion!$J$2:$J$999,AM_BoardingByRoute!$D$3:$D$426,RouteID_Conversion!$K$2:$K$999)</f>
        <v>398.18479919433571</v>
      </c>
    </row>
    <row r="253" spans="1:8" ht="15" customHeight="1" x14ac:dyDescent="0.25">
      <c r="A253" s="7"/>
      <c r="B253" s="8">
        <v>2501</v>
      </c>
      <c r="C253" s="1" t="s">
        <v>772</v>
      </c>
      <c r="D253" s="1">
        <f t="shared" si="13"/>
        <v>2501</v>
      </c>
      <c r="E253" s="1" t="s">
        <v>1924</v>
      </c>
      <c r="F253" s="8" t="str">
        <f t="shared" si="11"/>
        <v>PT</v>
      </c>
      <c r="G253" s="2">
        <v>158.86363636363637</v>
      </c>
      <c r="H253" s="2">
        <f>SUMIF(RouteID_Conversion!$J$2:$J$999,AM_BoardingByRoute!$D$3:$D$426,RouteID_Conversion!$K$2:$K$999)</f>
        <v>409.42977142333939</v>
      </c>
    </row>
    <row r="254" spans="1:8" ht="15" customHeight="1" x14ac:dyDescent="0.25">
      <c r="A254" s="7"/>
      <c r="B254" s="8">
        <v>2601</v>
      </c>
      <c r="C254" s="1" t="s">
        <v>1060</v>
      </c>
      <c r="D254" s="1">
        <f t="shared" si="13"/>
        <v>2601</v>
      </c>
      <c r="E254" s="1" t="s">
        <v>1059</v>
      </c>
      <c r="F254" s="8" t="str">
        <f t="shared" si="11"/>
        <v>PT</v>
      </c>
      <c r="G254" s="2">
        <v>37.31818181818182</v>
      </c>
      <c r="H254" s="2">
        <f>SUMIF(RouteID_Conversion!$J$2:$J$999,AM_BoardingByRoute!$D$3:$D$426,RouteID_Conversion!$K$2:$K$999)</f>
        <v>20.122513294219949</v>
      </c>
    </row>
    <row r="255" spans="1:8" ht="15" customHeight="1" x14ac:dyDescent="0.25">
      <c r="A255" s="7"/>
      <c r="B255" s="8">
        <v>2603</v>
      </c>
      <c r="C255" s="1" t="s">
        <v>824</v>
      </c>
      <c r="D255" s="1">
        <f t="shared" si="13"/>
        <v>2603</v>
      </c>
      <c r="E255" s="1" t="s">
        <v>823</v>
      </c>
      <c r="F255" s="8" t="str">
        <f t="shared" si="11"/>
        <v>PT</v>
      </c>
      <c r="G255" s="2">
        <v>62.227272727272727</v>
      </c>
      <c r="H255" s="2">
        <f>SUMIF(RouteID_Conversion!$J$2:$J$999,AM_BoardingByRoute!$D$3:$D$426,RouteID_Conversion!$K$2:$K$999)</f>
        <v>34.516501128673461</v>
      </c>
    </row>
    <row r="256" spans="1:8" ht="15" customHeight="1" x14ac:dyDescent="0.25">
      <c r="A256" s="7"/>
      <c r="B256" s="8">
        <v>3101</v>
      </c>
      <c r="C256" s="1" t="s">
        <v>635</v>
      </c>
      <c r="D256" s="1">
        <f t="shared" ref="D256:D282" si="14">MID(C256,3,3)+3000</f>
        <v>3101</v>
      </c>
      <c r="E256" s="1" t="s">
        <v>1925</v>
      </c>
      <c r="F256" s="8" t="str">
        <f t="shared" si="11"/>
        <v>CT</v>
      </c>
      <c r="G256" s="2">
        <v>326.78394485843756</v>
      </c>
      <c r="H256" s="2">
        <f>SUMIF(RouteID_Conversion!$J$2:$J$999,AM_BoardingByRoute!$D$3:$D$426,RouteID_Conversion!$K$2:$K$999)</f>
        <v>609.32039642333871</v>
      </c>
    </row>
    <row r="257" spans="1:8" ht="15" customHeight="1" x14ac:dyDescent="0.25">
      <c r="A257" s="7"/>
      <c r="B257" s="8">
        <v>3105</v>
      </c>
      <c r="C257" s="1" t="s">
        <v>630</v>
      </c>
      <c r="D257" s="1">
        <f t="shared" si="14"/>
        <v>3105</v>
      </c>
      <c r="E257" s="1" t="s">
        <v>1926</v>
      </c>
      <c r="F257" s="8" t="str">
        <f t="shared" ref="F257:F311" si="15">MID(C257,1,2)</f>
        <v>CT</v>
      </c>
      <c r="G257" s="2">
        <v>245.18336953845946</v>
      </c>
      <c r="H257" s="2">
        <f>SUMIF(RouteID_Conversion!$J$2:$J$999,AM_BoardingByRoute!$D$3:$D$426,RouteID_Conversion!$K$2:$K$999)</f>
        <v>405.36340332031227</v>
      </c>
    </row>
    <row r="258" spans="1:8" ht="15" customHeight="1" x14ac:dyDescent="0.25">
      <c r="A258" s="7"/>
      <c r="B258" s="8">
        <v>3106</v>
      </c>
      <c r="C258" s="1" t="s">
        <v>519</v>
      </c>
      <c r="D258" s="1">
        <f t="shared" si="14"/>
        <v>3106</v>
      </c>
      <c r="E258" s="1" t="s">
        <v>1927</v>
      </c>
      <c r="F258" s="8" t="str">
        <f t="shared" si="15"/>
        <v>CT</v>
      </c>
      <c r="G258" s="2">
        <v>19.257371176632681</v>
      </c>
      <c r="H258" s="2">
        <f>SUMIF(RouteID_Conversion!$J$2:$J$999,AM_BoardingByRoute!$D$3:$D$426,RouteID_Conversion!$K$2:$K$999)</f>
        <v>49.151424884796057</v>
      </c>
    </row>
    <row r="259" spans="1:8" ht="15" customHeight="1" x14ac:dyDescent="0.25">
      <c r="A259" s="7"/>
      <c r="B259" s="8">
        <v>3110</v>
      </c>
      <c r="C259" s="1" t="s">
        <v>1188</v>
      </c>
      <c r="D259" s="1">
        <f t="shared" si="14"/>
        <v>3110</v>
      </c>
      <c r="E259" s="1" t="s">
        <v>1928</v>
      </c>
      <c r="F259" s="8" t="str">
        <f t="shared" si="15"/>
        <v>CT</v>
      </c>
      <c r="G259" s="2">
        <v>107.82780989770201</v>
      </c>
      <c r="H259" s="2">
        <f>SUMIF(RouteID_Conversion!$J$2:$J$999,AM_BoardingByRoute!$D$3:$D$426,RouteID_Conversion!$K$2:$K$999)</f>
        <v>77.847758293151799</v>
      </c>
    </row>
    <row r="260" spans="1:8" ht="15" customHeight="1" x14ac:dyDescent="0.25">
      <c r="A260" s="7"/>
      <c r="B260" s="8">
        <v>3112</v>
      </c>
      <c r="C260" s="1" t="s">
        <v>1132</v>
      </c>
      <c r="D260" s="1">
        <f t="shared" si="14"/>
        <v>3112</v>
      </c>
      <c r="E260" s="1" t="s">
        <v>1929</v>
      </c>
      <c r="F260" s="8" t="str">
        <f t="shared" si="15"/>
        <v>CT</v>
      </c>
      <c r="G260" s="2">
        <v>248.20382865482011</v>
      </c>
      <c r="H260" s="2">
        <f>SUMIF(RouteID_Conversion!$J$2:$J$999,AM_BoardingByRoute!$D$3:$D$426,RouteID_Conversion!$K$2:$K$999)</f>
        <v>275.61708259582497</v>
      </c>
    </row>
    <row r="261" spans="1:8" ht="15" customHeight="1" x14ac:dyDescent="0.25">
      <c r="A261" s="7"/>
      <c r="B261" s="8">
        <v>3113</v>
      </c>
      <c r="C261" s="1" t="s">
        <v>1232</v>
      </c>
      <c r="D261" s="1">
        <f t="shared" si="14"/>
        <v>3113</v>
      </c>
      <c r="E261" s="1" t="s">
        <v>1930</v>
      </c>
      <c r="F261" s="8" t="str">
        <f t="shared" si="15"/>
        <v>CT</v>
      </c>
      <c r="G261" s="2">
        <v>176.17066117633328</v>
      </c>
      <c r="H261" s="2">
        <f>SUMIF(RouteID_Conversion!$J$2:$J$999,AM_BoardingByRoute!$D$3:$D$426,RouteID_Conversion!$K$2:$K$999)</f>
        <v>617.45001983642237</v>
      </c>
    </row>
    <row r="262" spans="1:8" ht="15" customHeight="1" x14ac:dyDescent="0.25">
      <c r="A262" s="7"/>
      <c r="B262" s="8">
        <v>3115</v>
      </c>
      <c r="C262" s="1" t="s">
        <v>1241</v>
      </c>
      <c r="D262" s="1">
        <f t="shared" si="14"/>
        <v>3115</v>
      </c>
      <c r="E262" s="1" t="s">
        <v>1931</v>
      </c>
      <c r="F262" s="8" t="str">
        <f t="shared" si="15"/>
        <v>CT</v>
      </c>
      <c r="G262" s="2">
        <v>318.67979996898356</v>
      </c>
      <c r="H262" s="2">
        <f>SUMIF(RouteID_Conversion!$J$2:$J$999,AM_BoardingByRoute!$D$3:$D$426,RouteID_Conversion!$K$2:$K$999)</f>
        <v>545.26665115356286</v>
      </c>
    </row>
    <row r="263" spans="1:8" ht="15" customHeight="1" x14ac:dyDescent="0.25">
      <c r="A263" s="7"/>
      <c r="B263" s="8">
        <v>3116</v>
      </c>
      <c r="C263" s="1" t="s">
        <v>1237</v>
      </c>
      <c r="D263" s="1">
        <f t="shared" si="14"/>
        <v>3116</v>
      </c>
      <c r="E263" s="1" t="s">
        <v>1932</v>
      </c>
      <c r="F263" s="8" t="str">
        <f t="shared" si="15"/>
        <v>CT</v>
      </c>
      <c r="G263" s="2">
        <v>250.34884382767353</v>
      </c>
      <c r="H263" s="2">
        <f>SUMIF(RouteID_Conversion!$J$2:$J$999,AM_BoardingByRoute!$D$3:$D$426,RouteID_Conversion!$K$2:$K$999)</f>
        <v>483.90570068359182</v>
      </c>
    </row>
    <row r="264" spans="1:8" ht="15" customHeight="1" x14ac:dyDescent="0.25">
      <c r="A264" s="7"/>
      <c r="B264" s="8">
        <v>3118</v>
      </c>
      <c r="C264" s="1" t="s">
        <v>1227</v>
      </c>
      <c r="D264" s="1">
        <f t="shared" si="14"/>
        <v>3118</v>
      </c>
      <c r="E264" s="1" t="s">
        <v>1933</v>
      </c>
      <c r="F264" s="8" t="str">
        <f t="shared" si="15"/>
        <v>CT</v>
      </c>
      <c r="G264" s="2">
        <v>258.61549388248829</v>
      </c>
      <c r="H264" s="2">
        <f>SUMIF(RouteID_Conversion!$J$2:$J$999,AM_BoardingByRoute!$D$3:$D$426,RouteID_Conversion!$K$2:$K$999)</f>
        <v>275.87547492980929</v>
      </c>
    </row>
    <row r="265" spans="1:8" ht="15" customHeight="1" x14ac:dyDescent="0.25">
      <c r="A265" s="7"/>
      <c r="B265" s="8">
        <v>3119</v>
      </c>
      <c r="C265" s="1" t="s">
        <v>1222</v>
      </c>
      <c r="D265" s="1">
        <f t="shared" si="14"/>
        <v>3119</v>
      </c>
      <c r="E265" s="1" t="s">
        <v>1934</v>
      </c>
      <c r="F265" s="8" t="str">
        <f t="shared" si="15"/>
        <v>CT</v>
      </c>
      <c r="G265" s="2">
        <v>63.855093634584932</v>
      </c>
      <c r="H265" s="2">
        <f>SUMIF(RouteID_Conversion!$J$2:$J$999,AM_BoardingByRoute!$D$3:$D$426,RouteID_Conversion!$K$2:$K$999)</f>
        <v>54.471185684204002</v>
      </c>
    </row>
    <row r="266" spans="1:8" ht="15" customHeight="1" x14ac:dyDescent="0.25">
      <c r="A266" s="7"/>
      <c r="B266" s="8">
        <v>3120</v>
      </c>
      <c r="C266" s="1" t="s">
        <v>441</v>
      </c>
      <c r="D266" s="1">
        <f t="shared" si="14"/>
        <v>3120</v>
      </c>
      <c r="E266" s="1" t="s">
        <v>1935</v>
      </c>
      <c r="F266" s="8" t="str">
        <f t="shared" si="15"/>
        <v>CT</v>
      </c>
      <c r="G266" s="2">
        <v>8.3849976197628546</v>
      </c>
      <c r="H266" s="2">
        <f>SUMIF(RouteID_Conversion!$J$2:$J$999,AM_BoardingByRoute!$D$3:$D$426,RouteID_Conversion!$K$2:$K$999)</f>
        <v>15.13291311264037</v>
      </c>
    </row>
    <row r="267" spans="1:8" ht="15" customHeight="1" x14ac:dyDescent="0.25">
      <c r="A267" s="7"/>
      <c r="B267" s="8">
        <v>3121</v>
      </c>
      <c r="C267" s="1" t="s">
        <v>627</v>
      </c>
      <c r="D267" s="1">
        <f t="shared" si="14"/>
        <v>3121</v>
      </c>
      <c r="E267" s="1" t="s">
        <v>1936</v>
      </c>
      <c r="F267" s="8" t="str">
        <f t="shared" si="15"/>
        <v>CT</v>
      </c>
      <c r="G267" s="2">
        <v>147.31197433610245</v>
      </c>
      <c r="H267" s="2">
        <f>SUMIF(RouteID_Conversion!$J$2:$J$999,AM_BoardingByRoute!$D$3:$D$426,RouteID_Conversion!$K$2:$K$999)</f>
        <v>192.28944396972628</v>
      </c>
    </row>
    <row r="268" spans="1:8" ht="15" customHeight="1" x14ac:dyDescent="0.25">
      <c r="A268" s="7"/>
      <c r="B268" s="8">
        <v>3130</v>
      </c>
      <c r="C268" s="1" t="s">
        <v>622</v>
      </c>
      <c r="D268" s="1">
        <f t="shared" si="14"/>
        <v>3130</v>
      </c>
      <c r="E268" s="1" t="s">
        <v>1937</v>
      </c>
      <c r="F268" s="8" t="str">
        <f t="shared" si="15"/>
        <v>CT</v>
      </c>
      <c r="G268" s="2">
        <v>130.41101185556326</v>
      </c>
      <c r="H268" s="2">
        <f>SUMIF(RouteID_Conversion!$J$2:$J$999,AM_BoardingByRoute!$D$3:$D$426,RouteID_Conversion!$K$2:$K$999)</f>
        <v>97.699099540710193</v>
      </c>
    </row>
    <row r="269" spans="1:8" ht="15" customHeight="1" x14ac:dyDescent="0.25">
      <c r="A269" s="7"/>
      <c r="B269" s="8">
        <v>3131</v>
      </c>
      <c r="C269" s="1" t="s">
        <v>1183</v>
      </c>
      <c r="D269" s="1">
        <f t="shared" si="14"/>
        <v>3131</v>
      </c>
      <c r="E269" s="1" t="s">
        <v>1938</v>
      </c>
      <c r="F269" s="8" t="str">
        <f t="shared" si="15"/>
        <v>CT</v>
      </c>
      <c r="G269" s="2">
        <v>114.83193473913033</v>
      </c>
      <c r="H269" s="2">
        <f>SUMIF(RouteID_Conversion!$J$2:$J$999,AM_BoardingByRoute!$D$3:$D$426,RouteID_Conversion!$K$2:$K$999)</f>
        <v>115.1564359664913</v>
      </c>
    </row>
    <row r="270" spans="1:8" ht="15" customHeight="1" x14ac:dyDescent="0.25">
      <c r="A270" s="7"/>
      <c r="B270" s="8">
        <v>3190</v>
      </c>
      <c r="C270" s="1" t="s">
        <v>619</v>
      </c>
      <c r="D270" s="1">
        <f t="shared" si="14"/>
        <v>3190</v>
      </c>
      <c r="E270" s="1" t="s">
        <v>1939</v>
      </c>
      <c r="F270" s="8" t="str">
        <f t="shared" si="15"/>
        <v>CT</v>
      </c>
      <c r="G270" s="2">
        <v>62.739119858047772</v>
      </c>
      <c r="H270" s="2">
        <f>SUMIF(RouteID_Conversion!$J$2:$J$999,AM_BoardingByRoute!$D$3:$D$426,RouteID_Conversion!$K$2:$K$999)</f>
        <v>28.435123443603487</v>
      </c>
    </row>
    <row r="271" spans="1:8" ht="15" customHeight="1" x14ac:dyDescent="0.25">
      <c r="A271" s="7"/>
      <c r="B271" s="8">
        <v>3200</v>
      </c>
      <c r="C271" s="1" t="s">
        <v>1628</v>
      </c>
      <c r="D271" s="1">
        <f t="shared" si="14"/>
        <v>3200</v>
      </c>
      <c r="E271" s="1" t="s">
        <v>1940</v>
      </c>
      <c r="F271" s="8" t="str">
        <f t="shared" si="15"/>
        <v>CT</v>
      </c>
      <c r="G271" s="2">
        <v>134.51904635283356</v>
      </c>
      <c r="H271" s="2">
        <f>SUMIF(RouteID_Conversion!$J$2:$J$999,AM_BoardingByRoute!$D$3:$D$426,RouteID_Conversion!$K$2:$K$999)</f>
        <v>502.26646423339702</v>
      </c>
    </row>
    <row r="272" spans="1:8" ht="15" customHeight="1" x14ac:dyDescent="0.25">
      <c r="A272" s="7"/>
      <c r="B272" s="8">
        <v>3201</v>
      </c>
      <c r="C272" s="1" t="s">
        <v>1625</v>
      </c>
      <c r="D272" s="1">
        <f t="shared" si="14"/>
        <v>3201</v>
      </c>
      <c r="E272" s="1" t="s">
        <v>1941</v>
      </c>
      <c r="F272" s="8" t="str">
        <f t="shared" si="15"/>
        <v>CT</v>
      </c>
      <c r="G272" s="2">
        <v>269.70191409064688</v>
      </c>
      <c r="H272" s="2">
        <f>SUMIF(RouteID_Conversion!$J$2:$J$999,AM_BoardingByRoute!$D$3:$D$426,RouteID_Conversion!$K$2:$K$999)</f>
        <v>956.70467376708802</v>
      </c>
    </row>
    <row r="273" spans="1:8" ht="15" customHeight="1" x14ac:dyDescent="0.25">
      <c r="A273" s="7"/>
      <c r="B273" s="8">
        <v>3202</v>
      </c>
      <c r="C273" s="1" t="s">
        <v>1621</v>
      </c>
      <c r="D273" s="1">
        <f t="shared" si="14"/>
        <v>3202</v>
      </c>
      <c r="E273" s="1" t="s">
        <v>1942</v>
      </c>
      <c r="F273" s="8" t="str">
        <f t="shared" si="15"/>
        <v>CT</v>
      </c>
      <c r="G273" s="2">
        <v>135.41479173790989</v>
      </c>
      <c r="H273" s="2">
        <f>SUMIF(RouteID_Conversion!$J$2:$J$999,AM_BoardingByRoute!$D$3:$D$426,RouteID_Conversion!$K$2:$K$999)</f>
        <v>527.09227561950581</v>
      </c>
    </row>
    <row r="274" spans="1:8" ht="15" customHeight="1" x14ac:dyDescent="0.25">
      <c r="A274" s="7"/>
      <c r="B274" s="8">
        <v>3221</v>
      </c>
      <c r="C274" s="1" t="s">
        <v>614</v>
      </c>
      <c r="D274" s="1">
        <f t="shared" si="14"/>
        <v>3221</v>
      </c>
      <c r="E274" s="1" t="s">
        <v>1945</v>
      </c>
      <c r="F274" s="8" t="str">
        <f t="shared" si="15"/>
        <v>CT</v>
      </c>
      <c r="G274" s="2">
        <v>49.919164867472098</v>
      </c>
      <c r="H274" s="2">
        <f>SUMIF(RouteID_Conversion!$J$2:$J$999,AM_BoardingByRoute!$D$3:$D$426,RouteID_Conversion!$K$2:$K$999)</f>
        <v>99.956589698791362</v>
      </c>
    </row>
    <row r="275" spans="1:8" ht="15" customHeight="1" x14ac:dyDescent="0.25">
      <c r="A275" s="7"/>
      <c r="B275" s="8">
        <v>3222</v>
      </c>
      <c r="C275" s="1" t="s">
        <v>1178</v>
      </c>
      <c r="D275" s="1">
        <f t="shared" si="14"/>
        <v>3222</v>
      </c>
      <c r="E275" s="1" t="s">
        <v>1946</v>
      </c>
      <c r="F275" s="8" t="str">
        <f t="shared" si="15"/>
        <v>CT</v>
      </c>
      <c r="G275" s="2">
        <v>41.216483986358945</v>
      </c>
      <c r="H275" s="2">
        <f>SUMIF(RouteID_Conversion!$J$2:$J$999,AM_BoardingByRoute!$D$3:$D$426,RouteID_Conversion!$K$2:$K$999)</f>
        <v>57.872756958007699</v>
      </c>
    </row>
    <row r="276" spans="1:8" ht="15" customHeight="1" x14ac:dyDescent="0.25">
      <c r="A276" s="7"/>
      <c r="B276" s="8">
        <v>3230</v>
      </c>
      <c r="C276" s="1" t="s">
        <v>1173</v>
      </c>
      <c r="D276" s="1">
        <f t="shared" si="14"/>
        <v>3230</v>
      </c>
      <c r="E276" s="1" t="s">
        <v>1949</v>
      </c>
      <c r="F276" s="8" t="str">
        <f t="shared" si="15"/>
        <v>CT</v>
      </c>
      <c r="G276" s="2">
        <v>20.246523946148752</v>
      </c>
      <c r="H276" s="2">
        <f>SUMIF(RouteID_Conversion!$J$2:$J$999,AM_BoardingByRoute!$D$3:$D$426,RouteID_Conversion!$K$2:$K$999)</f>
        <v>24.809257864952059</v>
      </c>
    </row>
    <row r="277" spans="1:8" ht="15" customHeight="1" x14ac:dyDescent="0.25">
      <c r="A277" s="7"/>
      <c r="B277" s="8">
        <v>3240</v>
      </c>
      <c r="C277" s="1" t="s">
        <v>1065</v>
      </c>
      <c r="D277" s="1">
        <f t="shared" si="14"/>
        <v>3240</v>
      </c>
      <c r="E277" s="1" t="s">
        <v>1950</v>
      </c>
      <c r="F277" s="8" t="str">
        <f t="shared" si="15"/>
        <v>CT</v>
      </c>
      <c r="G277" s="2">
        <v>54.347578897242798</v>
      </c>
      <c r="H277" s="2">
        <f>SUMIF(RouteID_Conversion!$J$2:$J$999,AM_BoardingByRoute!$D$3:$D$426,RouteID_Conversion!$K$2:$K$999)</f>
        <v>60.402220726013155</v>
      </c>
    </row>
    <row r="278" spans="1:8" ht="15" customHeight="1" x14ac:dyDescent="0.25">
      <c r="A278" s="7"/>
      <c r="B278" s="8">
        <v>3270</v>
      </c>
      <c r="C278" s="1" t="s">
        <v>1088</v>
      </c>
      <c r="D278" s="1">
        <f t="shared" si="14"/>
        <v>3270</v>
      </c>
      <c r="E278" s="1" t="s">
        <v>1953</v>
      </c>
      <c r="F278" s="8" t="str">
        <f t="shared" si="15"/>
        <v>CT</v>
      </c>
      <c r="G278" s="2">
        <v>128.41044367310948</v>
      </c>
      <c r="H278" s="2">
        <f>SUMIF(RouteID_Conversion!$J$2:$J$999,AM_BoardingByRoute!$D$3:$D$426,RouteID_Conversion!$K$2:$K$999)</f>
        <v>276.53423213958706</v>
      </c>
    </row>
    <row r="279" spans="1:8" ht="15" customHeight="1" x14ac:dyDescent="0.25">
      <c r="A279" s="7"/>
      <c r="B279" s="8">
        <v>3275</v>
      </c>
      <c r="C279" s="1" t="s">
        <v>1102</v>
      </c>
      <c r="D279" s="1">
        <f t="shared" si="14"/>
        <v>3275</v>
      </c>
      <c r="E279" s="1" t="s">
        <v>1956</v>
      </c>
      <c r="F279" s="8" t="str">
        <f t="shared" si="15"/>
        <v>CT</v>
      </c>
      <c r="G279" s="2">
        <v>74.821535591529297</v>
      </c>
      <c r="H279" s="2">
        <f>SUMIF(RouteID_Conversion!$J$2:$J$999,AM_BoardingByRoute!$D$3:$D$426,RouteID_Conversion!$K$2:$K$999)</f>
        <v>92.735754966735499</v>
      </c>
    </row>
    <row r="280" spans="1:8" ht="15" customHeight="1" x14ac:dyDescent="0.25">
      <c r="A280" s="7"/>
      <c r="B280" s="8">
        <v>3280</v>
      </c>
      <c r="C280" s="1" t="s">
        <v>608</v>
      </c>
      <c r="D280" s="1">
        <f t="shared" si="14"/>
        <v>3280</v>
      </c>
      <c r="E280" s="1" t="s">
        <v>1959</v>
      </c>
      <c r="F280" s="8" t="str">
        <f t="shared" si="15"/>
        <v>CT</v>
      </c>
      <c r="G280" s="2">
        <v>86.799572591295245</v>
      </c>
      <c r="H280" s="2">
        <f>SUMIF(RouteID_Conversion!$J$2:$J$999,AM_BoardingByRoute!$D$3:$D$426,RouteID_Conversion!$K$2:$K$999)</f>
        <v>215.41213417053189</v>
      </c>
    </row>
    <row r="281" spans="1:8" ht="15" customHeight="1" x14ac:dyDescent="0.25">
      <c r="A281" s="7"/>
      <c r="B281" s="8">
        <v>3401</v>
      </c>
      <c r="C281" s="1" t="s">
        <v>1740</v>
      </c>
      <c r="D281" s="1">
        <f t="shared" si="14"/>
        <v>3401</v>
      </c>
      <c r="E281" s="1" t="s">
        <v>1960</v>
      </c>
      <c r="F281" s="8" t="str">
        <f t="shared" si="15"/>
        <v>CT</v>
      </c>
      <c r="G281" s="2">
        <v>252.86361917605041</v>
      </c>
      <c r="H281" s="2">
        <f>SUMIF(RouteID_Conversion!$J$2:$J$999,AM_BoardingByRoute!$D$3:$D$426,RouteID_Conversion!$K$2:$K$999)</f>
        <v>295.51564025878878</v>
      </c>
    </row>
    <row r="282" spans="1:8" ht="15" customHeight="1" x14ac:dyDescent="0.25">
      <c r="A282" s="7"/>
      <c r="B282" s="8">
        <v>3402</v>
      </c>
      <c r="C282" s="1" t="s">
        <v>1738</v>
      </c>
      <c r="D282" s="1">
        <f t="shared" si="14"/>
        <v>3402</v>
      </c>
      <c r="E282" s="1" t="s">
        <v>1961</v>
      </c>
      <c r="F282" s="8" t="str">
        <f t="shared" si="15"/>
        <v>CT</v>
      </c>
      <c r="G282" s="2">
        <v>559.68184310587117</v>
      </c>
      <c r="H282" s="2">
        <f>SUMIF(RouteID_Conversion!$J$2:$J$999,AM_BoardingByRoute!$D$3:$D$426,RouteID_Conversion!$K$2:$K$999)</f>
        <v>459.10214233398352</v>
      </c>
    </row>
    <row r="283" spans="1:8" ht="15" customHeight="1" x14ac:dyDescent="0.25">
      <c r="A283" s="7"/>
      <c r="B283" s="8">
        <v>3404</v>
      </c>
      <c r="C283" s="1" t="s">
        <v>1742</v>
      </c>
      <c r="D283" s="1">
        <f t="shared" ref="D283:D308" si="16">MID(C283,3,3)+3000</f>
        <v>3404</v>
      </c>
      <c r="E283" s="1" t="s">
        <v>1962</v>
      </c>
      <c r="F283" s="8" t="str">
        <f t="shared" si="15"/>
        <v>CT</v>
      </c>
      <c r="G283" s="2">
        <v>98.545463889533195</v>
      </c>
      <c r="H283" s="2">
        <f>SUMIF(RouteID_Conversion!$J$2:$J$999,AM_BoardingByRoute!$D$3:$D$426,RouteID_Conversion!$K$2:$K$999)</f>
        <v>183.84166717529291</v>
      </c>
    </row>
    <row r="284" spans="1:8" ht="15" customHeight="1" x14ac:dyDescent="0.25">
      <c r="A284" s="7"/>
      <c r="B284" s="8">
        <v>3406</v>
      </c>
      <c r="C284" s="1" t="s">
        <v>1735</v>
      </c>
      <c r="D284" s="1">
        <f t="shared" si="16"/>
        <v>3406</v>
      </c>
      <c r="E284" s="1" t="s">
        <v>1965</v>
      </c>
      <c r="F284" s="8" t="str">
        <f t="shared" si="15"/>
        <v>CT</v>
      </c>
      <c r="G284" s="2">
        <v>130.02013624664042</v>
      </c>
      <c r="H284" s="2">
        <f>SUMIF(RouteID_Conversion!$J$2:$J$999,AM_BoardingByRoute!$D$3:$D$426,RouteID_Conversion!$K$2:$K$999)</f>
        <v>208.51110839843687</v>
      </c>
    </row>
    <row r="285" spans="1:8" ht="15" customHeight="1" x14ac:dyDescent="0.25">
      <c r="A285" s="7"/>
      <c r="B285" s="8">
        <v>3408</v>
      </c>
      <c r="C285" s="1" t="s">
        <v>1732</v>
      </c>
      <c r="D285" s="1">
        <f t="shared" si="16"/>
        <v>3408</v>
      </c>
      <c r="E285" s="1" t="s">
        <v>1966</v>
      </c>
      <c r="F285" s="8" t="str">
        <f t="shared" si="15"/>
        <v>CT</v>
      </c>
      <c r="G285" s="2">
        <v>145.26609440056475</v>
      </c>
      <c r="H285" s="2">
        <f>SUMIF(RouteID_Conversion!$J$2:$J$999,AM_BoardingByRoute!$D$3:$D$426,RouteID_Conversion!$K$2:$K$999)</f>
        <v>154.57762908935541</v>
      </c>
    </row>
    <row r="286" spans="1:8" ht="15" customHeight="1" x14ac:dyDescent="0.25">
      <c r="A286" s="7"/>
      <c r="B286" s="8">
        <v>3410</v>
      </c>
      <c r="C286" s="1" t="s">
        <v>1729</v>
      </c>
      <c r="D286" s="1">
        <f t="shared" si="16"/>
        <v>3410</v>
      </c>
      <c r="E286" s="1" t="s">
        <v>1967</v>
      </c>
      <c r="F286" s="8" t="str">
        <f t="shared" si="15"/>
        <v>CT</v>
      </c>
      <c r="G286" s="2">
        <v>121.77372216091852</v>
      </c>
      <c r="H286" s="2">
        <f>SUMIF(RouteID_Conversion!$J$2:$J$999,AM_BoardingByRoute!$D$3:$D$426,RouteID_Conversion!$K$2:$K$999)</f>
        <v>175.9094963073729</v>
      </c>
    </row>
    <row r="287" spans="1:8" ht="15" customHeight="1" x14ac:dyDescent="0.25">
      <c r="A287" s="7"/>
      <c r="B287" s="8">
        <v>3411</v>
      </c>
      <c r="C287" s="1" t="s">
        <v>1726</v>
      </c>
      <c r="D287" s="1">
        <f t="shared" si="16"/>
        <v>3411</v>
      </c>
      <c r="E287" s="1" t="s">
        <v>1968</v>
      </c>
      <c r="F287" s="8" t="str">
        <f t="shared" si="15"/>
        <v>CT</v>
      </c>
      <c r="G287" s="2">
        <v>188.17565557948046</v>
      </c>
      <c r="H287" s="2">
        <f>SUMIF(RouteID_Conversion!$J$2:$J$999,AM_BoardingByRoute!$D$3:$D$426,RouteID_Conversion!$K$2:$K$999)</f>
        <v>198.49214172363259</v>
      </c>
    </row>
    <row r="288" spans="1:8" ht="15" customHeight="1" x14ac:dyDescent="0.25">
      <c r="A288" s="7"/>
      <c r="B288" s="8">
        <v>3412</v>
      </c>
      <c r="C288" s="1" t="s">
        <v>1723</v>
      </c>
      <c r="D288" s="1">
        <f t="shared" si="16"/>
        <v>3412</v>
      </c>
      <c r="E288" s="1" t="s">
        <v>1969</v>
      </c>
      <c r="F288" s="8" t="str">
        <f t="shared" si="15"/>
        <v>CT</v>
      </c>
      <c r="G288" s="2">
        <v>283.50899983744358</v>
      </c>
      <c r="H288" s="2">
        <f>SUMIF(RouteID_Conversion!$J$2:$J$999,AM_BoardingByRoute!$D$3:$D$426,RouteID_Conversion!$K$2:$K$999)</f>
        <v>202.04145050048808</v>
      </c>
    </row>
    <row r="289" spans="1:8" ht="15" customHeight="1" x14ac:dyDescent="0.25">
      <c r="A289" s="7"/>
      <c r="B289" s="8"/>
      <c r="C289" s="1" t="s">
        <v>1720</v>
      </c>
      <c r="D289" s="1">
        <f t="shared" si="16"/>
        <v>3413</v>
      </c>
      <c r="E289" s="1" t="s">
        <v>1970</v>
      </c>
      <c r="F289" s="8" t="str">
        <f t="shared" si="15"/>
        <v>CT</v>
      </c>
      <c r="G289" s="2">
        <v>115.30896313304251</v>
      </c>
      <c r="H289" s="2">
        <f>SUMIF(RouteID_Conversion!$J$2:$J$999,AM_BoardingByRoute!$D$3:$D$426,RouteID_Conversion!$K$2:$K$999)</f>
        <v>508.27066040038903</v>
      </c>
    </row>
    <row r="290" spans="1:8" ht="15" customHeight="1" x14ac:dyDescent="0.25">
      <c r="A290" s="7"/>
      <c r="B290" s="8">
        <v>3415</v>
      </c>
      <c r="C290" s="1" t="s">
        <v>1714</v>
      </c>
      <c r="D290" s="1">
        <f t="shared" si="16"/>
        <v>3415</v>
      </c>
      <c r="E290" s="1" t="s">
        <v>1972</v>
      </c>
      <c r="F290" s="8" t="str">
        <f t="shared" si="15"/>
        <v>CT</v>
      </c>
      <c r="G290" s="2">
        <v>249.93148546320515</v>
      </c>
      <c r="H290" s="2">
        <f>SUMIF(RouteID_Conversion!$J$2:$J$999,AM_BoardingByRoute!$D$3:$D$426,RouteID_Conversion!$K$2:$K$999)</f>
        <v>457.05773162841695</v>
      </c>
    </row>
    <row r="291" spans="1:8" ht="15" customHeight="1" x14ac:dyDescent="0.25">
      <c r="A291" s="7"/>
      <c r="B291" s="8">
        <v>3416</v>
      </c>
      <c r="C291" s="1" t="s">
        <v>1711</v>
      </c>
      <c r="D291" s="1">
        <f t="shared" si="16"/>
        <v>3416</v>
      </c>
      <c r="E291" s="1" t="s">
        <v>1973</v>
      </c>
      <c r="F291" s="8" t="str">
        <f t="shared" si="15"/>
        <v>CT</v>
      </c>
      <c r="G291" s="2">
        <v>115.21482745383712</v>
      </c>
      <c r="H291" s="2">
        <f>SUMIF(RouteID_Conversion!$J$2:$J$999,AM_BoardingByRoute!$D$3:$D$426,RouteID_Conversion!$K$2:$K$999)</f>
        <v>215.8890495300291</v>
      </c>
    </row>
    <row r="292" spans="1:8" ht="15" customHeight="1" x14ac:dyDescent="0.25">
      <c r="A292" s="7"/>
      <c r="B292" s="8">
        <v>3417</v>
      </c>
      <c r="C292" s="1" t="s">
        <v>1708</v>
      </c>
      <c r="D292" s="1">
        <f t="shared" si="16"/>
        <v>3417</v>
      </c>
      <c r="E292" s="1" t="s">
        <v>1974</v>
      </c>
      <c r="F292" s="8" t="str">
        <f t="shared" si="15"/>
        <v>CT</v>
      </c>
      <c r="G292" s="2">
        <v>144.74226816393306</v>
      </c>
      <c r="H292" s="2">
        <f>SUMIF(RouteID_Conversion!$J$2:$J$999,AM_BoardingByRoute!$D$3:$D$426,RouteID_Conversion!$K$2:$K$999)</f>
        <v>89.5966472625731</v>
      </c>
    </row>
    <row r="293" spans="1:8" ht="15" customHeight="1" x14ac:dyDescent="0.25">
      <c r="A293" s="7"/>
      <c r="B293" s="8">
        <v>3421</v>
      </c>
      <c r="C293" s="1" t="s">
        <v>1618</v>
      </c>
      <c r="D293" s="1">
        <f t="shared" si="16"/>
        <v>3421</v>
      </c>
      <c r="E293" s="1" t="s">
        <v>1975</v>
      </c>
      <c r="F293" s="8" t="str">
        <f t="shared" si="15"/>
        <v>CT</v>
      </c>
      <c r="G293" s="2">
        <v>129.54123525191409</v>
      </c>
      <c r="H293" s="2">
        <f>SUMIF(RouteID_Conversion!$J$2:$J$999,AM_BoardingByRoute!$D$3:$D$426,RouteID_Conversion!$K$2:$K$999)</f>
        <v>121.5086555480956</v>
      </c>
    </row>
    <row r="294" spans="1:8" ht="15" customHeight="1" x14ac:dyDescent="0.25">
      <c r="A294" s="7"/>
      <c r="B294" s="8"/>
      <c r="C294" s="1" t="s">
        <v>1615</v>
      </c>
      <c r="D294" s="1">
        <f t="shared" si="16"/>
        <v>3422</v>
      </c>
      <c r="E294" s="1" t="s">
        <v>1976</v>
      </c>
      <c r="F294" s="8" t="str">
        <f t="shared" si="15"/>
        <v>CT</v>
      </c>
      <c r="G294" s="2">
        <v>19.530052333710969</v>
      </c>
      <c r="H294" s="2">
        <f>SUMIF(RouteID_Conversion!$J$2:$J$999,AM_BoardingByRoute!$D$3:$D$426,RouteID_Conversion!$K$2:$K$999)</f>
        <v>16.141591548919671</v>
      </c>
    </row>
    <row r="295" spans="1:8" ht="15" customHeight="1" x14ac:dyDescent="0.25">
      <c r="A295" s="7"/>
      <c r="B295" s="8">
        <v>3424</v>
      </c>
      <c r="C295" s="1" t="s">
        <v>1555</v>
      </c>
      <c r="D295" s="1">
        <f t="shared" si="16"/>
        <v>3424</v>
      </c>
      <c r="E295" s="1" t="s">
        <v>1977</v>
      </c>
      <c r="F295" s="8" t="str">
        <f t="shared" si="15"/>
        <v>CT</v>
      </c>
      <c r="G295" s="2">
        <v>39.734462002133668</v>
      </c>
      <c r="H295" s="2">
        <f>SUMIF(RouteID_Conversion!$J$2:$J$999,AM_BoardingByRoute!$D$3:$D$426,RouteID_Conversion!$K$2:$K$999)</f>
        <v>51.956288337707306</v>
      </c>
    </row>
    <row r="296" spans="1:8" ht="15" customHeight="1" x14ac:dyDescent="0.25">
      <c r="A296" s="7"/>
      <c r="B296" s="8">
        <v>3425</v>
      </c>
      <c r="C296" s="1" t="s">
        <v>1612</v>
      </c>
      <c r="D296" s="1">
        <f t="shared" si="16"/>
        <v>3425</v>
      </c>
      <c r="E296" s="1" t="s">
        <v>1978</v>
      </c>
      <c r="F296" s="8" t="str">
        <f t="shared" si="15"/>
        <v>CT</v>
      </c>
      <c r="G296" s="2">
        <v>47.138703064289594</v>
      </c>
      <c r="H296" s="2">
        <f>SUMIF(RouteID_Conversion!$J$2:$J$999,AM_BoardingByRoute!$D$3:$D$426,RouteID_Conversion!$K$2:$K$999)</f>
        <v>16.884640932083112</v>
      </c>
    </row>
    <row r="297" spans="1:8" ht="15" customHeight="1" x14ac:dyDescent="0.25">
      <c r="A297" s="7"/>
      <c r="B297" s="8">
        <v>3435</v>
      </c>
      <c r="C297" s="1" t="s">
        <v>1705</v>
      </c>
      <c r="D297" s="1">
        <f t="shared" si="16"/>
        <v>3435</v>
      </c>
      <c r="E297" s="1" t="s">
        <v>1979</v>
      </c>
      <c r="F297" s="8" t="str">
        <f t="shared" si="15"/>
        <v>CT</v>
      </c>
      <c r="G297" s="2">
        <v>144.26384328190369</v>
      </c>
      <c r="H297" s="2">
        <f>SUMIF(RouteID_Conversion!$J$2:$J$999,AM_BoardingByRoute!$D$3:$D$426,RouteID_Conversion!$K$2:$K$999)</f>
        <v>96.769398689269906</v>
      </c>
    </row>
    <row r="298" spans="1:8" ht="15" customHeight="1" x14ac:dyDescent="0.25">
      <c r="A298" s="7"/>
      <c r="B298" s="8">
        <v>3441</v>
      </c>
      <c r="C298" s="1" t="s">
        <v>1219</v>
      </c>
      <c r="D298" s="1">
        <f t="shared" si="16"/>
        <v>3441</v>
      </c>
      <c r="E298" s="1" t="s">
        <v>1980</v>
      </c>
      <c r="F298" s="8" t="str">
        <f t="shared" si="15"/>
        <v>CT</v>
      </c>
      <c r="G298" s="2">
        <v>35.315983672745482</v>
      </c>
      <c r="H298" s="2">
        <f>SUMIF(RouteID_Conversion!$J$2:$J$999,AM_BoardingByRoute!$D$3:$D$426,RouteID_Conversion!$K$2:$K$999)</f>
        <v>45.255367279052678</v>
      </c>
    </row>
    <row r="299" spans="1:8" ht="15" customHeight="1" x14ac:dyDescent="0.25">
      <c r="A299" s="7"/>
      <c r="B299" s="8">
        <v>3477</v>
      </c>
      <c r="C299" s="1" t="s">
        <v>1702</v>
      </c>
      <c r="D299" s="1">
        <f t="shared" si="16"/>
        <v>3477</v>
      </c>
      <c r="E299" s="1" t="s">
        <v>1981</v>
      </c>
      <c r="F299" s="8" t="str">
        <f t="shared" si="15"/>
        <v>CT</v>
      </c>
      <c r="G299" s="2">
        <v>103.1818</v>
      </c>
      <c r="H299" s="2">
        <f>SUMIF(RouteID_Conversion!$J$2:$J$999,AM_BoardingByRoute!$D$3:$D$426,RouteID_Conversion!$K$2:$K$999)</f>
        <v>121.77031517028799</v>
      </c>
    </row>
    <row r="300" spans="1:8" ht="15" customHeight="1" x14ac:dyDescent="0.25">
      <c r="A300" s="7"/>
      <c r="B300" s="8"/>
      <c r="C300" s="1" t="s">
        <v>1599</v>
      </c>
      <c r="D300" s="1">
        <f t="shared" si="16"/>
        <v>3701</v>
      </c>
      <c r="E300" s="1" t="s">
        <v>1982</v>
      </c>
      <c r="F300" s="8" t="str">
        <f t="shared" si="15"/>
        <v>CT</v>
      </c>
      <c r="G300" s="2">
        <v>534.03099468463847</v>
      </c>
      <c r="H300" s="2">
        <f>SUMIF(RouteID_Conversion!$J$2:$J$999,AM_BoardingByRoute!$D$3:$D$426,RouteID_Conversion!$K$2:$K$999)</f>
        <v>1548.4923706054672</v>
      </c>
    </row>
    <row r="301" spans="1:8" ht="15" customHeight="1" x14ac:dyDescent="0.25">
      <c r="A301" s="7"/>
      <c r="B301" s="8"/>
      <c r="C301" s="1" t="s">
        <v>1076</v>
      </c>
      <c r="D301" s="1">
        <f t="shared" si="16"/>
        <v>3812</v>
      </c>
      <c r="E301" s="1" t="s">
        <v>1985</v>
      </c>
      <c r="F301" s="8" t="str">
        <f t="shared" si="15"/>
        <v>CT</v>
      </c>
      <c r="G301" s="2">
        <v>82.196681849205518</v>
      </c>
      <c r="H301" s="2">
        <f>SUMIF(RouteID_Conversion!$J$2:$J$999,AM_BoardingByRoute!$D$3:$D$426,RouteID_Conversion!$K$2:$K$999)</f>
        <v>152.84169006347651</v>
      </c>
    </row>
    <row r="302" spans="1:8" ht="15" customHeight="1" x14ac:dyDescent="0.25">
      <c r="A302" s="7"/>
      <c r="B302" s="8">
        <v>3821</v>
      </c>
      <c r="C302" s="1" t="s">
        <v>1596</v>
      </c>
      <c r="D302" s="1">
        <f t="shared" si="16"/>
        <v>3821</v>
      </c>
      <c r="E302" s="1" t="s">
        <v>1986</v>
      </c>
      <c r="F302" s="8" t="str">
        <f t="shared" si="15"/>
        <v>CT</v>
      </c>
      <c r="G302" s="2">
        <v>57.292106804778442</v>
      </c>
      <c r="H302" s="2">
        <f>SUMIF(RouteID_Conversion!$J$2:$J$999,AM_BoardingByRoute!$D$3:$D$426,RouteID_Conversion!$K$2:$K$999)</f>
        <v>119.24929618835439</v>
      </c>
    </row>
    <row r="303" spans="1:8" ht="15" customHeight="1" x14ac:dyDescent="0.25">
      <c r="A303" s="7"/>
      <c r="B303" s="8">
        <v>3851</v>
      </c>
      <c r="C303" s="1" t="s">
        <v>1264</v>
      </c>
      <c r="D303" s="1">
        <f t="shared" si="16"/>
        <v>3851</v>
      </c>
      <c r="E303" s="1" t="s">
        <v>1987</v>
      </c>
      <c r="F303" s="8" t="str">
        <f t="shared" si="15"/>
        <v>CT</v>
      </c>
      <c r="G303" s="2">
        <v>133.17867640493739</v>
      </c>
      <c r="H303" s="2">
        <f>SUMIF(RouteID_Conversion!$J$2:$J$999,AM_BoardingByRoute!$D$3:$D$426,RouteID_Conversion!$K$2:$K$999)</f>
        <v>220.279155731201</v>
      </c>
    </row>
    <row r="304" spans="1:8" ht="15" customHeight="1" x14ac:dyDescent="0.25">
      <c r="A304" s="7"/>
      <c r="B304" s="8">
        <v>3855</v>
      </c>
      <c r="C304" s="1" t="s">
        <v>1262</v>
      </c>
      <c r="D304" s="1">
        <f t="shared" si="16"/>
        <v>3855</v>
      </c>
      <c r="E304" s="1" t="s">
        <v>1988</v>
      </c>
      <c r="F304" s="8" t="str">
        <f t="shared" si="15"/>
        <v>CT</v>
      </c>
      <c r="G304" s="2">
        <v>280.78928293796383</v>
      </c>
      <c r="H304" s="2">
        <f>SUMIF(RouteID_Conversion!$J$2:$J$999,AM_BoardingByRoute!$D$3:$D$426,RouteID_Conversion!$K$2:$K$999)</f>
        <v>298.76546478271331</v>
      </c>
    </row>
    <row r="305" spans="1:8" ht="15" customHeight="1" x14ac:dyDescent="0.25">
      <c r="A305" s="7"/>
      <c r="B305" s="8">
        <v>3860</v>
      </c>
      <c r="C305" s="1" t="s">
        <v>1073</v>
      </c>
      <c r="D305" s="1">
        <f t="shared" si="16"/>
        <v>3860</v>
      </c>
      <c r="E305" s="1" t="s">
        <v>1989</v>
      </c>
      <c r="F305" s="8" t="str">
        <f t="shared" si="15"/>
        <v>CT</v>
      </c>
      <c r="G305" s="2">
        <v>163.95029895012226</v>
      </c>
      <c r="H305" s="2">
        <f>SUMIF(RouteID_Conversion!$J$2:$J$999,AM_BoardingByRoute!$D$3:$D$426,RouteID_Conversion!$K$2:$K$999)</f>
        <v>311.5556411743151</v>
      </c>
    </row>
    <row r="306" spans="1:8" ht="15" customHeight="1" x14ac:dyDescent="0.25">
      <c r="A306" s="7"/>
      <c r="B306" s="8">
        <v>3870</v>
      </c>
      <c r="C306" s="1" t="s">
        <v>1166</v>
      </c>
      <c r="D306" s="1">
        <f t="shared" si="16"/>
        <v>3870</v>
      </c>
      <c r="E306" s="1" t="s">
        <v>1990</v>
      </c>
      <c r="F306" s="8" t="str">
        <f t="shared" si="15"/>
        <v>CT</v>
      </c>
      <c r="G306" s="2">
        <v>122.40730956593393</v>
      </c>
      <c r="H306" s="2">
        <f>SUMIF(RouteID_Conversion!$J$2:$J$999,AM_BoardingByRoute!$D$3:$D$426,RouteID_Conversion!$K$2:$K$999)</f>
        <v>176.57869720458959</v>
      </c>
    </row>
    <row r="307" spans="1:8" ht="15" customHeight="1" x14ac:dyDescent="0.25">
      <c r="A307" s="7"/>
      <c r="B307" s="8">
        <v>3871</v>
      </c>
      <c r="C307" s="1" t="s">
        <v>1259</v>
      </c>
      <c r="D307" s="1">
        <f t="shared" si="16"/>
        <v>3871</v>
      </c>
      <c r="E307" s="1" t="s">
        <v>1991</v>
      </c>
      <c r="F307" s="8" t="str">
        <f t="shared" si="15"/>
        <v>CT</v>
      </c>
      <c r="G307" s="2">
        <v>19.960181160878378</v>
      </c>
      <c r="H307" s="2">
        <f>SUMIF(RouteID_Conversion!$J$2:$J$999,AM_BoardingByRoute!$D$3:$D$426,RouteID_Conversion!$K$2:$K$999)</f>
        <v>53.375865936279197</v>
      </c>
    </row>
    <row r="308" spans="1:8" ht="15" customHeight="1" x14ac:dyDescent="0.25">
      <c r="A308" s="7"/>
      <c r="B308" s="8">
        <v>3880</v>
      </c>
      <c r="C308" s="1" t="s">
        <v>1070</v>
      </c>
      <c r="D308" s="1">
        <f t="shared" si="16"/>
        <v>3880</v>
      </c>
      <c r="E308" s="1" t="s">
        <v>1992</v>
      </c>
      <c r="F308" s="8" t="str">
        <f t="shared" si="15"/>
        <v>CT</v>
      </c>
      <c r="G308" s="2">
        <v>206.30965332639028</v>
      </c>
      <c r="H308" s="2">
        <f>SUMIF(RouteID_Conversion!$J$2:$J$999,AM_BoardingByRoute!$D$3:$D$426,RouteID_Conversion!$K$2:$K$999)</f>
        <v>451.16973114013604</v>
      </c>
    </row>
    <row r="309" spans="1:8" ht="15" customHeight="1" x14ac:dyDescent="0.25">
      <c r="A309" s="7"/>
      <c r="B309" s="8">
        <v>4005</v>
      </c>
      <c r="C309" s="1" t="s">
        <v>491</v>
      </c>
      <c r="D309" s="1">
        <f>MID(C309,3,3)+4000</f>
        <v>4005</v>
      </c>
      <c r="E309" s="1" t="s">
        <v>490</v>
      </c>
      <c r="F309" s="8" t="str">
        <f t="shared" si="15"/>
        <v>KT</v>
      </c>
      <c r="G309" s="2">
        <v>41</v>
      </c>
      <c r="H309" s="2">
        <f>SUMIF(RouteID_Conversion!$J$2:$J$999,AM_BoardingByRoute!$D$3:$D$426,RouteID_Conversion!$K$2:$K$999)</f>
        <v>5.9827119261026338</v>
      </c>
    </row>
    <row r="310" spans="1:8" ht="15" customHeight="1" x14ac:dyDescent="0.25">
      <c r="A310" s="7"/>
      <c r="B310" s="8">
        <v>4008</v>
      </c>
      <c r="C310" s="1" t="s">
        <v>494</v>
      </c>
      <c r="D310" s="1">
        <f>MID(C310,3,3)+4000</f>
        <v>4008</v>
      </c>
      <c r="E310" s="1" t="s">
        <v>1995</v>
      </c>
      <c r="F310" s="8" t="str">
        <f t="shared" si="15"/>
        <v>KT</v>
      </c>
      <c r="G310" s="2">
        <v>13</v>
      </c>
      <c r="H310" s="2">
        <f>SUMIF(RouteID_Conversion!$J$2:$J$999,AM_BoardingByRoute!$D$3:$D$426,RouteID_Conversion!$K$2:$K$999)</f>
        <v>9.399894714355451</v>
      </c>
    </row>
    <row r="311" spans="1:8" ht="15" customHeight="1" x14ac:dyDescent="0.25">
      <c r="A311" s="7"/>
      <c r="B311" s="8">
        <v>4009</v>
      </c>
      <c r="C311" s="1" t="s">
        <v>1437</v>
      </c>
      <c r="D311" s="1">
        <f>MID(C311,3,3)+4000</f>
        <v>4009</v>
      </c>
      <c r="E311" s="1" t="s">
        <v>1996</v>
      </c>
      <c r="F311" s="8" t="str">
        <f t="shared" si="15"/>
        <v>KT</v>
      </c>
      <c r="G311" s="2">
        <v>23</v>
      </c>
      <c r="H311" s="2">
        <f>SUMIF(RouteID_Conversion!$J$2:$J$999,AM_BoardingByRoute!$D$3:$D$426,RouteID_Conversion!$K$2:$K$999)</f>
        <v>15.594526290893551</v>
      </c>
    </row>
    <row r="312" spans="1:8" ht="15" customHeight="1" x14ac:dyDescent="0.25">
      <c r="A312" s="7"/>
      <c r="B312" s="8"/>
      <c r="C312" s="1" t="s">
        <v>846</v>
      </c>
      <c r="D312" s="8">
        <v>4011</v>
      </c>
      <c r="E312" s="1" t="s">
        <v>1997</v>
      </c>
      <c r="F312" s="8" t="str">
        <f t="shared" ref="F312:F374" si="17">MID(C312,1,2)</f>
        <v>KT</v>
      </c>
      <c r="G312" s="2">
        <v>203</v>
      </c>
      <c r="H312" s="2">
        <f>SUMIF(RouteID_Conversion!$J$2:$J$999,AM_BoardingByRoute!$D$3:$D$426,RouteID_Conversion!$K$2:$K$999)</f>
        <v>105.09371042251568</v>
      </c>
    </row>
    <row r="313" spans="1:8" ht="15" customHeight="1" x14ac:dyDescent="0.25">
      <c r="A313" s="7"/>
      <c r="B313" s="8">
        <v>4012</v>
      </c>
      <c r="C313" s="1" t="s">
        <v>675</v>
      </c>
      <c r="D313" s="1">
        <f t="shared" ref="D313:D346" si="18">MID(C313,3,3)+4000</f>
        <v>4012</v>
      </c>
      <c r="E313" s="1" t="s">
        <v>674</v>
      </c>
      <c r="F313" s="8" t="str">
        <f t="shared" si="17"/>
        <v>KT</v>
      </c>
      <c r="G313" s="2">
        <v>46</v>
      </c>
      <c r="H313" s="2">
        <f>SUMIF(RouteID_Conversion!$J$2:$J$999,AM_BoardingByRoute!$D$3:$D$426,RouteID_Conversion!$K$2:$K$999)</f>
        <v>33.014328420162144</v>
      </c>
    </row>
    <row r="314" spans="1:8" ht="15" customHeight="1" x14ac:dyDescent="0.25">
      <c r="A314" s="7"/>
      <c r="B314" s="8">
        <v>4013</v>
      </c>
      <c r="C314" s="1" t="s">
        <v>1442</v>
      </c>
      <c r="D314" s="1">
        <f t="shared" si="18"/>
        <v>4013</v>
      </c>
      <c r="E314" s="1" t="s">
        <v>1441</v>
      </c>
      <c r="F314" s="8" t="str">
        <f t="shared" si="17"/>
        <v>KT</v>
      </c>
      <c r="G314" s="2">
        <v>95</v>
      </c>
      <c r="H314" s="2">
        <f>SUMIF(RouteID_Conversion!$J$2:$J$999,AM_BoardingByRoute!$D$3:$D$426,RouteID_Conversion!$K$2:$K$999)</f>
        <v>143.0189590454099</v>
      </c>
    </row>
    <row r="315" spans="1:8" ht="15" customHeight="1" x14ac:dyDescent="0.25">
      <c r="A315" s="7"/>
      <c r="B315" s="8">
        <v>4015</v>
      </c>
      <c r="C315" s="1" t="s">
        <v>1446</v>
      </c>
      <c r="D315" s="1">
        <f t="shared" si="18"/>
        <v>4015</v>
      </c>
      <c r="E315" s="1" t="s">
        <v>1445</v>
      </c>
      <c r="F315" s="8" t="str">
        <f t="shared" si="17"/>
        <v>KT</v>
      </c>
      <c r="G315" s="2">
        <v>58</v>
      </c>
      <c r="H315" s="2">
        <f>SUMIF(RouteID_Conversion!$J$2:$J$999,AM_BoardingByRoute!$D$3:$D$426,RouteID_Conversion!$K$2:$K$999)</f>
        <v>161.7333602905272</v>
      </c>
    </row>
    <row r="316" spans="1:8" ht="15" customHeight="1" x14ac:dyDescent="0.25">
      <c r="A316" s="7"/>
      <c r="B316" s="8">
        <v>4017</v>
      </c>
      <c r="C316" s="1" t="s">
        <v>645</v>
      </c>
      <c r="D316" s="1">
        <f t="shared" si="18"/>
        <v>4017</v>
      </c>
      <c r="E316" s="1" t="s">
        <v>644</v>
      </c>
      <c r="F316" s="8" t="str">
        <f t="shared" si="17"/>
        <v>KT</v>
      </c>
      <c r="G316" s="2">
        <v>49</v>
      </c>
      <c r="H316" s="2">
        <f>SUMIF(RouteID_Conversion!$J$2:$J$999,AM_BoardingByRoute!$D$3:$D$426,RouteID_Conversion!$K$2:$K$999)</f>
        <v>28.507204771041849</v>
      </c>
    </row>
    <row r="317" spans="1:8" ht="15" customHeight="1" x14ac:dyDescent="0.25">
      <c r="A317" s="7"/>
      <c r="B317" s="8">
        <v>4019</v>
      </c>
      <c r="C317" s="1" t="s">
        <v>1449</v>
      </c>
      <c r="D317" s="1">
        <f t="shared" si="18"/>
        <v>4019</v>
      </c>
      <c r="E317" s="1" t="s">
        <v>1448</v>
      </c>
      <c r="F317" s="8" t="str">
        <f t="shared" si="17"/>
        <v>KT</v>
      </c>
      <c r="G317" s="2">
        <v>56</v>
      </c>
      <c r="H317" s="2">
        <f>SUMIF(RouteID_Conversion!$J$2:$J$999,AM_BoardingByRoute!$D$3:$D$426,RouteID_Conversion!$K$2:$K$999)</f>
        <v>59.972920417785502</v>
      </c>
    </row>
    <row r="318" spans="1:8" ht="15" customHeight="1" x14ac:dyDescent="0.25">
      <c r="A318" s="7"/>
      <c r="B318" s="8">
        <v>4020</v>
      </c>
      <c r="C318" s="1" t="s">
        <v>964</v>
      </c>
      <c r="D318" s="1">
        <f t="shared" si="18"/>
        <v>4020</v>
      </c>
      <c r="E318" s="1" t="s">
        <v>963</v>
      </c>
      <c r="F318" s="8" t="str">
        <f t="shared" si="17"/>
        <v>KT</v>
      </c>
      <c r="G318" s="2">
        <v>72</v>
      </c>
      <c r="H318" s="2">
        <f>SUMIF(RouteID_Conversion!$J$2:$J$999,AM_BoardingByRoute!$D$3:$D$426,RouteID_Conversion!$K$2:$K$999)</f>
        <v>93.01091289520221</v>
      </c>
    </row>
    <row r="319" spans="1:8" ht="15" customHeight="1" x14ac:dyDescent="0.25">
      <c r="A319" s="7"/>
      <c r="B319" s="8">
        <v>4021</v>
      </c>
      <c r="C319" s="1" t="s">
        <v>1452</v>
      </c>
      <c r="D319" s="1">
        <f t="shared" si="18"/>
        <v>4021</v>
      </c>
      <c r="E319" s="1" t="s">
        <v>1451</v>
      </c>
      <c r="F319" s="8" t="str">
        <f t="shared" si="17"/>
        <v>KT</v>
      </c>
      <c r="G319" s="2">
        <v>46</v>
      </c>
      <c r="H319" s="2">
        <f>SUMIF(RouteID_Conversion!$J$2:$J$999,AM_BoardingByRoute!$D$3:$D$426,RouteID_Conversion!$K$2:$K$999)</f>
        <v>58.453534126281497</v>
      </c>
    </row>
    <row r="320" spans="1:8" ht="15" customHeight="1" x14ac:dyDescent="0.25">
      <c r="A320" s="7"/>
      <c r="B320" s="8">
        <v>4022</v>
      </c>
      <c r="C320" s="1" t="s">
        <v>968</v>
      </c>
      <c r="D320" s="1">
        <f t="shared" si="18"/>
        <v>4022</v>
      </c>
      <c r="E320" s="1" t="s">
        <v>967</v>
      </c>
      <c r="F320" s="8" t="str">
        <f t="shared" si="17"/>
        <v>KT</v>
      </c>
      <c r="G320" s="2">
        <v>57</v>
      </c>
      <c r="H320" s="2">
        <f>SUMIF(RouteID_Conversion!$J$2:$J$999,AM_BoardingByRoute!$D$3:$D$426,RouteID_Conversion!$K$2:$K$999)</f>
        <v>5.3344460278749404</v>
      </c>
    </row>
    <row r="321" spans="1:8" ht="15" customHeight="1" x14ac:dyDescent="0.25">
      <c r="A321" s="7"/>
      <c r="B321" s="8">
        <v>4023</v>
      </c>
      <c r="C321" s="1" t="s">
        <v>850</v>
      </c>
      <c r="D321" s="1">
        <f t="shared" si="18"/>
        <v>4023</v>
      </c>
      <c r="E321" s="1" t="s">
        <v>849</v>
      </c>
      <c r="F321" s="8" t="str">
        <f t="shared" si="17"/>
        <v>KT</v>
      </c>
      <c r="G321" s="2">
        <v>5</v>
      </c>
      <c r="H321" s="2">
        <f>SUMIF(RouteID_Conversion!$J$2:$J$999,AM_BoardingByRoute!$D$3:$D$426,RouteID_Conversion!$K$2:$K$999)</f>
        <v>28.453627943992593</v>
      </c>
    </row>
    <row r="322" spans="1:8" ht="15" customHeight="1" x14ac:dyDescent="0.25">
      <c r="A322" s="7"/>
      <c r="B322" s="8">
        <v>4024</v>
      </c>
      <c r="C322" s="1" t="s">
        <v>856</v>
      </c>
      <c r="D322" s="1">
        <f t="shared" si="18"/>
        <v>4024</v>
      </c>
      <c r="E322" s="1" t="s">
        <v>855</v>
      </c>
      <c r="F322" s="8" t="str">
        <f t="shared" si="17"/>
        <v>KT</v>
      </c>
      <c r="G322" s="2">
        <v>66</v>
      </c>
      <c r="H322" s="2">
        <f>SUMIF(RouteID_Conversion!$J$2:$J$999,AM_BoardingByRoute!$D$3:$D$426,RouteID_Conversion!$K$2:$K$999)</f>
        <v>55.891166210174418</v>
      </c>
    </row>
    <row r="323" spans="1:8" ht="15" customHeight="1" x14ac:dyDescent="0.25">
      <c r="A323" s="7"/>
      <c r="B323" s="8">
        <v>4025</v>
      </c>
      <c r="C323" s="1" t="s">
        <v>1023</v>
      </c>
      <c r="D323" s="1">
        <f t="shared" si="18"/>
        <v>4025</v>
      </c>
      <c r="E323" s="1" t="s">
        <v>1022</v>
      </c>
      <c r="F323" s="8" t="str">
        <f t="shared" si="17"/>
        <v>KT</v>
      </c>
      <c r="G323" s="2">
        <v>60</v>
      </c>
      <c r="H323" s="2">
        <f>SUMIF(RouteID_Conversion!$J$2:$J$999,AM_BoardingByRoute!$D$3:$D$426,RouteID_Conversion!$K$2:$K$999)</f>
        <v>55.941288471221768</v>
      </c>
    </row>
    <row r="324" spans="1:8" ht="15" customHeight="1" x14ac:dyDescent="0.25">
      <c r="A324" s="7"/>
      <c r="B324" s="8">
        <v>4026</v>
      </c>
      <c r="C324" s="1" t="s">
        <v>831</v>
      </c>
      <c r="D324" s="1">
        <f t="shared" si="18"/>
        <v>4026</v>
      </c>
      <c r="E324" s="1" t="s">
        <v>830</v>
      </c>
      <c r="F324" s="8" t="str">
        <f t="shared" si="17"/>
        <v>KT</v>
      </c>
      <c r="G324" s="2">
        <v>38</v>
      </c>
      <c r="H324" s="2">
        <f>SUMIF(RouteID_Conversion!$J$2:$J$999,AM_BoardingByRoute!$D$3:$D$426,RouteID_Conversion!$K$2:$K$999)</f>
        <v>62.516788959503103</v>
      </c>
    </row>
    <row r="325" spans="1:8" ht="15" customHeight="1" x14ac:dyDescent="0.25">
      <c r="A325" s="7"/>
      <c r="B325" s="8">
        <v>4029</v>
      </c>
      <c r="C325" s="1" t="s">
        <v>1456</v>
      </c>
      <c r="D325" s="1">
        <f t="shared" si="18"/>
        <v>4029</v>
      </c>
      <c r="E325" s="1" t="s">
        <v>1455</v>
      </c>
      <c r="F325" s="8" t="str">
        <f t="shared" si="17"/>
        <v>KT</v>
      </c>
      <c r="G325" s="2">
        <v>37</v>
      </c>
      <c r="H325" s="2">
        <f>SUMIF(RouteID_Conversion!$J$2:$J$999,AM_BoardingByRoute!$D$3:$D$426,RouteID_Conversion!$K$2:$K$999)</f>
        <v>39.624374866485482</v>
      </c>
    </row>
    <row r="326" spans="1:8" ht="15" customHeight="1" x14ac:dyDescent="0.25">
      <c r="A326" s="7"/>
      <c r="B326" s="8">
        <v>4032</v>
      </c>
      <c r="C326" s="1" t="s">
        <v>681</v>
      </c>
      <c r="D326" s="1">
        <f t="shared" si="18"/>
        <v>4032</v>
      </c>
      <c r="E326" s="1" t="s">
        <v>1998</v>
      </c>
      <c r="F326" s="8" t="str">
        <f t="shared" si="17"/>
        <v>KT</v>
      </c>
      <c r="G326" s="2">
        <v>28</v>
      </c>
      <c r="H326" s="2">
        <f>SUMIF(RouteID_Conversion!$J$2:$J$999,AM_BoardingByRoute!$D$3:$D$426,RouteID_Conversion!$K$2:$K$999)</f>
        <v>14.741270035505279</v>
      </c>
    </row>
    <row r="327" spans="1:8" ht="15" customHeight="1" x14ac:dyDescent="0.25">
      <c r="A327" s="7"/>
      <c r="B327" s="8">
        <v>4033</v>
      </c>
      <c r="C327" s="1" t="s">
        <v>657</v>
      </c>
      <c r="D327" s="1">
        <f t="shared" si="18"/>
        <v>4033</v>
      </c>
      <c r="E327" s="1" t="s">
        <v>656</v>
      </c>
      <c r="F327" s="8" t="str">
        <f t="shared" si="17"/>
        <v>KT</v>
      </c>
      <c r="G327" s="2">
        <v>35</v>
      </c>
      <c r="H327" s="2">
        <f>SUMIF(RouteID_Conversion!$J$2:$J$999,AM_BoardingByRoute!$D$3:$D$426,RouteID_Conversion!$K$2:$K$999)</f>
        <v>41.777904510497976</v>
      </c>
    </row>
    <row r="328" spans="1:8" ht="15" customHeight="1" x14ac:dyDescent="0.25">
      <c r="A328" s="7"/>
      <c r="B328" s="8">
        <v>4034</v>
      </c>
      <c r="C328" s="1" t="s">
        <v>649</v>
      </c>
      <c r="D328" s="1">
        <f t="shared" si="18"/>
        <v>4034</v>
      </c>
      <c r="E328" s="1" t="s">
        <v>648</v>
      </c>
      <c r="F328" s="8" t="str">
        <f t="shared" si="17"/>
        <v>KT</v>
      </c>
      <c r="G328" s="2">
        <v>24</v>
      </c>
      <c r="H328" s="2">
        <f>SUMIF(RouteID_Conversion!$J$2:$J$999,AM_BoardingByRoute!$D$3:$D$426,RouteID_Conversion!$K$2:$K$999)</f>
        <v>2.5714287459850276</v>
      </c>
    </row>
    <row r="329" spans="1:8" ht="15" customHeight="1" x14ac:dyDescent="0.25">
      <c r="A329" s="7"/>
      <c r="B329" s="8">
        <v>4035</v>
      </c>
      <c r="C329" s="1" t="s">
        <v>710</v>
      </c>
      <c r="D329" s="1">
        <f t="shared" si="18"/>
        <v>4035</v>
      </c>
      <c r="E329" s="1" t="s">
        <v>709</v>
      </c>
      <c r="F329" s="8" t="str">
        <f t="shared" si="17"/>
        <v>KT</v>
      </c>
      <c r="G329" s="2">
        <v>9</v>
      </c>
      <c r="H329" s="2">
        <f>SUMIF(RouteID_Conversion!$J$2:$J$999,AM_BoardingByRoute!$D$3:$D$426,RouteID_Conversion!$K$2:$K$999)</f>
        <v>0</v>
      </c>
    </row>
    <row r="330" spans="1:8" ht="15" customHeight="1" x14ac:dyDescent="0.25">
      <c r="A330" s="7"/>
      <c r="B330" s="8">
        <v>4036</v>
      </c>
      <c r="C330" s="1" t="s">
        <v>1516</v>
      </c>
      <c r="D330" s="1">
        <f t="shared" si="18"/>
        <v>4036</v>
      </c>
      <c r="E330" s="1" t="s">
        <v>1515</v>
      </c>
      <c r="F330" s="8" t="str">
        <f t="shared" si="17"/>
        <v>KT</v>
      </c>
      <c r="G330" s="2">
        <v>11</v>
      </c>
      <c r="H330" s="2">
        <f>SUMIF(RouteID_Conversion!$J$2:$J$999,AM_BoardingByRoute!$D$3:$D$426,RouteID_Conversion!$K$2:$K$999)</f>
        <v>2.3214285969734183</v>
      </c>
    </row>
    <row r="331" spans="1:8" ht="15" customHeight="1" x14ac:dyDescent="0.25">
      <c r="A331" s="7"/>
      <c r="B331" s="8">
        <v>4037</v>
      </c>
      <c r="C331" s="1" t="s">
        <v>1521</v>
      </c>
      <c r="D331" s="1">
        <f t="shared" si="18"/>
        <v>4037</v>
      </c>
      <c r="E331" s="1" t="s">
        <v>1520</v>
      </c>
      <c r="F331" s="8" t="str">
        <f t="shared" si="17"/>
        <v>KT</v>
      </c>
      <c r="G331" s="2">
        <v>17</v>
      </c>
      <c r="H331" s="2">
        <f>SUMIF(RouteID_Conversion!$J$2:$J$999,AM_BoardingByRoute!$D$3:$D$426,RouteID_Conversion!$K$2:$K$999)</f>
        <v>3.065844058990467</v>
      </c>
    </row>
    <row r="332" spans="1:8" ht="15" customHeight="1" x14ac:dyDescent="0.25">
      <c r="A332" s="7"/>
      <c r="B332" s="8">
        <v>4041</v>
      </c>
      <c r="C332" s="1" t="s">
        <v>685</v>
      </c>
      <c r="D332" s="1">
        <f t="shared" si="18"/>
        <v>4041</v>
      </c>
      <c r="E332" s="1" t="s">
        <v>684</v>
      </c>
      <c r="F332" s="8" t="str">
        <f t="shared" si="17"/>
        <v>KT</v>
      </c>
      <c r="G332" s="2">
        <v>8</v>
      </c>
      <c r="H332" s="2">
        <f>SUMIF(RouteID_Conversion!$J$2:$J$999,AM_BoardingByRoute!$D$3:$D$426,RouteID_Conversion!$K$2:$K$999)</f>
        <v>0</v>
      </c>
    </row>
    <row r="333" spans="1:8" ht="15" customHeight="1" x14ac:dyDescent="0.25">
      <c r="A333" s="7"/>
      <c r="B333" s="8">
        <v>4081</v>
      </c>
      <c r="C333" s="1" t="s">
        <v>1439</v>
      </c>
      <c r="D333" s="1">
        <f t="shared" si="18"/>
        <v>4081</v>
      </c>
      <c r="E333" s="1" t="s">
        <v>2001</v>
      </c>
      <c r="F333" s="8" t="str">
        <f t="shared" si="17"/>
        <v>KT</v>
      </c>
      <c r="G333" s="2">
        <v>60</v>
      </c>
      <c r="H333" s="2">
        <f>SUMIF(RouteID_Conversion!$J$2:$J$999,AM_BoardingByRoute!$D$3:$D$426,RouteID_Conversion!$K$2:$K$999)</f>
        <v>4.79262530803679</v>
      </c>
    </row>
    <row r="334" spans="1:8" ht="15" customHeight="1" x14ac:dyDescent="0.25">
      <c r="A334" s="7"/>
      <c r="B334" s="8">
        <v>4085</v>
      </c>
      <c r="C334" s="1" t="s">
        <v>833</v>
      </c>
      <c r="D334" s="1">
        <f t="shared" si="18"/>
        <v>4085</v>
      </c>
      <c r="E334" s="1" t="s">
        <v>834</v>
      </c>
      <c r="F334" s="8" t="str">
        <f t="shared" si="17"/>
        <v>KT</v>
      </c>
      <c r="G334" s="2">
        <v>6</v>
      </c>
      <c r="H334" s="2">
        <f>SUMIF(RouteID_Conversion!$J$2:$J$999,AM_BoardingByRoute!$D$3:$D$426,RouteID_Conversion!$K$2:$K$999)</f>
        <v>1.25</v>
      </c>
    </row>
    <row r="335" spans="1:8" ht="15" customHeight="1" x14ac:dyDescent="0.25">
      <c r="A335" s="7"/>
      <c r="B335" s="8">
        <v>4086</v>
      </c>
      <c r="C335" s="1" t="s">
        <v>853</v>
      </c>
      <c r="D335" s="1">
        <f t="shared" si="18"/>
        <v>4086</v>
      </c>
      <c r="E335" s="1" t="s">
        <v>852</v>
      </c>
      <c r="F335" s="8" t="str">
        <f t="shared" si="17"/>
        <v>KT</v>
      </c>
      <c r="G335" s="2">
        <v>54</v>
      </c>
      <c r="H335" s="2">
        <f>SUMIF(RouteID_Conversion!$J$2:$J$999,AM_BoardingByRoute!$D$3:$D$426,RouteID_Conversion!$K$2:$K$999)</f>
        <v>27.471883893012972</v>
      </c>
    </row>
    <row r="336" spans="1:8" ht="15" customHeight="1" x14ac:dyDescent="0.25">
      <c r="A336" s="7"/>
      <c r="B336" s="8">
        <v>4090</v>
      </c>
      <c r="C336" s="1" t="s">
        <v>688</v>
      </c>
      <c r="D336" s="1">
        <f t="shared" si="18"/>
        <v>4090</v>
      </c>
      <c r="E336" s="1" t="s">
        <v>687</v>
      </c>
      <c r="F336" s="8" t="str">
        <f t="shared" si="17"/>
        <v>KT</v>
      </c>
      <c r="G336" s="2">
        <v>189</v>
      </c>
      <c r="H336" s="2">
        <f>SUMIF(RouteID_Conversion!$J$2:$J$999,AM_BoardingByRoute!$D$3:$D$426,RouteID_Conversion!$K$2:$K$999)</f>
        <v>182.31282162666292</v>
      </c>
    </row>
    <row r="337" spans="1:8" ht="15" customHeight="1" x14ac:dyDescent="0.25">
      <c r="A337" s="7"/>
      <c r="B337" s="8">
        <v>4091</v>
      </c>
      <c r="C337" s="1" t="s">
        <v>502</v>
      </c>
      <c r="D337" s="1">
        <f t="shared" si="18"/>
        <v>4091</v>
      </c>
      <c r="E337" s="1" t="s">
        <v>501</v>
      </c>
      <c r="F337" s="8" t="str">
        <f t="shared" si="17"/>
        <v>KT</v>
      </c>
      <c r="G337" s="2">
        <v>106</v>
      </c>
      <c r="H337" s="2">
        <f>SUMIF(RouteID_Conversion!$J$2:$J$999,AM_BoardingByRoute!$D$3:$D$426,RouteID_Conversion!$K$2:$K$999)</f>
        <v>70.180502459406682</v>
      </c>
    </row>
    <row r="338" spans="1:8" ht="15" customHeight="1" x14ac:dyDescent="0.25">
      <c r="A338" s="7"/>
      <c r="B338" s="8">
        <v>4092</v>
      </c>
      <c r="C338" s="1" t="s">
        <v>664</v>
      </c>
      <c r="D338" s="1">
        <f t="shared" si="18"/>
        <v>4092</v>
      </c>
      <c r="E338" s="1" t="s">
        <v>663</v>
      </c>
      <c r="F338" s="8" t="str">
        <f t="shared" si="17"/>
        <v>KT</v>
      </c>
      <c r="G338" s="2">
        <v>4</v>
      </c>
      <c r="H338" s="2">
        <f>SUMIF(RouteID_Conversion!$J$2:$J$999,AM_BoardingByRoute!$D$3:$D$426,RouteID_Conversion!$K$2:$K$999)</f>
        <v>16.652381896972642</v>
      </c>
    </row>
    <row r="339" spans="1:8" ht="15" customHeight="1" x14ac:dyDescent="0.25">
      <c r="A339" s="7"/>
      <c r="B339" s="8">
        <v>4093</v>
      </c>
      <c r="C339" s="1" t="s">
        <v>665</v>
      </c>
      <c r="D339" s="1">
        <f t="shared" si="18"/>
        <v>4093</v>
      </c>
      <c r="E339" s="1" t="s">
        <v>666</v>
      </c>
      <c r="F339" s="8" t="str">
        <f t="shared" si="17"/>
        <v>KT</v>
      </c>
      <c r="G339" s="2">
        <v>41</v>
      </c>
      <c r="H339" s="2">
        <f>SUMIF(RouteID_Conversion!$J$2:$J$999,AM_BoardingByRoute!$D$3:$D$426,RouteID_Conversion!$K$2:$K$999)</f>
        <v>23.810487508773711</v>
      </c>
    </row>
    <row r="340" spans="1:8" ht="15" customHeight="1" x14ac:dyDescent="0.25">
      <c r="A340" s="7"/>
      <c r="B340" s="8">
        <v>4094</v>
      </c>
      <c r="C340" s="1" t="s">
        <v>650</v>
      </c>
      <c r="D340" s="1">
        <f t="shared" si="18"/>
        <v>4094</v>
      </c>
      <c r="E340" s="1" t="s">
        <v>651</v>
      </c>
      <c r="F340" s="8" t="str">
        <f t="shared" si="17"/>
        <v>KT</v>
      </c>
      <c r="G340" s="2">
        <v>26</v>
      </c>
      <c r="H340" s="2">
        <f>SUMIF(RouteID_Conversion!$J$2:$J$999,AM_BoardingByRoute!$D$3:$D$426,RouteID_Conversion!$K$2:$K$999)</f>
        <v>14.282547235488879</v>
      </c>
    </row>
    <row r="341" spans="1:8" ht="15" customHeight="1" x14ac:dyDescent="0.25">
      <c r="A341" s="7"/>
      <c r="B341" s="8">
        <v>4095</v>
      </c>
      <c r="C341" s="1" t="s">
        <v>654</v>
      </c>
      <c r="D341" s="1">
        <f t="shared" si="18"/>
        <v>4095</v>
      </c>
      <c r="E341" s="1" t="s">
        <v>653</v>
      </c>
      <c r="F341" s="8" t="str">
        <f t="shared" si="17"/>
        <v>KT</v>
      </c>
      <c r="G341" s="2">
        <v>50</v>
      </c>
      <c r="H341" s="2">
        <f>SUMIF(RouteID_Conversion!$J$2:$J$999,AM_BoardingByRoute!$D$3:$D$426,RouteID_Conversion!$K$2:$K$999)</f>
        <v>18.548366785049428</v>
      </c>
    </row>
    <row r="342" spans="1:8" ht="15" customHeight="1" x14ac:dyDescent="0.25">
      <c r="A342" s="7"/>
      <c r="B342" s="8">
        <v>4096</v>
      </c>
      <c r="C342" s="1" t="s">
        <v>672</v>
      </c>
      <c r="D342" s="1">
        <f t="shared" si="18"/>
        <v>4096</v>
      </c>
      <c r="E342" s="1" t="s">
        <v>671</v>
      </c>
      <c r="F342" s="8" t="str">
        <f t="shared" si="17"/>
        <v>KT</v>
      </c>
      <c r="G342" s="2">
        <v>30</v>
      </c>
      <c r="H342" s="2">
        <f>SUMIF(RouteID_Conversion!$J$2:$J$999,AM_BoardingByRoute!$D$3:$D$426,RouteID_Conversion!$K$2:$K$999)</f>
        <v>1.3799999952316215</v>
      </c>
    </row>
    <row r="343" spans="1:8" ht="15" customHeight="1" x14ac:dyDescent="0.25">
      <c r="A343" s="7"/>
      <c r="B343" s="8">
        <v>4097</v>
      </c>
      <c r="C343" s="1" t="s">
        <v>837</v>
      </c>
      <c r="D343" s="1">
        <f t="shared" si="18"/>
        <v>4097</v>
      </c>
      <c r="E343" s="1" t="s">
        <v>836</v>
      </c>
      <c r="F343" s="8" t="str">
        <f t="shared" si="17"/>
        <v>KT</v>
      </c>
      <c r="G343" s="2">
        <v>42</v>
      </c>
      <c r="H343" s="2">
        <f>SUMIF(RouteID_Conversion!$J$2:$J$999,AM_BoardingByRoute!$D$3:$D$426,RouteID_Conversion!$K$2:$K$999)</f>
        <v>15.52499985694884</v>
      </c>
    </row>
    <row r="344" spans="1:8" ht="15" customHeight="1" x14ac:dyDescent="0.25">
      <c r="A344" s="7"/>
      <c r="B344" s="8">
        <v>4098</v>
      </c>
      <c r="C344" s="1" t="s">
        <v>840</v>
      </c>
      <c r="D344" s="1">
        <f t="shared" si="18"/>
        <v>4098</v>
      </c>
      <c r="E344" s="1" t="s">
        <v>839</v>
      </c>
      <c r="F344" s="8" t="str">
        <f t="shared" si="17"/>
        <v>KT</v>
      </c>
      <c r="G344" s="2">
        <v>27</v>
      </c>
      <c r="H344" s="2">
        <f>SUMIF(RouteID_Conversion!$J$2:$J$999,AM_BoardingByRoute!$D$3:$D$426,RouteID_Conversion!$K$2:$K$999)</f>
        <v>5.2999999523162824</v>
      </c>
    </row>
    <row r="345" spans="1:8" ht="15" customHeight="1" x14ac:dyDescent="0.25">
      <c r="A345" s="7"/>
      <c r="B345" s="8">
        <v>4099</v>
      </c>
      <c r="C345" s="1" t="s">
        <v>843</v>
      </c>
      <c r="D345" s="1">
        <f t="shared" si="18"/>
        <v>4099</v>
      </c>
      <c r="E345" s="1" t="s">
        <v>842</v>
      </c>
      <c r="F345" s="8" t="str">
        <f t="shared" si="17"/>
        <v>KT</v>
      </c>
      <c r="G345" s="2">
        <v>30</v>
      </c>
      <c r="H345" s="2">
        <f>SUMIF(RouteID_Conversion!$J$2:$J$999,AM_BoardingByRoute!$D$3:$D$426,RouteID_Conversion!$K$2:$K$999)</f>
        <v>9.375</v>
      </c>
    </row>
    <row r="346" spans="1:8" ht="15" customHeight="1" x14ac:dyDescent="0.25">
      <c r="A346" s="7"/>
      <c r="B346" s="8">
        <v>4106</v>
      </c>
      <c r="C346" s="1" t="s">
        <v>669</v>
      </c>
      <c r="D346" s="1">
        <f t="shared" si="18"/>
        <v>4106</v>
      </c>
      <c r="E346" s="1" t="s">
        <v>668</v>
      </c>
      <c r="F346" s="8" t="str">
        <f t="shared" si="17"/>
        <v>KT</v>
      </c>
      <c r="G346" s="2">
        <v>22</v>
      </c>
      <c r="H346" s="2">
        <f>SUMIF(RouteID_Conversion!$J$2:$J$999,AM_BoardingByRoute!$D$3:$D$426,RouteID_Conversion!$K$2:$K$999)</f>
        <v>18.548366785049428</v>
      </c>
    </row>
    <row r="347" spans="1:8" ht="15" customHeight="1" x14ac:dyDescent="0.25">
      <c r="A347" s="7"/>
      <c r="B347" s="8"/>
      <c r="C347" s="1" t="s">
        <v>2002</v>
      </c>
      <c r="D347" s="1">
        <f t="shared" ref="D347:D374" si="19">MID(C347,4,2)+4200</f>
        <v>4200</v>
      </c>
      <c r="E347" s="1" t="s">
        <v>2003</v>
      </c>
      <c r="F347" s="8" t="str">
        <f t="shared" si="17"/>
        <v>KT</v>
      </c>
      <c r="G347" s="2">
        <v>20.272727272727273</v>
      </c>
      <c r="H347" s="2">
        <f>SUMIF(RouteID_Conversion!$J$2:$J$999,AM_BoardingByRoute!$D$3:$D$426,RouteID_Conversion!$K$2:$K$999)</f>
        <v>0</v>
      </c>
    </row>
    <row r="348" spans="1:8" ht="15" customHeight="1" x14ac:dyDescent="0.25">
      <c r="A348" s="7"/>
      <c r="B348" s="8">
        <v>4201</v>
      </c>
      <c r="C348" s="1" t="s">
        <v>2004</v>
      </c>
      <c r="D348" s="1">
        <f t="shared" si="19"/>
        <v>4201</v>
      </c>
      <c r="E348" s="1" t="s">
        <v>860</v>
      </c>
      <c r="F348" s="8" t="str">
        <f t="shared" si="17"/>
        <v>KT</v>
      </c>
      <c r="G348" s="2">
        <v>28.40909090909091</v>
      </c>
      <c r="H348" s="2">
        <f>SUMIF(RouteID_Conversion!$J$2:$J$999,AM_BoardingByRoute!$D$3:$D$426,RouteID_Conversion!$K$2:$K$999)</f>
        <v>10.70580589771269</v>
      </c>
    </row>
    <row r="349" spans="1:8" ht="15" customHeight="1" x14ac:dyDescent="0.25">
      <c r="A349" s="7"/>
      <c r="B349" s="8">
        <v>4202</v>
      </c>
      <c r="C349" s="1" t="s">
        <v>2005</v>
      </c>
      <c r="D349" s="1">
        <f t="shared" si="19"/>
        <v>4202</v>
      </c>
      <c r="E349" s="1" t="s">
        <v>977</v>
      </c>
      <c r="F349" s="8" t="str">
        <f t="shared" si="17"/>
        <v>KT</v>
      </c>
      <c r="G349" s="2">
        <v>30.272727272727273</v>
      </c>
      <c r="H349" s="2">
        <f>SUMIF(RouteID_Conversion!$J$2:$J$999,AM_BoardingByRoute!$D$3:$D$426,RouteID_Conversion!$K$2:$K$999)</f>
        <v>14.848719120025619</v>
      </c>
    </row>
    <row r="350" spans="1:8" ht="15" customHeight="1" x14ac:dyDescent="0.25">
      <c r="A350" s="7"/>
      <c r="B350" s="8">
        <v>4203</v>
      </c>
      <c r="C350" s="1" t="s">
        <v>2006</v>
      </c>
      <c r="D350" s="1">
        <f t="shared" si="19"/>
        <v>4203</v>
      </c>
      <c r="E350" s="1" t="s">
        <v>858</v>
      </c>
      <c r="F350" s="8" t="str">
        <f t="shared" si="17"/>
        <v>KT</v>
      </c>
      <c r="G350" s="2">
        <v>21.863636363636363</v>
      </c>
      <c r="H350" s="2">
        <f>SUMIF(RouteID_Conversion!$J$2:$J$999,AM_BoardingByRoute!$D$3:$D$426,RouteID_Conversion!$K$2:$K$999)</f>
        <v>3.1153846979141231</v>
      </c>
    </row>
    <row r="351" spans="1:8" ht="15" customHeight="1" x14ac:dyDescent="0.25">
      <c r="A351" s="7"/>
      <c r="B351" s="8">
        <v>4204</v>
      </c>
      <c r="C351" s="1" t="s">
        <v>2007</v>
      </c>
      <c r="D351" s="1">
        <f t="shared" si="19"/>
        <v>4204</v>
      </c>
      <c r="E351" s="1" t="s">
        <v>505</v>
      </c>
      <c r="F351" s="8" t="str">
        <f t="shared" si="17"/>
        <v>KT</v>
      </c>
      <c r="G351" s="2">
        <v>32.772727272727273</v>
      </c>
      <c r="H351" s="2">
        <f>SUMIF(RouteID_Conversion!$J$2:$J$999,AM_BoardingByRoute!$D$3:$D$426,RouteID_Conversion!$K$2:$K$999)</f>
        <v>31.832842826843219</v>
      </c>
    </row>
    <row r="352" spans="1:8" ht="15" customHeight="1" x14ac:dyDescent="0.25">
      <c r="A352" s="7"/>
      <c r="B352" s="8">
        <v>4205</v>
      </c>
      <c r="C352" s="1" t="s">
        <v>2008</v>
      </c>
      <c r="D352" s="1">
        <f t="shared" si="19"/>
        <v>4205</v>
      </c>
      <c r="E352" s="1" t="s">
        <v>508</v>
      </c>
      <c r="F352" s="8" t="str">
        <f t="shared" si="17"/>
        <v>KT</v>
      </c>
      <c r="G352" s="2">
        <v>33.636363636363633</v>
      </c>
      <c r="H352" s="2">
        <f>SUMIF(RouteID_Conversion!$J$2:$J$999,AM_BoardingByRoute!$D$3:$D$426,RouteID_Conversion!$K$2:$K$999)</f>
        <v>28.379732131957908</v>
      </c>
    </row>
    <row r="353" spans="1:8" ht="15" customHeight="1" x14ac:dyDescent="0.25">
      <c r="A353" s="7"/>
      <c r="B353" s="8">
        <v>4206</v>
      </c>
      <c r="C353" s="1" t="s">
        <v>2009</v>
      </c>
      <c r="D353" s="1">
        <f t="shared" si="19"/>
        <v>4206</v>
      </c>
      <c r="E353" s="1" t="s">
        <v>862</v>
      </c>
      <c r="F353" s="8" t="str">
        <f t="shared" si="17"/>
        <v>KT</v>
      </c>
      <c r="G353" s="2">
        <v>31.181818181818183</v>
      </c>
      <c r="H353" s="2">
        <f>SUMIF(RouteID_Conversion!$J$2:$J$999,AM_BoardingByRoute!$D$3:$D$426,RouteID_Conversion!$K$2:$K$999)</f>
        <v>26.923765182495053</v>
      </c>
    </row>
    <row r="354" spans="1:8" ht="15" customHeight="1" x14ac:dyDescent="0.25">
      <c r="A354" s="7"/>
      <c r="B354" s="8">
        <v>4207</v>
      </c>
      <c r="C354" s="1" t="s">
        <v>2010</v>
      </c>
      <c r="D354" s="1">
        <f t="shared" si="19"/>
        <v>4207</v>
      </c>
      <c r="E354" s="1" t="s">
        <v>1090</v>
      </c>
      <c r="F354" s="8" t="str">
        <f t="shared" si="17"/>
        <v>KT</v>
      </c>
      <c r="G354" s="2">
        <v>27.40909090909091</v>
      </c>
      <c r="H354" s="2">
        <f>SUMIF(RouteID_Conversion!$J$2:$J$999,AM_BoardingByRoute!$D$3:$D$426,RouteID_Conversion!$K$2:$K$999)</f>
        <v>8.779615163803081</v>
      </c>
    </row>
    <row r="355" spans="1:8" ht="15" customHeight="1" x14ac:dyDescent="0.25">
      <c r="A355" s="7"/>
      <c r="B355" s="8">
        <v>4208</v>
      </c>
      <c r="C355" s="1" t="s">
        <v>2011</v>
      </c>
      <c r="D355" s="1">
        <f t="shared" si="19"/>
        <v>4208</v>
      </c>
      <c r="E355" s="1" t="s">
        <v>1094</v>
      </c>
      <c r="F355" s="8" t="str">
        <f t="shared" si="17"/>
        <v>KT</v>
      </c>
      <c r="G355" s="2">
        <v>26.40909090909091</v>
      </c>
      <c r="H355" s="2">
        <f>SUMIF(RouteID_Conversion!$J$2:$J$999,AM_BoardingByRoute!$D$3:$D$426,RouteID_Conversion!$K$2:$K$999)</f>
        <v>24.808345794677727</v>
      </c>
    </row>
    <row r="356" spans="1:8" ht="15" customHeight="1" x14ac:dyDescent="0.25">
      <c r="A356" s="7"/>
      <c r="B356" s="8">
        <v>4209</v>
      </c>
      <c r="C356" s="1" t="s">
        <v>2012</v>
      </c>
      <c r="D356" s="1">
        <f t="shared" si="19"/>
        <v>4209</v>
      </c>
      <c r="E356" s="1" t="s">
        <v>1092</v>
      </c>
      <c r="F356" s="8" t="str">
        <f t="shared" si="17"/>
        <v>KT</v>
      </c>
      <c r="G356" s="2">
        <v>33.5</v>
      </c>
      <c r="H356" s="2">
        <f>SUMIF(RouteID_Conversion!$J$2:$J$999,AM_BoardingByRoute!$D$3:$D$426,RouteID_Conversion!$K$2:$K$999)</f>
        <v>28.363739013671779</v>
      </c>
    </row>
    <row r="357" spans="1:8" ht="15" customHeight="1" x14ac:dyDescent="0.25">
      <c r="A357" s="7"/>
      <c r="B357" s="8">
        <v>4210</v>
      </c>
      <c r="C357" s="1" t="s">
        <v>2013</v>
      </c>
      <c r="D357" s="1">
        <f t="shared" si="19"/>
        <v>4210</v>
      </c>
      <c r="E357" s="1" t="s">
        <v>994</v>
      </c>
      <c r="F357" s="8" t="str">
        <f t="shared" si="17"/>
        <v>KT</v>
      </c>
      <c r="G357" s="2">
        <v>25.681818181818183</v>
      </c>
      <c r="H357" s="2">
        <f>SUMIF(RouteID_Conversion!$J$2:$J$999,AM_BoardingByRoute!$D$3:$D$426,RouteID_Conversion!$K$2:$K$999)</f>
        <v>48.443459510803095</v>
      </c>
    </row>
    <row r="358" spans="1:8" ht="15" customHeight="1" x14ac:dyDescent="0.25">
      <c r="A358" s="7"/>
      <c r="B358" s="8">
        <v>4211</v>
      </c>
      <c r="C358" s="1" t="s">
        <v>2014</v>
      </c>
      <c r="D358" s="1">
        <f t="shared" si="19"/>
        <v>4211</v>
      </c>
      <c r="E358" s="1" t="s">
        <v>1096</v>
      </c>
      <c r="F358" s="8" t="str">
        <f t="shared" si="17"/>
        <v>KT</v>
      </c>
      <c r="G358" s="2">
        <v>23.545454545454547</v>
      </c>
      <c r="H358" s="2">
        <f>SUMIF(RouteID_Conversion!$J$2:$J$999,AM_BoardingByRoute!$D$3:$D$426,RouteID_Conversion!$K$2:$K$999)</f>
        <v>31.479810714721619</v>
      </c>
    </row>
    <row r="359" spans="1:8" ht="15" customHeight="1" x14ac:dyDescent="0.25">
      <c r="A359" s="7"/>
      <c r="B359" s="8">
        <v>4212</v>
      </c>
      <c r="C359" s="1" t="s">
        <v>2015</v>
      </c>
      <c r="D359" s="1">
        <f t="shared" si="19"/>
        <v>4212</v>
      </c>
      <c r="E359" s="1" t="s">
        <v>979</v>
      </c>
      <c r="F359" s="8" t="str">
        <f t="shared" si="17"/>
        <v>KT</v>
      </c>
      <c r="G359" s="2">
        <v>25.636363636363637</v>
      </c>
      <c r="H359" s="2">
        <f>SUMIF(RouteID_Conversion!$J$2:$J$999,AM_BoardingByRoute!$D$3:$D$426,RouteID_Conversion!$K$2:$K$999)</f>
        <v>17.076359510421739</v>
      </c>
    </row>
    <row r="360" spans="1:8" ht="15" customHeight="1" x14ac:dyDescent="0.25">
      <c r="A360" s="7"/>
      <c r="B360" s="8">
        <v>4213</v>
      </c>
      <c r="C360" s="1" t="s">
        <v>2016</v>
      </c>
      <c r="D360" s="1">
        <f t="shared" si="19"/>
        <v>4213</v>
      </c>
      <c r="E360" s="1" t="s">
        <v>981</v>
      </c>
      <c r="F360" s="8" t="str">
        <f t="shared" si="17"/>
        <v>KT</v>
      </c>
      <c r="G360" s="2">
        <v>28</v>
      </c>
      <c r="H360" s="2">
        <f>SUMIF(RouteID_Conversion!$J$2:$J$999,AM_BoardingByRoute!$D$3:$D$426,RouteID_Conversion!$K$2:$K$999)</f>
        <v>5.88437712192533</v>
      </c>
    </row>
    <row r="361" spans="1:8" ht="15" customHeight="1" x14ac:dyDescent="0.25">
      <c r="A361" s="7"/>
      <c r="B361" s="8">
        <v>4214</v>
      </c>
      <c r="C361" s="1" t="s">
        <v>2017</v>
      </c>
      <c r="D361" s="1">
        <f t="shared" si="19"/>
        <v>4214</v>
      </c>
      <c r="E361" s="1" t="s">
        <v>983</v>
      </c>
      <c r="F361" s="8" t="str">
        <f t="shared" si="17"/>
        <v>KT</v>
      </c>
      <c r="G361" s="2">
        <v>35.227272727272727</v>
      </c>
      <c r="H361" s="2">
        <f>SUMIF(RouteID_Conversion!$J$2:$J$999,AM_BoardingByRoute!$D$3:$D$426,RouteID_Conversion!$K$2:$K$999)</f>
        <v>18.459034442901601</v>
      </c>
    </row>
    <row r="362" spans="1:8" ht="15" customHeight="1" x14ac:dyDescent="0.25">
      <c r="A362" s="7"/>
      <c r="B362" s="8">
        <v>4215</v>
      </c>
      <c r="C362" s="1" t="s">
        <v>2018</v>
      </c>
      <c r="D362" s="1">
        <f t="shared" si="19"/>
        <v>4215</v>
      </c>
      <c r="E362" s="1" t="s">
        <v>1459</v>
      </c>
      <c r="F362" s="8" t="str">
        <f t="shared" si="17"/>
        <v>KT</v>
      </c>
      <c r="G362" s="2">
        <v>32.045454545454547</v>
      </c>
      <c r="H362" s="2">
        <f>SUMIF(RouteID_Conversion!$J$2:$J$999,AM_BoardingByRoute!$D$3:$D$426,RouteID_Conversion!$K$2:$K$999)</f>
        <v>65.634570121764995</v>
      </c>
    </row>
    <row r="363" spans="1:8" ht="15" customHeight="1" x14ac:dyDescent="0.25">
      <c r="A363" s="7"/>
      <c r="B363" s="8">
        <v>4216</v>
      </c>
      <c r="C363" s="1" t="s">
        <v>2019</v>
      </c>
      <c r="D363" s="1">
        <f t="shared" si="19"/>
        <v>4216</v>
      </c>
      <c r="E363" s="1" t="s">
        <v>1407</v>
      </c>
      <c r="F363" s="8" t="str">
        <f t="shared" si="17"/>
        <v>KT</v>
      </c>
      <c r="G363" s="2">
        <v>25.59090909090909</v>
      </c>
      <c r="H363" s="2">
        <f>SUMIF(RouteID_Conversion!$J$2:$J$999,AM_BoardingByRoute!$D$3:$D$426,RouteID_Conversion!$K$2:$K$999)</f>
        <v>15.832853794097879</v>
      </c>
    </row>
    <row r="364" spans="1:8" ht="15" customHeight="1" x14ac:dyDescent="0.25">
      <c r="A364" s="7"/>
      <c r="B364" s="8">
        <v>4217</v>
      </c>
      <c r="C364" s="1" t="s">
        <v>2020</v>
      </c>
      <c r="D364" s="1">
        <f t="shared" si="19"/>
        <v>4217</v>
      </c>
      <c r="E364" s="1" t="s">
        <v>1518</v>
      </c>
      <c r="F364" s="8" t="str">
        <f t="shared" si="17"/>
        <v>KT</v>
      </c>
      <c r="G364" s="2">
        <v>27.681818181818183</v>
      </c>
      <c r="H364" s="2">
        <f>SUMIF(RouteID_Conversion!$J$2:$J$999,AM_BoardingByRoute!$D$3:$D$426,RouteID_Conversion!$K$2:$K$999)</f>
        <v>10.08247852325438</v>
      </c>
    </row>
    <row r="365" spans="1:8" ht="15" customHeight="1" x14ac:dyDescent="0.25">
      <c r="A365" s="7"/>
      <c r="B365" s="8">
        <v>4218</v>
      </c>
      <c r="C365" s="1" t="s">
        <v>2021</v>
      </c>
      <c r="D365" s="1">
        <f t="shared" si="19"/>
        <v>4218</v>
      </c>
      <c r="E365" s="1" t="s">
        <v>694</v>
      </c>
      <c r="F365" s="8" t="str">
        <f t="shared" si="17"/>
        <v>KT</v>
      </c>
      <c r="G365" s="2">
        <v>30</v>
      </c>
      <c r="H365" s="2">
        <f>SUMIF(RouteID_Conversion!$J$2:$J$999,AM_BoardingByRoute!$D$3:$D$426,RouteID_Conversion!$K$2:$K$999)</f>
        <v>25.794990062713591</v>
      </c>
    </row>
    <row r="366" spans="1:8" ht="15" customHeight="1" x14ac:dyDescent="0.25">
      <c r="A366" s="7"/>
      <c r="B366" s="8">
        <v>4219</v>
      </c>
      <c r="C366" s="1" t="s">
        <v>2022</v>
      </c>
      <c r="D366" s="1">
        <f t="shared" si="19"/>
        <v>4219</v>
      </c>
      <c r="E366" s="1" t="s">
        <v>1028</v>
      </c>
      <c r="F366" s="8" t="str">
        <f t="shared" si="17"/>
        <v>KT</v>
      </c>
      <c r="G366" s="2">
        <v>28.40909090909091</v>
      </c>
      <c r="H366" s="2">
        <f>SUMIF(RouteID_Conversion!$J$2:$J$999,AM_BoardingByRoute!$D$3:$D$426,RouteID_Conversion!$K$2:$K$999)</f>
        <v>49.630400657653695</v>
      </c>
    </row>
    <row r="367" spans="1:8" ht="15" customHeight="1" x14ac:dyDescent="0.25">
      <c r="A367" s="7"/>
      <c r="B367" s="8">
        <v>4220</v>
      </c>
      <c r="C367" s="1" t="s">
        <v>2023</v>
      </c>
      <c r="D367" s="1">
        <f t="shared" si="19"/>
        <v>4220</v>
      </c>
      <c r="E367" s="1" t="s">
        <v>1026</v>
      </c>
      <c r="F367" s="8" t="str">
        <f t="shared" si="17"/>
        <v>KT</v>
      </c>
      <c r="G367" s="2">
        <v>35.863636363636367</v>
      </c>
      <c r="H367" s="2">
        <f>SUMIF(RouteID_Conversion!$J$2:$J$999,AM_BoardingByRoute!$D$3:$D$426,RouteID_Conversion!$K$2:$K$999)</f>
        <v>9.6566019058227397</v>
      </c>
    </row>
    <row r="368" spans="1:8" ht="15" customHeight="1" x14ac:dyDescent="0.25">
      <c r="A368" s="7"/>
      <c r="B368" s="8">
        <v>4221</v>
      </c>
      <c r="C368" s="1" t="s">
        <v>2024</v>
      </c>
      <c r="D368" s="1">
        <f t="shared" si="19"/>
        <v>4221</v>
      </c>
      <c r="E368" s="1" t="s">
        <v>700</v>
      </c>
      <c r="F368" s="8" t="str">
        <f t="shared" si="17"/>
        <v>KT</v>
      </c>
      <c r="G368" s="2">
        <v>34.863636363636367</v>
      </c>
      <c r="H368" s="2">
        <f>SUMIF(RouteID_Conversion!$J$2:$J$999,AM_BoardingByRoute!$D$3:$D$426,RouteID_Conversion!$K$2:$K$999)</f>
        <v>23.39079904556273</v>
      </c>
    </row>
    <row r="369" spans="1:8" ht="15" customHeight="1" x14ac:dyDescent="0.25">
      <c r="A369" s="7"/>
      <c r="B369" s="8">
        <v>4222</v>
      </c>
      <c r="C369" s="1" t="s">
        <v>2025</v>
      </c>
      <c r="D369" s="1">
        <f t="shared" si="19"/>
        <v>4222</v>
      </c>
      <c r="E369" s="1" t="s">
        <v>1461</v>
      </c>
      <c r="F369" s="8" t="str">
        <f t="shared" si="17"/>
        <v>KT</v>
      </c>
      <c r="G369" s="2">
        <v>30.454545454545453</v>
      </c>
      <c r="H369" s="2">
        <f>SUMIF(RouteID_Conversion!$J$2:$J$999,AM_BoardingByRoute!$D$3:$D$426,RouteID_Conversion!$K$2:$K$999)</f>
        <v>107.7688579559325</v>
      </c>
    </row>
    <row r="370" spans="1:8" ht="15" customHeight="1" x14ac:dyDescent="0.25">
      <c r="A370" s="7"/>
      <c r="B370" s="8">
        <v>4223</v>
      </c>
      <c r="C370" s="1" t="s">
        <v>2026</v>
      </c>
      <c r="D370" s="1">
        <f t="shared" si="19"/>
        <v>4223</v>
      </c>
      <c r="E370" s="1" t="s">
        <v>1463</v>
      </c>
      <c r="F370" s="8" t="str">
        <f t="shared" si="17"/>
        <v>KT</v>
      </c>
      <c r="G370" s="2">
        <v>30.136363636363637</v>
      </c>
      <c r="H370" s="2">
        <f>SUMIF(RouteID_Conversion!$J$2:$J$999,AM_BoardingByRoute!$D$3:$D$426,RouteID_Conversion!$K$2:$K$999)</f>
        <v>56.437853813171202</v>
      </c>
    </row>
    <row r="371" spans="1:8" ht="15" customHeight="1" x14ac:dyDescent="0.25">
      <c r="A371" s="7"/>
      <c r="B371" s="8">
        <v>4224</v>
      </c>
      <c r="C371" s="1" t="s">
        <v>2027</v>
      </c>
      <c r="D371" s="1">
        <f t="shared" si="19"/>
        <v>4224</v>
      </c>
      <c r="E371" s="1" t="s">
        <v>702</v>
      </c>
      <c r="F371" s="8" t="str">
        <f t="shared" si="17"/>
        <v>KT</v>
      </c>
      <c r="G371" s="2">
        <v>31.59090909090909</v>
      </c>
      <c r="H371" s="2">
        <f>SUMIF(RouteID_Conversion!$J$2:$J$999,AM_BoardingByRoute!$D$3:$D$426,RouteID_Conversion!$K$2:$K$999)</f>
        <v>23.671495914459218</v>
      </c>
    </row>
    <row r="372" spans="1:8" ht="15" customHeight="1" x14ac:dyDescent="0.25">
      <c r="A372" s="7"/>
      <c r="B372" s="8">
        <v>4225</v>
      </c>
      <c r="C372" s="1" t="s">
        <v>2028</v>
      </c>
      <c r="D372" s="1">
        <f t="shared" si="19"/>
        <v>4225</v>
      </c>
      <c r="E372" s="1" t="s">
        <v>1465</v>
      </c>
      <c r="F372" s="8" t="str">
        <f t="shared" si="17"/>
        <v>KT</v>
      </c>
      <c r="G372" s="2">
        <v>32.272727272727273</v>
      </c>
      <c r="H372" s="2">
        <f>SUMIF(RouteID_Conversion!$J$2:$J$999,AM_BoardingByRoute!$D$3:$D$426,RouteID_Conversion!$K$2:$K$999)</f>
        <v>98.432559967040802</v>
      </c>
    </row>
    <row r="373" spans="1:8" ht="15" customHeight="1" x14ac:dyDescent="0.25">
      <c r="A373" s="7"/>
      <c r="B373" s="8"/>
      <c r="C373" s="1" t="s">
        <v>2029</v>
      </c>
      <c r="D373" s="1">
        <f t="shared" si="19"/>
        <v>4227</v>
      </c>
      <c r="E373" s="1" t="s">
        <v>2030</v>
      </c>
      <c r="F373" s="8" t="str">
        <f t="shared" si="17"/>
        <v>KT</v>
      </c>
      <c r="G373" s="2">
        <v>16.727272727272727</v>
      </c>
      <c r="H373" s="2">
        <f>SUMIF(RouteID_Conversion!$J$2:$J$999,AM_BoardingByRoute!$D$3:$D$426,RouteID_Conversion!$K$2:$K$999)</f>
        <v>0</v>
      </c>
    </row>
    <row r="374" spans="1:8" ht="15" customHeight="1" x14ac:dyDescent="0.25">
      <c r="A374" s="7"/>
      <c r="B374" s="8"/>
      <c r="C374" s="1" t="s">
        <v>2031</v>
      </c>
      <c r="D374" s="1">
        <f t="shared" si="19"/>
        <v>4228</v>
      </c>
      <c r="E374" s="1" t="s">
        <v>2032</v>
      </c>
      <c r="F374" s="8" t="str">
        <f t="shared" si="17"/>
        <v>KT</v>
      </c>
      <c r="G374" s="2">
        <v>15.954545454545455</v>
      </c>
      <c r="H374" s="2">
        <f>SUMIF(RouteID_Conversion!$J$2:$J$999,AM_BoardingByRoute!$D$3:$D$426,RouteID_Conversion!$K$2:$K$999)</f>
        <v>0</v>
      </c>
    </row>
    <row r="375" spans="1:8" ht="15" customHeight="1" x14ac:dyDescent="0.25">
      <c r="A375" s="7"/>
      <c r="B375" s="8">
        <v>6510</v>
      </c>
      <c r="C375" s="1" t="s">
        <v>2033</v>
      </c>
      <c r="D375" s="1">
        <f t="shared" ref="D375:D396" si="20">MID(C375,3,3)+6000</f>
        <v>6510</v>
      </c>
      <c r="E375" s="1" t="s">
        <v>2034</v>
      </c>
      <c r="F375" s="8" t="str">
        <f t="shared" ref="F375:F426" si="21">MID(C375,1,2)</f>
        <v>MK</v>
      </c>
      <c r="G375" s="2">
        <v>770.46738732584618</v>
      </c>
      <c r="H375" s="2">
        <f>SUMIF(RouteID_Conversion!$J$2:$J$999,AM_BoardingByRoute!$D$3:$D$426,RouteID_Conversion!$K$2:$K$999)</f>
        <v>765.46565628051519</v>
      </c>
    </row>
    <row r="376" spans="1:8" ht="15" customHeight="1" x14ac:dyDescent="0.25">
      <c r="A376" s="7"/>
      <c r="B376" s="8">
        <v>6511</v>
      </c>
      <c r="C376" s="1" t="s">
        <v>2035</v>
      </c>
      <c r="D376" s="1">
        <f t="shared" si="20"/>
        <v>6511</v>
      </c>
      <c r="E376" s="1" t="s">
        <v>2036</v>
      </c>
      <c r="F376" s="8" t="str">
        <f t="shared" si="21"/>
        <v>MK</v>
      </c>
      <c r="G376" s="2">
        <v>825.79951282012041</v>
      </c>
      <c r="H376" s="2">
        <f>SUMIF(RouteID_Conversion!$J$2:$J$999,AM_BoardingByRoute!$D$3:$D$426,RouteID_Conversion!$K$2:$K$999)</f>
        <v>873.56260871887071</v>
      </c>
    </row>
    <row r="377" spans="1:8" ht="15" customHeight="1" x14ac:dyDescent="0.25">
      <c r="A377" s="7"/>
      <c r="B377" s="8">
        <v>6522</v>
      </c>
      <c r="C377" s="1" t="s">
        <v>2039</v>
      </c>
      <c r="D377" s="1">
        <f t="shared" si="20"/>
        <v>6522</v>
      </c>
      <c r="E377" s="1" t="s">
        <v>2040</v>
      </c>
      <c r="F377" s="8" t="str">
        <f t="shared" si="21"/>
        <v>MK</v>
      </c>
      <c r="G377" s="2">
        <v>811.5</v>
      </c>
      <c r="H377" s="2">
        <f>SUMIF(RouteID_Conversion!$J$2:$J$999,AM_BoardingByRoute!$D$3:$D$426,RouteID_Conversion!$K$2:$K$999)</f>
        <v>840.2871551513648</v>
      </c>
    </row>
    <row r="378" spans="1:8" ht="15" customHeight="1" x14ac:dyDescent="0.25">
      <c r="A378" s="7"/>
      <c r="B378" s="8">
        <v>6532</v>
      </c>
      <c r="C378" s="1" t="s">
        <v>2041</v>
      </c>
      <c r="D378" s="1">
        <f t="shared" si="20"/>
        <v>6532</v>
      </c>
      <c r="E378" s="1" t="s">
        <v>2042</v>
      </c>
      <c r="F378" s="8" t="str">
        <f t="shared" si="21"/>
        <v>MK</v>
      </c>
      <c r="G378" s="2">
        <v>356.58758311540225</v>
      </c>
      <c r="H378" s="2">
        <f>SUMIF(RouteID_Conversion!$J$2:$J$999,AM_BoardingByRoute!$D$3:$D$426,RouteID_Conversion!$K$2:$K$999)</f>
        <v>199.07278442382801</v>
      </c>
    </row>
    <row r="379" spans="1:8" ht="15" customHeight="1" x14ac:dyDescent="0.25">
      <c r="A379" s="7"/>
      <c r="B379" s="8">
        <v>6535</v>
      </c>
      <c r="C379" s="1" t="s">
        <v>2043</v>
      </c>
      <c r="D379" s="1">
        <f t="shared" si="20"/>
        <v>6535</v>
      </c>
      <c r="E379" s="1" t="s">
        <v>2044</v>
      </c>
      <c r="F379" s="8" t="str">
        <f t="shared" si="21"/>
        <v>MK</v>
      </c>
      <c r="G379" s="2">
        <v>419.78506038345648</v>
      </c>
      <c r="H379" s="2">
        <f>SUMIF(RouteID_Conversion!$J$2:$J$999,AM_BoardingByRoute!$D$3:$D$426,RouteID_Conversion!$K$2:$K$999)</f>
        <v>1781.8648147582994</v>
      </c>
    </row>
    <row r="380" spans="1:8" ht="15" customHeight="1" x14ac:dyDescent="0.25">
      <c r="A380" s="7"/>
      <c r="B380" s="8">
        <v>6540</v>
      </c>
      <c r="C380" s="1" t="s">
        <v>2045</v>
      </c>
      <c r="D380" s="1">
        <f t="shared" si="20"/>
        <v>6540</v>
      </c>
      <c r="E380" s="1" t="s">
        <v>2046</v>
      </c>
      <c r="F380" s="8" t="str">
        <f t="shared" si="21"/>
        <v>MK</v>
      </c>
      <c r="G380" s="2">
        <v>334.8</v>
      </c>
      <c r="H380" s="2">
        <f>SUMIF(RouteID_Conversion!$J$2:$J$999,AM_BoardingByRoute!$D$3:$D$426,RouteID_Conversion!$K$2:$K$999)</f>
        <v>581.84638214111294</v>
      </c>
    </row>
    <row r="381" spans="1:8" ht="15" customHeight="1" x14ac:dyDescent="0.25">
      <c r="A381" s="7"/>
      <c r="B381" s="8">
        <v>6545</v>
      </c>
      <c r="C381" s="1" t="s">
        <v>2047</v>
      </c>
      <c r="D381" s="1">
        <f t="shared" si="20"/>
        <v>6545</v>
      </c>
      <c r="E381" s="1" t="s">
        <v>2048</v>
      </c>
      <c r="F381" s="8" t="str">
        <f t="shared" si="21"/>
        <v>MK</v>
      </c>
      <c r="G381" s="2">
        <v>1801.2</v>
      </c>
      <c r="H381" s="2">
        <f>SUMIF(RouteID_Conversion!$J$2:$J$999,AM_BoardingByRoute!$D$3:$D$426,RouteID_Conversion!$K$2:$K$999)</f>
        <v>3679.1333312988222</v>
      </c>
    </row>
    <row r="382" spans="1:8" ht="15" customHeight="1" x14ac:dyDescent="0.25">
      <c r="A382" s="7"/>
      <c r="B382" s="8">
        <v>6550</v>
      </c>
      <c r="C382" s="1" t="s">
        <v>2049</v>
      </c>
      <c r="D382" s="1">
        <f t="shared" si="20"/>
        <v>6550</v>
      </c>
      <c r="E382" s="1" t="s">
        <v>2050</v>
      </c>
      <c r="F382" s="8" t="str">
        <f t="shared" si="21"/>
        <v>MK</v>
      </c>
      <c r="G382" s="2">
        <v>1999.2</v>
      </c>
      <c r="H382" s="2">
        <f>SUMIF(RouteID_Conversion!$J$2:$J$999,AM_BoardingByRoute!$D$3:$D$426,RouteID_Conversion!$K$2:$K$999)</f>
        <v>4335.0994606018012</v>
      </c>
    </row>
    <row r="383" spans="1:8" ht="15" customHeight="1" x14ac:dyDescent="0.25">
      <c r="A383" s="7"/>
      <c r="B383" s="8">
        <v>6554</v>
      </c>
      <c r="C383" s="1" t="s">
        <v>2051</v>
      </c>
      <c r="D383" s="1">
        <f t="shared" si="20"/>
        <v>6554</v>
      </c>
      <c r="E383" s="1" t="s">
        <v>2052</v>
      </c>
      <c r="F383" s="8" t="str">
        <f t="shared" si="21"/>
        <v>MK</v>
      </c>
      <c r="G383" s="2">
        <v>388.2</v>
      </c>
      <c r="H383" s="2">
        <f>SUMIF(RouteID_Conversion!$J$2:$J$999,AM_BoardingByRoute!$D$3:$D$426,RouteID_Conversion!$K$2:$K$999)</f>
        <v>694.62707901000829</v>
      </c>
    </row>
    <row r="384" spans="1:8" ht="15" customHeight="1" x14ac:dyDescent="0.25">
      <c r="A384" s="7"/>
      <c r="B384" s="8">
        <v>6555</v>
      </c>
      <c r="C384" s="1" t="s">
        <v>2053</v>
      </c>
      <c r="D384" s="1">
        <f t="shared" si="20"/>
        <v>6555</v>
      </c>
      <c r="E384" s="1" t="s">
        <v>2054</v>
      </c>
      <c r="F384" s="8" t="str">
        <f t="shared" si="21"/>
        <v>MK</v>
      </c>
      <c r="G384" s="2">
        <v>205.4</v>
      </c>
      <c r="H384" s="2">
        <f>SUMIF(RouteID_Conversion!$J$2:$J$999,AM_BoardingByRoute!$D$3:$D$426,RouteID_Conversion!$K$2:$K$999)</f>
        <v>200.27739906311021</v>
      </c>
    </row>
    <row r="385" spans="1:8" ht="15" customHeight="1" x14ac:dyDescent="0.25">
      <c r="A385" s="7"/>
      <c r="B385" s="8">
        <v>6556</v>
      </c>
      <c r="C385" s="1" t="s">
        <v>2055</v>
      </c>
      <c r="D385" s="1">
        <f t="shared" si="20"/>
        <v>6556</v>
      </c>
      <c r="E385" s="1" t="s">
        <v>2056</v>
      </c>
      <c r="F385" s="8" t="str">
        <f t="shared" si="21"/>
        <v>MK</v>
      </c>
      <c r="G385" s="2">
        <v>260.3</v>
      </c>
      <c r="H385" s="2">
        <f>SUMIF(RouteID_Conversion!$J$2:$J$999,AM_BoardingByRoute!$D$3:$D$426,RouteID_Conversion!$K$2:$K$999)</f>
        <v>263.98800182342501</v>
      </c>
    </row>
    <row r="386" spans="1:8" ht="15" customHeight="1" x14ac:dyDescent="0.25">
      <c r="A386" s="7"/>
      <c r="B386" s="8">
        <v>6560</v>
      </c>
      <c r="C386" s="1" t="s">
        <v>2057</v>
      </c>
      <c r="D386" s="1">
        <f t="shared" si="20"/>
        <v>6560</v>
      </c>
      <c r="E386" s="1" t="s">
        <v>2058</v>
      </c>
      <c r="F386" s="8" t="str">
        <f t="shared" si="21"/>
        <v>MK</v>
      </c>
      <c r="G386" s="2">
        <v>375.2</v>
      </c>
      <c r="H386" s="2">
        <f>SUMIF(RouteID_Conversion!$J$2:$J$999,AM_BoardingByRoute!$D$3:$D$426,RouteID_Conversion!$K$2:$K$999)</f>
        <v>819.47416496276651</v>
      </c>
    </row>
    <row r="387" spans="1:8" ht="15" customHeight="1" x14ac:dyDescent="0.25">
      <c r="A387" s="7"/>
      <c r="B387" s="8">
        <v>6566</v>
      </c>
      <c r="C387" s="1" t="s">
        <v>2059</v>
      </c>
      <c r="D387" s="1">
        <f t="shared" si="20"/>
        <v>6566</v>
      </c>
      <c r="E387" s="1" t="s">
        <v>2060</v>
      </c>
      <c r="F387" s="8" t="str">
        <f t="shared" si="21"/>
        <v>MK</v>
      </c>
      <c r="G387" s="2">
        <v>666.2</v>
      </c>
      <c r="H387" s="2">
        <f>SUMIF(RouteID_Conversion!$J$2:$J$999,AM_BoardingByRoute!$D$3:$D$426,RouteID_Conversion!$K$2:$K$999)</f>
        <v>1371.0197601318328</v>
      </c>
    </row>
    <row r="388" spans="1:8" ht="15" customHeight="1" x14ac:dyDescent="0.25">
      <c r="A388" s="7"/>
      <c r="B388" s="8">
        <v>6574</v>
      </c>
      <c r="C388" s="1" t="s">
        <v>2061</v>
      </c>
      <c r="D388" s="1">
        <f t="shared" si="20"/>
        <v>6574</v>
      </c>
      <c r="E388" s="1" t="s">
        <v>2062</v>
      </c>
      <c r="F388" s="8" t="str">
        <f t="shared" si="21"/>
        <v>PT</v>
      </c>
      <c r="G388" s="2">
        <v>667.9431511888921</v>
      </c>
      <c r="H388" s="2">
        <f>SUMIF(RouteID_Conversion!$J$2:$J$999,AM_BoardingByRoute!$D$3:$D$426,RouteID_Conversion!$K$2:$K$999)</f>
        <v>390.91970443725563</v>
      </c>
    </row>
    <row r="389" spans="1:8" ht="15" customHeight="1" x14ac:dyDescent="0.25">
      <c r="A389" s="7"/>
      <c r="B389" s="8">
        <v>6577</v>
      </c>
      <c r="C389" s="1" t="s">
        <v>2063</v>
      </c>
      <c r="D389" s="1">
        <f t="shared" si="20"/>
        <v>6577</v>
      </c>
      <c r="E389" s="1" t="s">
        <v>2064</v>
      </c>
      <c r="F389" s="8" t="str">
        <f t="shared" si="21"/>
        <v>MK</v>
      </c>
      <c r="G389" s="2">
        <v>505.1</v>
      </c>
      <c r="H389" s="2">
        <f>SUMIF(RouteID_Conversion!$J$2:$J$999,AM_BoardingByRoute!$D$3:$D$426,RouteID_Conversion!$K$2:$K$999)</f>
        <v>71.216073036193706</v>
      </c>
    </row>
    <row r="390" spans="1:8" ht="15" customHeight="1" x14ac:dyDescent="0.25">
      <c r="A390" s="7"/>
      <c r="B390" s="8">
        <v>6578</v>
      </c>
      <c r="C390" s="1" t="s">
        <v>2065</v>
      </c>
      <c r="D390" s="1">
        <f t="shared" si="20"/>
        <v>6578</v>
      </c>
      <c r="E390" s="1" t="s">
        <v>2066</v>
      </c>
      <c r="F390" s="8" t="str">
        <f t="shared" si="21"/>
        <v>PT</v>
      </c>
      <c r="G390" s="2">
        <v>250.82981347144971</v>
      </c>
      <c r="H390" s="2">
        <f>SUMIF(RouteID_Conversion!$J$2:$J$999,AM_BoardingByRoute!$D$3:$D$426,RouteID_Conversion!$K$2:$K$999)</f>
        <v>53.358569443225733</v>
      </c>
    </row>
    <row r="391" spans="1:8" ht="15" customHeight="1" x14ac:dyDescent="0.25">
      <c r="A391" s="7"/>
      <c r="B391" s="8">
        <v>6586</v>
      </c>
      <c r="C391" s="1" t="s">
        <v>1745</v>
      </c>
      <c r="D391" s="1">
        <f t="shared" si="20"/>
        <v>6586</v>
      </c>
      <c r="E391" s="1" t="s">
        <v>2067</v>
      </c>
      <c r="F391" s="8" t="str">
        <f t="shared" si="21"/>
        <v>ST</v>
      </c>
      <c r="G391" s="2">
        <v>128.49238167578321</v>
      </c>
      <c r="H391" s="2">
        <f>SUMIF(RouteID_Conversion!$J$2:$J$999,AM_BoardingByRoute!$D$3:$D$426,RouteID_Conversion!$K$2:$K$999)</f>
        <v>99.220855712890398</v>
      </c>
    </row>
    <row r="392" spans="1:8" ht="15" customHeight="1" x14ac:dyDescent="0.25">
      <c r="A392" s="7"/>
      <c r="B392" s="8">
        <v>6590</v>
      </c>
      <c r="C392" s="1" t="s">
        <v>1382</v>
      </c>
      <c r="D392" s="1">
        <f t="shared" si="20"/>
        <v>6590</v>
      </c>
      <c r="E392" s="1" t="s">
        <v>2068</v>
      </c>
      <c r="F392" s="8" t="str">
        <f t="shared" si="21"/>
        <v>ST</v>
      </c>
      <c r="G392" s="2">
        <v>476.96491931030135</v>
      </c>
      <c r="H392" s="2">
        <f>SUMIF(RouteID_Conversion!$J$2:$J$999,AM_BoardingByRoute!$D$3:$D$426,RouteID_Conversion!$K$2:$K$999)</f>
        <v>895.08201408385958</v>
      </c>
    </row>
    <row r="393" spans="1:8" ht="15" customHeight="1" x14ac:dyDescent="0.25">
      <c r="A393" s="7"/>
      <c r="B393" s="8">
        <v>6592</v>
      </c>
      <c r="C393" s="1" t="s">
        <v>1003</v>
      </c>
      <c r="D393" s="1">
        <f t="shared" si="20"/>
        <v>6592</v>
      </c>
      <c r="E393" s="1" t="s">
        <v>2069</v>
      </c>
      <c r="F393" s="8" t="str">
        <f t="shared" si="21"/>
        <v>ST</v>
      </c>
      <c r="G393" s="2">
        <v>228.91919067306267</v>
      </c>
      <c r="H393" s="2">
        <f>SUMIF(RouteID_Conversion!$J$2:$J$999,AM_BoardingByRoute!$D$3:$D$426,RouteID_Conversion!$K$2:$K$999)</f>
        <v>475.6821005344388</v>
      </c>
    </row>
    <row r="394" spans="1:8" ht="15" customHeight="1" x14ac:dyDescent="0.25">
      <c r="A394" s="7"/>
      <c r="B394" s="8">
        <v>6595</v>
      </c>
      <c r="C394" s="1" t="s">
        <v>1377</v>
      </c>
      <c r="D394" s="1">
        <f t="shared" si="20"/>
        <v>6594</v>
      </c>
      <c r="E394" s="1" t="s">
        <v>2071</v>
      </c>
      <c r="F394" s="8" t="str">
        <f t="shared" si="21"/>
        <v>ST</v>
      </c>
      <c r="G394" s="2">
        <v>483.0075070222212</v>
      </c>
      <c r="H394" s="2">
        <f>SUMIF(RouteID_Conversion!$J$2:$J$999,AM_BoardingByRoute!$D$3:$D$426,RouteID_Conversion!$K$2:$K$999)</f>
        <v>219.33415031433071</v>
      </c>
    </row>
    <row r="395" spans="1:8" ht="15" customHeight="1" x14ac:dyDescent="0.25">
      <c r="A395" s="7"/>
      <c r="B395" s="8">
        <v>6599</v>
      </c>
      <c r="C395" s="1" t="s">
        <v>1411</v>
      </c>
      <c r="D395" s="1">
        <f t="shared" si="20"/>
        <v>6595</v>
      </c>
      <c r="E395" s="1" t="s">
        <v>2072</v>
      </c>
      <c r="F395" s="8" t="str">
        <f t="shared" si="21"/>
        <v>ST</v>
      </c>
      <c r="G395" s="2">
        <v>134</v>
      </c>
      <c r="H395" s="2">
        <f>SUMIF(RouteID_Conversion!$J$2:$J$999,AM_BoardingByRoute!$D$3:$D$426,RouteID_Conversion!$K$2:$K$999)</f>
        <v>141.5113143920897</v>
      </c>
    </row>
    <row r="396" spans="1:8" ht="15" customHeight="1" x14ac:dyDescent="0.25">
      <c r="A396" s="7"/>
      <c r="B396" s="8"/>
      <c r="C396" s="1" t="s">
        <v>427</v>
      </c>
      <c r="D396" s="1">
        <f t="shared" si="20"/>
        <v>6599</v>
      </c>
      <c r="E396" s="1" t="s">
        <v>2073</v>
      </c>
      <c r="F396" s="8" t="str">
        <f t="shared" si="21"/>
        <v>ST</v>
      </c>
      <c r="G396" s="2">
        <v>20.886878599260136</v>
      </c>
      <c r="H396" s="2">
        <f>SUMIF(RouteID_Conversion!$J$2:$J$999,AM_BoardingByRoute!$D$3:$D$426,RouteID_Conversion!$K$2:$K$999)</f>
        <v>940.03137796744477</v>
      </c>
    </row>
    <row r="397" spans="1:8" ht="15" customHeight="1" x14ac:dyDescent="0.25">
      <c r="A397" s="7"/>
      <c r="B397" s="8">
        <v>7002</v>
      </c>
      <c r="C397" s="1" t="s">
        <v>639</v>
      </c>
      <c r="D397" s="1">
        <f t="shared" ref="D397:D414" si="22">MID(C397,3,3)+7000</f>
        <v>7002</v>
      </c>
      <c r="E397" s="1" t="s">
        <v>2074</v>
      </c>
      <c r="F397" s="8" t="str">
        <f t="shared" si="21"/>
        <v>ET</v>
      </c>
      <c r="G397" s="2">
        <v>54.590909090909093</v>
      </c>
      <c r="H397" s="2">
        <f>SUMIF(RouteID_Conversion!$J$2:$J$999,AM_BoardingByRoute!$D$3:$D$426,RouteID_Conversion!$K$2:$K$999)</f>
        <v>135.35621643066389</v>
      </c>
    </row>
    <row r="398" spans="1:8" ht="15" customHeight="1" x14ac:dyDescent="0.25">
      <c r="A398" s="7"/>
      <c r="B398" s="8">
        <v>7003</v>
      </c>
      <c r="C398" s="1" t="s">
        <v>1137</v>
      </c>
      <c r="D398" s="1">
        <f t="shared" si="22"/>
        <v>7003</v>
      </c>
      <c r="E398" s="1" t="s">
        <v>2075</v>
      </c>
      <c r="F398" s="8" t="str">
        <f t="shared" si="21"/>
        <v>ET</v>
      </c>
      <c r="G398" s="2">
        <v>73.318181818181813</v>
      </c>
      <c r="H398" s="2">
        <f>SUMIF(RouteID_Conversion!$J$2:$J$999,AM_BoardingByRoute!$D$3:$D$426,RouteID_Conversion!$K$2:$K$999)</f>
        <v>444.56584548950138</v>
      </c>
    </row>
    <row r="399" spans="1:8" ht="15" customHeight="1" x14ac:dyDescent="0.25">
      <c r="A399" s="7"/>
      <c r="B399" s="8">
        <v>7004</v>
      </c>
      <c r="C399" s="1" t="s">
        <v>641</v>
      </c>
      <c r="D399" s="1">
        <f t="shared" si="22"/>
        <v>7004</v>
      </c>
      <c r="E399" s="1" t="s">
        <v>2076</v>
      </c>
      <c r="F399" s="8" t="str">
        <f t="shared" si="21"/>
        <v>ET</v>
      </c>
      <c r="G399" s="2">
        <v>30.90909090909091</v>
      </c>
      <c r="H399" s="2">
        <f>SUMIF(RouteID_Conversion!$J$2:$J$999,AM_BoardingByRoute!$D$3:$D$426,RouteID_Conversion!$K$2:$K$999)</f>
        <v>241.13842010498041</v>
      </c>
    </row>
    <row r="400" spans="1:8" ht="15" customHeight="1" x14ac:dyDescent="0.25">
      <c r="A400" s="7"/>
      <c r="B400" s="8">
        <v>7005</v>
      </c>
      <c r="C400" s="1" t="s">
        <v>463</v>
      </c>
      <c r="D400" s="1">
        <f t="shared" si="22"/>
        <v>7005</v>
      </c>
      <c r="E400" s="1" t="s">
        <v>2077</v>
      </c>
      <c r="F400" s="8" t="str">
        <f t="shared" si="21"/>
        <v>ET</v>
      </c>
      <c r="G400" s="2">
        <v>24.636363636363637</v>
      </c>
      <c r="H400" s="2">
        <f>SUMIF(RouteID_Conversion!$J$2:$J$999,AM_BoardingByRoute!$D$3:$D$426,RouteID_Conversion!$K$2:$K$999)</f>
        <v>1.579740226268767</v>
      </c>
    </row>
    <row r="401" spans="1:8" ht="15" customHeight="1" x14ac:dyDescent="0.25">
      <c r="A401" s="7"/>
      <c r="B401" s="8">
        <v>7007</v>
      </c>
      <c r="C401" s="1" t="s">
        <v>466</v>
      </c>
      <c r="D401" s="1">
        <f t="shared" si="22"/>
        <v>7007</v>
      </c>
      <c r="E401" s="1" t="s">
        <v>2078</v>
      </c>
      <c r="F401" s="8" t="str">
        <f t="shared" si="21"/>
        <v>ET</v>
      </c>
      <c r="G401" s="2">
        <v>267.72727272727275</v>
      </c>
      <c r="H401" s="2">
        <f>SUMIF(RouteID_Conversion!$J$2:$J$999,AM_BoardingByRoute!$D$3:$D$426,RouteID_Conversion!$K$2:$K$999)</f>
        <v>230.05519723892186</v>
      </c>
    </row>
    <row r="402" spans="1:8" ht="15" customHeight="1" x14ac:dyDescent="0.25">
      <c r="A402" s="7"/>
      <c r="B402" s="8">
        <v>7008</v>
      </c>
      <c r="C402" s="1" t="s">
        <v>1472</v>
      </c>
      <c r="D402" s="1">
        <f t="shared" si="22"/>
        <v>7008</v>
      </c>
      <c r="E402" s="1" t="s">
        <v>2079</v>
      </c>
      <c r="F402" s="8" t="str">
        <f t="shared" si="21"/>
        <v>ET</v>
      </c>
      <c r="G402" s="2">
        <v>94.36363636363636</v>
      </c>
      <c r="H402" s="2">
        <f>SUMIF(RouteID_Conversion!$J$2:$J$999,AM_BoardingByRoute!$D$3:$D$426,RouteID_Conversion!$K$2:$K$999)</f>
        <v>398.10556411743141</v>
      </c>
    </row>
    <row r="403" spans="1:8" ht="15" customHeight="1" x14ac:dyDescent="0.25">
      <c r="A403" s="7"/>
      <c r="B403" s="8">
        <v>7009</v>
      </c>
      <c r="C403" s="1" t="s">
        <v>468</v>
      </c>
      <c r="D403" s="1">
        <f t="shared" si="22"/>
        <v>7009</v>
      </c>
      <c r="E403" s="1" t="s">
        <v>2080</v>
      </c>
      <c r="F403" s="8" t="str">
        <f t="shared" si="21"/>
        <v>ET</v>
      </c>
      <c r="G403" s="2">
        <v>387.45454545454544</v>
      </c>
      <c r="H403" s="2">
        <f>SUMIF(RouteID_Conversion!$J$2:$J$999,AM_BoardingByRoute!$D$3:$D$426,RouteID_Conversion!$K$2:$K$999)</f>
        <v>280.56724351644436</v>
      </c>
    </row>
    <row r="404" spans="1:8" ht="15" customHeight="1" x14ac:dyDescent="0.25">
      <c r="A404" s="7"/>
      <c r="B404" s="8">
        <v>7012</v>
      </c>
      <c r="C404" s="1" t="s">
        <v>1108</v>
      </c>
      <c r="D404" s="1">
        <f t="shared" si="22"/>
        <v>7012</v>
      </c>
      <c r="E404" s="1" t="s">
        <v>2081</v>
      </c>
      <c r="F404" s="8" t="str">
        <f t="shared" si="21"/>
        <v>ET</v>
      </c>
      <c r="G404" s="2">
        <v>22.545454545454547</v>
      </c>
      <c r="H404" s="2">
        <f>SUMIF(RouteID_Conversion!$J$2:$J$999,AM_BoardingByRoute!$D$3:$D$426,RouteID_Conversion!$K$2:$K$999)</f>
        <v>44.133047103881722</v>
      </c>
    </row>
    <row r="405" spans="1:8" ht="15" customHeight="1" x14ac:dyDescent="0.25">
      <c r="A405" s="7"/>
      <c r="B405" s="8">
        <v>7014</v>
      </c>
      <c r="C405" s="1" t="s">
        <v>1434</v>
      </c>
      <c r="D405" s="1">
        <f t="shared" si="22"/>
        <v>7014</v>
      </c>
      <c r="E405" s="1" t="s">
        <v>2082</v>
      </c>
      <c r="F405" s="8" t="str">
        <f t="shared" si="21"/>
        <v>ET</v>
      </c>
      <c r="G405" s="2">
        <v>18.181818181818183</v>
      </c>
      <c r="H405" s="2">
        <f>SUMIF(RouteID_Conversion!$J$2:$J$999,AM_BoardingByRoute!$D$3:$D$426,RouteID_Conversion!$K$2:$K$999)</f>
        <v>112.26157379150371</v>
      </c>
    </row>
    <row r="406" spans="1:8" ht="15" customHeight="1" x14ac:dyDescent="0.25">
      <c r="A406" s="7"/>
      <c r="B406" s="8">
        <v>7017</v>
      </c>
      <c r="C406" s="1" t="s">
        <v>1630</v>
      </c>
      <c r="D406" s="1">
        <f t="shared" si="22"/>
        <v>7017</v>
      </c>
      <c r="E406" s="1" t="s">
        <v>2083</v>
      </c>
      <c r="F406" s="8" t="str">
        <f t="shared" si="21"/>
        <v>ET</v>
      </c>
      <c r="G406" s="2">
        <v>50</v>
      </c>
      <c r="H406" s="2">
        <f>SUMIF(RouteID_Conversion!$J$2:$J$999,AM_BoardingByRoute!$D$3:$D$426,RouteID_Conversion!$K$2:$K$999)</f>
        <v>262.8771533966061</v>
      </c>
    </row>
    <row r="407" spans="1:8" ht="15" customHeight="1" x14ac:dyDescent="0.25">
      <c r="A407" s="7"/>
      <c r="B407" s="8">
        <v>7018</v>
      </c>
      <c r="C407" s="1" t="s">
        <v>1134</v>
      </c>
      <c r="D407" s="1">
        <f t="shared" si="22"/>
        <v>7018</v>
      </c>
      <c r="E407" s="1" t="s">
        <v>2084</v>
      </c>
      <c r="F407" s="8" t="str">
        <f t="shared" si="21"/>
        <v>ET</v>
      </c>
      <c r="G407" s="2">
        <v>78.409090909090907</v>
      </c>
      <c r="H407" s="2">
        <f>SUMIF(RouteID_Conversion!$J$2:$J$999,AM_BoardingByRoute!$D$3:$D$426,RouteID_Conversion!$K$2:$K$999)</f>
        <v>130.31023406982411</v>
      </c>
    </row>
    <row r="408" spans="1:8" ht="15" customHeight="1" x14ac:dyDescent="0.25">
      <c r="A408" s="7"/>
      <c r="B408" s="8">
        <v>7025</v>
      </c>
      <c r="C408" s="1" t="s">
        <v>1062</v>
      </c>
      <c r="D408" s="1">
        <f t="shared" si="22"/>
        <v>7025</v>
      </c>
      <c r="E408" s="1" t="s">
        <v>2085</v>
      </c>
      <c r="F408" s="8" t="str">
        <f t="shared" si="21"/>
        <v>ET</v>
      </c>
      <c r="G408" s="2">
        <v>23.59090909090909</v>
      </c>
      <c r="H408" s="2">
        <f>SUMIF(RouteID_Conversion!$J$2:$J$999,AM_BoardingByRoute!$D$3:$D$426,RouteID_Conversion!$K$2:$K$999)</f>
        <v>86.403608322143398</v>
      </c>
    </row>
    <row r="409" spans="1:8" ht="15" customHeight="1" x14ac:dyDescent="0.25">
      <c r="A409" s="7"/>
      <c r="B409" s="8">
        <v>7027</v>
      </c>
      <c r="C409" s="1" t="s">
        <v>437</v>
      </c>
      <c r="D409" s="1">
        <f t="shared" si="22"/>
        <v>7027</v>
      </c>
      <c r="E409" s="1" t="s">
        <v>2086</v>
      </c>
      <c r="F409" s="8" t="str">
        <f t="shared" si="21"/>
        <v>ET</v>
      </c>
      <c r="G409" s="2">
        <v>14</v>
      </c>
      <c r="H409" s="2">
        <f>SUMIF(RouteID_Conversion!$J$2:$J$999,AM_BoardingByRoute!$D$3:$D$426,RouteID_Conversion!$K$2:$K$999)</f>
        <v>105.79213237762433</v>
      </c>
    </row>
    <row r="410" spans="1:8" ht="15" customHeight="1" x14ac:dyDescent="0.25">
      <c r="A410" s="7"/>
      <c r="B410" s="8">
        <v>7029</v>
      </c>
      <c r="C410" s="1" t="s">
        <v>1633</v>
      </c>
      <c r="D410" s="1">
        <f t="shared" si="22"/>
        <v>7029</v>
      </c>
      <c r="E410" s="1" t="s">
        <v>2087</v>
      </c>
      <c r="F410" s="8" t="str">
        <f t="shared" si="21"/>
        <v>ET</v>
      </c>
      <c r="G410" s="2">
        <v>189.63636363636363</v>
      </c>
      <c r="H410" s="2">
        <f>SUMIF(RouteID_Conversion!$J$2:$J$999,AM_BoardingByRoute!$D$3:$D$426,RouteID_Conversion!$K$2:$K$999)</f>
        <v>152.17706680297832</v>
      </c>
    </row>
    <row r="411" spans="1:8" ht="15" customHeight="1" x14ac:dyDescent="0.25">
      <c r="A411" s="7"/>
      <c r="B411" s="8">
        <v>7070</v>
      </c>
      <c r="C411" s="1" t="s">
        <v>1527</v>
      </c>
      <c r="D411" s="1">
        <f t="shared" si="22"/>
        <v>7070</v>
      </c>
      <c r="E411" s="1" t="s">
        <v>2088</v>
      </c>
      <c r="F411" s="8" t="str">
        <f t="shared" si="21"/>
        <v>ET</v>
      </c>
      <c r="G411" s="2">
        <v>57.454545454545453</v>
      </c>
      <c r="H411" s="2">
        <f>SUMIF(RouteID_Conversion!$J$2:$J$999,AM_BoardingByRoute!$D$3:$D$426,RouteID_Conversion!$K$2:$K$999)</f>
        <v>18.93119001388548</v>
      </c>
    </row>
    <row r="412" spans="1:8" ht="15" customHeight="1" x14ac:dyDescent="0.25">
      <c r="A412" s="7"/>
      <c r="B412" s="8"/>
      <c r="C412" s="1" t="s">
        <v>2089</v>
      </c>
      <c r="D412" s="1">
        <f t="shared" si="22"/>
        <v>7079</v>
      </c>
      <c r="E412" s="1" t="s">
        <v>2090</v>
      </c>
      <c r="F412" s="8" t="str">
        <f t="shared" si="21"/>
        <v>ET</v>
      </c>
      <c r="G412" s="2">
        <v>19.045454545454547</v>
      </c>
      <c r="H412" s="2">
        <f>SUMIF(RouteID_Conversion!$J$2:$J$999,AM_BoardingByRoute!$D$3:$D$426,RouteID_Conversion!$K$2:$K$999)</f>
        <v>0</v>
      </c>
    </row>
    <row r="413" spans="1:8" ht="15" customHeight="1" x14ac:dyDescent="0.25">
      <c r="A413" s="7"/>
      <c r="B413" s="8">
        <v>7701</v>
      </c>
      <c r="C413" s="1" t="s">
        <v>1110</v>
      </c>
      <c r="D413" s="1">
        <f t="shared" si="22"/>
        <v>7701</v>
      </c>
      <c r="E413" s="1" t="s">
        <v>2091</v>
      </c>
      <c r="F413" s="8" t="str">
        <f t="shared" si="21"/>
        <v>ET</v>
      </c>
      <c r="G413" s="2">
        <v>1.1363636363636365</v>
      </c>
      <c r="H413" s="2">
        <f>SUMIF(RouteID_Conversion!$J$2:$J$999,AM_BoardingByRoute!$D$3:$D$426,RouteID_Conversion!$K$2:$K$999)</f>
        <v>33.680463790893519</v>
      </c>
    </row>
    <row r="414" spans="1:8" ht="15" customHeight="1" x14ac:dyDescent="0.25">
      <c r="A414" s="7"/>
      <c r="B414" s="8">
        <v>7702</v>
      </c>
      <c r="C414" s="1" t="s">
        <v>2092</v>
      </c>
      <c r="D414" s="1">
        <f t="shared" si="22"/>
        <v>7702</v>
      </c>
      <c r="E414" s="1" t="s">
        <v>2093</v>
      </c>
      <c r="F414" s="8" t="str">
        <f t="shared" si="21"/>
        <v>ET</v>
      </c>
      <c r="G414" s="2">
        <v>2.2272727272727271</v>
      </c>
      <c r="H414" s="2">
        <f>SUMIF(RouteID_Conversion!$J$2:$J$999,AM_BoardingByRoute!$D$3:$D$426,RouteID_Conversion!$K$2:$K$999)</f>
        <v>0</v>
      </c>
    </row>
    <row r="415" spans="1:8" ht="15" customHeight="1" x14ac:dyDescent="0.25">
      <c r="A415" s="7"/>
      <c r="B415" s="8">
        <v>6001</v>
      </c>
      <c r="C415" s="1" t="s">
        <v>2094</v>
      </c>
      <c r="D415" s="1">
        <v>6001</v>
      </c>
      <c r="E415" s="1" t="s">
        <v>2095</v>
      </c>
      <c r="F415" s="8" t="str">
        <f t="shared" si="21"/>
        <v>ST</v>
      </c>
      <c r="G415" s="2">
        <v>4127.568181818182</v>
      </c>
      <c r="H415" s="2">
        <f>SUMIF(RouteID_Conversion!$J$2:$J$999,AM_BoardingByRoute!$D$3:$D$426,RouteID_Conversion!$K$2:$K$999)</f>
        <v>3808.952316284167</v>
      </c>
    </row>
    <row r="416" spans="1:8" ht="15" customHeight="1" x14ac:dyDescent="0.25">
      <c r="A416" s="7"/>
      <c r="B416" s="8">
        <v>6003</v>
      </c>
      <c r="C416" s="1" t="s">
        <v>2096</v>
      </c>
      <c r="D416" s="1">
        <v>6003</v>
      </c>
      <c r="E416" s="1" t="s">
        <v>2097</v>
      </c>
      <c r="F416" s="8" t="str">
        <f t="shared" si="21"/>
        <v>ST</v>
      </c>
      <c r="G416" s="2">
        <v>548.72727272727275</v>
      </c>
      <c r="H416" s="2">
        <f>SUMIF(RouteID_Conversion!$J$2:$J$999,AM_BoardingByRoute!$D$3:$D$426,RouteID_Conversion!$K$2:$K$999)</f>
        <v>23.210668563842752</v>
      </c>
    </row>
    <row r="417" spans="1:8" ht="15" customHeight="1" x14ac:dyDescent="0.25">
      <c r="A417" s="7"/>
      <c r="B417" s="8">
        <v>6011</v>
      </c>
      <c r="C417" s="1" t="s">
        <v>2098</v>
      </c>
      <c r="D417" s="1">
        <v>6011</v>
      </c>
      <c r="E417" s="1" t="s">
        <v>2099</v>
      </c>
      <c r="F417" s="8" t="str">
        <f t="shared" si="21"/>
        <v>ST</v>
      </c>
      <c r="G417" s="2">
        <v>2840</v>
      </c>
      <c r="H417" s="2">
        <f>SUMIF(RouteID_Conversion!$J$2:$J$999,AM_BoardingByRoute!$D$3:$D$426,RouteID_Conversion!$K$2:$K$999)</f>
        <v>3783.495773315427</v>
      </c>
    </row>
    <row r="418" spans="1:8" ht="15" customHeight="1" x14ac:dyDescent="0.25">
      <c r="A418" s="7"/>
      <c r="B418" s="8">
        <v>6010</v>
      </c>
      <c r="C418" s="1" t="s">
        <v>2100</v>
      </c>
      <c r="D418" s="1">
        <v>6010</v>
      </c>
      <c r="E418" s="1" t="s">
        <v>2101</v>
      </c>
      <c r="F418" s="8" t="str">
        <f t="shared" si="21"/>
        <v>ST</v>
      </c>
      <c r="G418" s="2">
        <v>552.41</v>
      </c>
      <c r="H418" s="2">
        <f>SUMIF(RouteID_Conversion!$J$2:$J$999,AM_BoardingByRoute!$D$3:$D$426,RouteID_Conversion!$K$2:$K$999)</f>
        <v>1236.6676769256592</v>
      </c>
    </row>
    <row r="419" spans="1:8" ht="15" customHeight="1" x14ac:dyDescent="0.25">
      <c r="A419" s="7"/>
      <c r="B419" s="8">
        <v>8001</v>
      </c>
      <c r="C419" s="1" t="s">
        <v>2102</v>
      </c>
      <c r="D419" s="1">
        <v>8001</v>
      </c>
      <c r="E419" s="1" t="s">
        <v>2103</v>
      </c>
      <c r="F419" s="8" t="str">
        <f t="shared" si="21"/>
        <v>SC</v>
      </c>
      <c r="G419" s="2">
        <v>1596</v>
      </c>
      <c r="H419" s="2">
        <f>SUMIF(RouteID_Conversion!$J$2:$J$999,AM_BoardingByRoute!$D$3:$D$426,RouteID_Conversion!$K$2:$K$999)</f>
        <v>0</v>
      </c>
    </row>
    <row r="420" spans="1:8" ht="15" customHeight="1" x14ac:dyDescent="0.25">
      <c r="A420" s="7"/>
      <c r="B420" s="8">
        <v>1975</v>
      </c>
      <c r="C420" s="1" t="s">
        <v>2104</v>
      </c>
      <c r="D420" s="1">
        <v>1975</v>
      </c>
      <c r="E420" s="1" t="s">
        <v>2105</v>
      </c>
      <c r="F420" s="8" t="str">
        <f t="shared" si="21"/>
        <v>WF</v>
      </c>
      <c r="G420" s="2">
        <v>260</v>
      </c>
      <c r="H420" s="2">
        <f>SUMIF(RouteID_Conversion!$J$2:$J$999,AM_BoardingByRoute!$D$3:$D$426,RouteID_Conversion!$K$2:$K$999)</f>
        <v>0</v>
      </c>
    </row>
    <row r="421" spans="1:8" ht="15" customHeight="1" x14ac:dyDescent="0.25">
      <c r="A421" s="7"/>
      <c r="B421" s="8">
        <v>4501</v>
      </c>
      <c r="C421" s="1" t="s">
        <v>2106</v>
      </c>
      <c r="D421" s="1">
        <v>4501</v>
      </c>
      <c r="E421" s="1" t="s">
        <v>2107</v>
      </c>
      <c r="F421" s="8" t="str">
        <f t="shared" si="21"/>
        <v>KT</v>
      </c>
      <c r="G421" s="2">
        <v>393.99</v>
      </c>
      <c r="H421" s="2">
        <f>SUMIF(RouteID_Conversion!$J$2:$J$999,AM_BoardingByRoute!$D$3:$D$426,RouteID_Conversion!$K$2:$K$999)</f>
        <v>55.850087404250942</v>
      </c>
    </row>
    <row r="422" spans="1:8" ht="15" customHeight="1" x14ac:dyDescent="0.25">
      <c r="A422" s="7"/>
      <c r="B422" s="8"/>
      <c r="C422" s="1" t="s">
        <v>2108</v>
      </c>
      <c r="D422" s="1">
        <v>4502</v>
      </c>
      <c r="E422" s="1" t="s">
        <v>2109</v>
      </c>
      <c r="F422" s="8" t="str">
        <f t="shared" si="21"/>
        <v>KT</v>
      </c>
      <c r="G422" s="2">
        <v>164.91</v>
      </c>
      <c r="H422" s="2">
        <f>SUMIF(RouteID_Conversion!$J$2:$J$999,AM_BoardingByRoute!$D$3:$D$426,RouteID_Conversion!$K$2:$K$999)</f>
        <v>90.123958587646257</v>
      </c>
    </row>
    <row r="423" spans="1:8" ht="15" customHeight="1" x14ac:dyDescent="0.25">
      <c r="A423" s="7"/>
      <c r="B423" s="8">
        <v>5001</v>
      </c>
      <c r="C423" s="1" t="s">
        <v>2110</v>
      </c>
      <c r="D423" s="1">
        <v>5001</v>
      </c>
      <c r="E423" s="1" t="s">
        <v>2111</v>
      </c>
      <c r="F423" s="8" t="str">
        <f t="shared" si="21"/>
        <v>WF</v>
      </c>
      <c r="G423" s="2">
        <v>43</v>
      </c>
      <c r="H423" s="2">
        <f>SUMIF(RouteID_Conversion!$J$2:$J$999,AM_BoardingByRoute!$D$3:$D$426,RouteID_Conversion!$K$2:$K$999)</f>
        <v>28.402880191802911</v>
      </c>
    </row>
    <row r="424" spans="1:8" ht="15" customHeight="1" x14ac:dyDescent="0.25">
      <c r="A424" s="7"/>
      <c r="B424" s="8">
        <v>5004</v>
      </c>
      <c r="C424" s="1" t="s">
        <v>2116</v>
      </c>
      <c r="D424" s="1">
        <v>5004</v>
      </c>
      <c r="E424" s="1" t="s">
        <v>2117</v>
      </c>
      <c r="F424" s="8" t="str">
        <f t="shared" si="21"/>
        <v>WF</v>
      </c>
      <c r="G424" s="2">
        <v>16</v>
      </c>
      <c r="H424" s="2">
        <f>SUMIF(RouteID_Conversion!$J$2:$J$999,AM_BoardingByRoute!$D$3:$D$426,RouteID_Conversion!$K$2:$K$999)</f>
        <v>1</v>
      </c>
    </row>
    <row r="425" spans="1:8" ht="15" customHeight="1" x14ac:dyDescent="0.25">
      <c r="A425" s="7"/>
      <c r="B425" s="8">
        <v>5005</v>
      </c>
      <c r="C425" s="1" t="s">
        <v>2118</v>
      </c>
      <c r="D425" s="1">
        <v>5005</v>
      </c>
      <c r="E425" s="1" t="s">
        <v>2119</v>
      </c>
      <c r="F425" s="8" t="str">
        <f t="shared" si="21"/>
        <v>WF</v>
      </c>
      <c r="G425" s="2">
        <v>594</v>
      </c>
      <c r="H425" s="2">
        <f>SUMIF(RouteID_Conversion!$J$2:$J$999,AM_BoardingByRoute!$D$3:$D$426,RouteID_Conversion!$K$2:$K$999)</f>
        <v>484.19246387481627</v>
      </c>
    </row>
    <row r="426" spans="1:8" ht="15" customHeight="1" x14ac:dyDescent="0.25">
      <c r="A426" s="7"/>
      <c r="B426" s="8">
        <v>5006</v>
      </c>
      <c r="C426" s="1" t="s">
        <v>2120</v>
      </c>
      <c r="D426" s="1">
        <v>5006</v>
      </c>
      <c r="E426" s="1" t="s">
        <v>2121</v>
      </c>
      <c r="F426" s="8" t="str">
        <f t="shared" si="21"/>
        <v>WF</v>
      </c>
      <c r="G426" s="2">
        <v>195</v>
      </c>
      <c r="H426" s="2">
        <f>SUMIF(RouteID_Conversion!$J$2:$J$999,AM_BoardingByRoute!$D$3:$D$426,RouteID_Conversion!$K$2:$K$999)</f>
        <v>102.44239997863751</v>
      </c>
    </row>
    <row r="427" spans="1:8" ht="15" customHeight="1" x14ac:dyDescent="0.25">
      <c r="A427" s="7"/>
      <c r="D427" s="8"/>
      <c r="E427" s="8"/>
      <c r="F427" s="8"/>
      <c r="H427" s="8"/>
    </row>
    <row r="428" spans="1:8" ht="15" customHeight="1" x14ac:dyDescent="0.25">
      <c r="A428" s="7"/>
      <c r="D428" s="8"/>
      <c r="E428" s="8"/>
      <c r="F428" s="8"/>
      <c r="H428" s="8"/>
    </row>
    <row r="429" spans="1:8" ht="15" customHeight="1" x14ac:dyDescent="0.25">
      <c r="A429" s="7"/>
      <c r="D429" s="8"/>
      <c r="E429" s="8"/>
      <c r="F429" s="8"/>
      <c r="H429" s="8"/>
    </row>
    <row r="430" spans="1:8" ht="15" customHeight="1" x14ac:dyDescent="0.25">
      <c r="A430" s="7"/>
      <c r="C430" s="7"/>
      <c r="D430" s="8"/>
      <c r="E430" s="8"/>
      <c r="F430" s="8"/>
      <c r="H430" s="8"/>
    </row>
    <row r="431" spans="1:8" ht="15" customHeight="1" x14ac:dyDescent="0.25">
      <c r="A431" s="7"/>
      <c r="C431" s="7"/>
      <c r="D431" s="8"/>
      <c r="E431" s="8"/>
      <c r="F431" s="8"/>
      <c r="H431" s="8"/>
    </row>
    <row r="432" spans="1:8" ht="15" customHeight="1" x14ac:dyDescent="0.25">
      <c r="A432" s="7"/>
      <c r="C432" s="7"/>
      <c r="D432" s="8"/>
      <c r="E432" s="8"/>
      <c r="F432" s="8"/>
      <c r="H432" s="8"/>
    </row>
    <row r="433" spans="1:8" ht="15" customHeight="1" x14ac:dyDescent="0.25">
      <c r="A433" s="7"/>
      <c r="C433" s="7"/>
      <c r="D433" s="8"/>
      <c r="E433" s="8"/>
      <c r="F433" s="8"/>
      <c r="H433" s="8"/>
    </row>
    <row r="434" spans="1:8" ht="15" customHeight="1" x14ac:dyDescent="0.25">
      <c r="A434" s="7"/>
      <c r="C434" s="7"/>
      <c r="D434" s="8"/>
      <c r="E434" s="8"/>
      <c r="F434" s="8"/>
      <c r="H434" s="8"/>
    </row>
    <row r="435" spans="1:8" ht="15" customHeight="1" x14ac:dyDescent="0.25">
      <c r="A435" s="7"/>
      <c r="C435" s="7"/>
      <c r="D435" s="8"/>
      <c r="E435" s="8"/>
      <c r="F435" s="8"/>
      <c r="H435" s="8"/>
    </row>
    <row r="436" spans="1:8" ht="15" customHeight="1" x14ac:dyDescent="0.25">
      <c r="A436" s="7"/>
      <c r="C436" s="7"/>
      <c r="D436" s="8"/>
      <c r="E436" s="8"/>
      <c r="F436" s="8"/>
      <c r="H436" s="8"/>
    </row>
    <row r="437" spans="1:8" ht="15" customHeight="1" x14ac:dyDescent="0.25">
      <c r="A437" s="7"/>
      <c r="C437" s="7"/>
      <c r="D437" s="8"/>
      <c r="E437" s="8"/>
      <c r="F437" s="8"/>
      <c r="H437" s="8"/>
    </row>
    <row r="438" spans="1:8" ht="15" customHeight="1" x14ac:dyDescent="0.25">
      <c r="A438" s="7"/>
      <c r="C438" s="7"/>
      <c r="D438" s="8"/>
      <c r="E438" s="8"/>
      <c r="F438" s="8"/>
      <c r="H438" s="8"/>
    </row>
    <row r="439" spans="1:8" ht="15" customHeight="1" x14ac:dyDescent="0.25">
      <c r="A439" s="7"/>
      <c r="C439" s="7"/>
      <c r="D439" s="8"/>
      <c r="E439" s="8"/>
      <c r="F439" s="8"/>
      <c r="H439" s="8"/>
    </row>
    <row r="440" spans="1:8" ht="15" customHeight="1" x14ac:dyDescent="0.25">
      <c r="A440" s="7"/>
      <c r="C440" s="7"/>
      <c r="D440" s="8"/>
      <c r="E440" s="8"/>
      <c r="F440" s="8"/>
      <c r="H440" s="8"/>
    </row>
    <row r="441" spans="1:8" ht="15" customHeight="1" x14ac:dyDescent="0.25">
      <c r="A441" s="7"/>
      <c r="C441" s="7"/>
      <c r="D441" s="8"/>
      <c r="E441" s="8"/>
      <c r="F441" s="8"/>
      <c r="H441" s="8"/>
    </row>
    <row r="442" spans="1:8" ht="15" customHeight="1" x14ac:dyDescent="0.25">
      <c r="A442" s="7"/>
      <c r="C442" s="7"/>
      <c r="D442" s="8"/>
      <c r="E442" s="8"/>
      <c r="F442" s="8"/>
      <c r="H442" s="8"/>
    </row>
    <row r="443" spans="1:8" ht="15" customHeight="1" x14ac:dyDescent="0.25">
      <c r="A443" s="7"/>
      <c r="C443" s="7"/>
      <c r="D443" s="8"/>
      <c r="E443" s="8"/>
      <c r="F443" s="8"/>
      <c r="H443" s="8"/>
    </row>
    <row r="444" spans="1:8" ht="15" customHeight="1" x14ac:dyDescent="0.25">
      <c r="A444" s="7"/>
      <c r="C444" s="7"/>
      <c r="D444" s="8"/>
      <c r="E444" s="8"/>
      <c r="F444" s="8"/>
      <c r="H444" s="8"/>
    </row>
    <row r="445" spans="1:8" ht="15" customHeight="1" x14ac:dyDescent="0.25">
      <c r="A445" s="7"/>
      <c r="C445" s="7"/>
      <c r="D445" s="8"/>
      <c r="E445" s="8"/>
      <c r="F445" s="8"/>
      <c r="H445" s="8"/>
    </row>
    <row r="446" spans="1:8" ht="15" customHeight="1" x14ac:dyDescent="0.25">
      <c r="A446" s="7"/>
      <c r="C446" s="7"/>
      <c r="D446" s="8"/>
      <c r="E446" s="8"/>
      <c r="F446" s="8"/>
      <c r="H446" s="8"/>
    </row>
    <row r="447" spans="1:8" ht="15" customHeight="1" x14ac:dyDescent="0.25">
      <c r="A447" s="7"/>
      <c r="C447" s="7"/>
      <c r="D447" s="8"/>
      <c r="E447" s="8"/>
      <c r="F447" s="8"/>
      <c r="H447" s="8"/>
    </row>
    <row r="448" spans="1:8" ht="15" customHeight="1" x14ac:dyDescent="0.25">
      <c r="A448" s="7"/>
      <c r="C448" s="7"/>
      <c r="D448" s="8"/>
      <c r="E448" s="8"/>
      <c r="F448" s="8"/>
      <c r="H448" s="8"/>
    </row>
    <row r="449" spans="1:8" ht="15" customHeight="1" x14ac:dyDescent="0.25">
      <c r="A449" s="7"/>
      <c r="C449" s="7"/>
      <c r="D449" s="8"/>
      <c r="E449" s="8"/>
      <c r="F449" s="8"/>
      <c r="H449" s="8"/>
    </row>
    <row r="450" spans="1:8" ht="15" customHeight="1" x14ac:dyDescent="0.25">
      <c r="A450" s="7"/>
      <c r="C450" s="7"/>
      <c r="D450" s="8"/>
      <c r="E450" s="8"/>
      <c r="F450" s="8"/>
      <c r="H450" s="8"/>
    </row>
    <row r="451" spans="1:8" ht="15" customHeight="1" x14ac:dyDescent="0.25">
      <c r="A451" s="7"/>
      <c r="C451" s="7"/>
      <c r="D451" s="8"/>
      <c r="E451" s="8"/>
      <c r="F451" s="8"/>
      <c r="H451" s="8"/>
    </row>
    <row r="452" spans="1:8" ht="15" customHeight="1" x14ac:dyDescent="0.25">
      <c r="A452" s="7"/>
      <c r="C452" s="7"/>
      <c r="D452" s="8"/>
      <c r="E452" s="8"/>
      <c r="F452" s="8"/>
      <c r="H452" s="8"/>
    </row>
    <row r="453" spans="1:8" ht="15" customHeight="1" x14ac:dyDescent="0.25">
      <c r="A453" s="7"/>
      <c r="C453" s="7"/>
      <c r="D453" s="8"/>
      <c r="E453" s="8"/>
      <c r="F453" s="8"/>
      <c r="H453" s="8"/>
    </row>
    <row r="454" spans="1:8" ht="15" customHeight="1" x14ac:dyDescent="0.25">
      <c r="A454" s="7"/>
      <c r="C454" s="7"/>
      <c r="D454" s="8"/>
      <c r="E454" s="8"/>
      <c r="F454" s="8"/>
      <c r="H454" s="8"/>
    </row>
    <row r="455" spans="1:8" ht="15" customHeight="1" x14ac:dyDescent="0.25">
      <c r="A455" s="7"/>
      <c r="C455" s="7"/>
      <c r="D455" s="8"/>
      <c r="E455" s="8"/>
      <c r="F455" s="8"/>
      <c r="H455" s="8"/>
    </row>
    <row r="456" spans="1:8" ht="15" customHeight="1" x14ac:dyDescent="0.25">
      <c r="A456" s="7"/>
      <c r="C456" s="7"/>
      <c r="D456" s="8"/>
      <c r="E456" s="8"/>
      <c r="F456" s="8"/>
      <c r="H456" s="8"/>
    </row>
    <row r="457" spans="1:8" ht="15" customHeight="1" x14ac:dyDescent="0.25">
      <c r="A457" s="7"/>
      <c r="C457" s="7"/>
      <c r="D457" s="8"/>
      <c r="E457" s="8"/>
      <c r="F457" s="8"/>
      <c r="H457" s="8"/>
    </row>
    <row r="458" spans="1:8" ht="15" customHeight="1" x14ac:dyDescent="0.25">
      <c r="A458" s="7"/>
      <c r="C458" s="7"/>
      <c r="D458" s="8"/>
      <c r="E458" s="8"/>
      <c r="F458" s="8"/>
      <c r="H458" s="8"/>
    </row>
    <row r="459" spans="1:8" ht="15" customHeight="1" x14ac:dyDescent="0.25">
      <c r="A459" s="7"/>
      <c r="C459" s="7"/>
      <c r="D459" s="8"/>
      <c r="E459" s="8"/>
      <c r="F459" s="8"/>
      <c r="H459" s="8"/>
    </row>
    <row r="460" spans="1:8" ht="15" customHeight="1" x14ac:dyDescent="0.25">
      <c r="A460" s="7"/>
      <c r="C460" s="7"/>
      <c r="D460" s="8"/>
      <c r="E460" s="8"/>
      <c r="F460" s="8"/>
      <c r="H460" s="8"/>
    </row>
    <row r="461" spans="1:8" ht="15" customHeight="1" x14ac:dyDescent="0.25">
      <c r="A461" s="7"/>
      <c r="C461" s="7"/>
      <c r="D461" s="8"/>
      <c r="E461" s="8"/>
      <c r="F461" s="8"/>
      <c r="H461" s="8"/>
    </row>
    <row r="462" spans="1:8" ht="15" customHeight="1" x14ac:dyDescent="0.25">
      <c r="A462" s="7"/>
      <c r="C462" s="7"/>
      <c r="D462" s="8"/>
      <c r="E462" s="8"/>
      <c r="F462" s="8"/>
      <c r="H462" s="8"/>
    </row>
    <row r="463" spans="1:8" ht="15" customHeight="1" x14ac:dyDescent="0.25">
      <c r="A463" s="7"/>
      <c r="C463" s="7"/>
      <c r="D463" s="8"/>
      <c r="E463" s="8"/>
      <c r="F463" s="8"/>
      <c r="H463" s="8"/>
    </row>
    <row r="464" spans="1:8" ht="15" customHeight="1" x14ac:dyDescent="0.25">
      <c r="A464" s="7"/>
      <c r="C464" s="7"/>
      <c r="D464" s="8"/>
      <c r="E464" s="8"/>
      <c r="F464" s="8"/>
      <c r="H464" s="8"/>
    </row>
    <row r="465" spans="1:8" ht="15" customHeight="1" x14ac:dyDescent="0.25">
      <c r="A465" s="7"/>
      <c r="C465" s="7"/>
      <c r="D465" s="8"/>
      <c r="E465" s="8"/>
      <c r="F465" s="8"/>
      <c r="H465" s="8"/>
    </row>
    <row r="466" spans="1:8" ht="15" customHeight="1" x14ac:dyDescent="0.25">
      <c r="A466" s="7"/>
      <c r="C466" s="7"/>
      <c r="D466" s="8"/>
      <c r="E466" s="8"/>
      <c r="F466" s="8"/>
      <c r="H466" s="8"/>
    </row>
    <row r="467" spans="1:8" ht="15" customHeight="1" x14ac:dyDescent="0.25">
      <c r="A467" s="7"/>
      <c r="C467" s="7"/>
      <c r="D467" s="8"/>
      <c r="E467" s="8"/>
      <c r="F467" s="8"/>
      <c r="H467" s="8"/>
    </row>
    <row r="468" spans="1:8" ht="15" customHeight="1" x14ac:dyDescent="0.25">
      <c r="A468" s="7"/>
      <c r="C468" s="7"/>
      <c r="D468" s="8"/>
      <c r="E468" s="8"/>
      <c r="F468" s="8"/>
      <c r="H468" s="8"/>
    </row>
    <row r="469" spans="1:8" ht="15" customHeight="1" x14ac:dyDescent="0.25">
      <c r="A469" s="7"/>
      <c r="C469" s="7"/>
      <c r="D469" s="8"/>
      <c r="E469" s="8"/>
      <c r="F469" s="8"/>
      <c r="H469" s="8"/>
    </row>
    <row r="470" spans="1:8" ht="15" customHeight="1" x14ac:dyDescent="0.25">
      <c r="A470" s="7"/>
      <c r="C470" s="7"/>
      <c r="D470" s="8"/>
      <c r="E470" s="8"/>
      <c r="F470" s="8"/>
      <c r="H470" s="8"/>
    </row>
    <row r="471" spans="1:8" ht="15" customHeight="1" x14ac:dyDescent="0.25">
      <c r="A471" s="7"/>
      <c r="C471" s="7"/>
      <c r="D471" s="8"/>
      <c r="E471" s="8"/>
      <c r="F471" s="8"/>
      <c r="H471" s="8"/>
    </row>
    <row r="472" spans="1:8" ht="15" customHeight="1" x14ac:dyDescent="0.25">
      <c r="A472" s="7"/>
      <c r="C472" s="7"/>
      <c r="D472" s="8"/>
      <c r="E472" s="8"/>
      <c r="F472" s="8"/>
      <c r="H472" s="8"/>
    </row>
    <row r="473" spans="1:8" ht="15" customHeight="1" x14ac:dyDescent="0.25">
      <c r="A473" s="7"/>
      <c r="C473" s="7"/>
      <c r="D473" s="8"/>
      <c r="E473" s="8"/>
      <c r="F473" s="8"/>
      <c r="H473" s="8"/>
    </row>
    <row r="474" spans="1:8" ht="15" customHeight="1" x14ac:dyDescent="0.25">
      <c r="A474" s="7"/>
      <c r="C474" s="7"/>
      <c r="D474" s="8"/>
      <c r="E474" s="8"/>
      <c r="F474" s="8"/>
      <c r="H474" s="8"/>
    </row>
    <row r="475" spans="1:8" ht="15" customHeight="1" x14ac:dyDescent="0.25">
      <c r="A475" s="7"/>
      <c r="C475" s="7"/>
      <c r="D475" s="8"/>
      <c r="E475" s="8"/>
      <c r="F475" s="8"/>
      <c r="H475" s="8"/>
    </row>
    <row r="476" spans="1:8" ht="15" customHeight="1" x14ac:dyDescent="0.25">
      <c r="A476" s="7"/>
      <c r="C476" s="7"/>
      <c r="D476" s="8"/>
      <c r="E476" s="8"/>
      <c r="F476" s="8"/>
      <c r="H476" s="8"/>
    </row>
    <row r="477" spans="1:8" ht="15" customHeight="1" x14ac:dyDescent="0.25">
      <c r="A477" s="7"/>
      <c r="C477" s="7"/>
      <c r="D477" s="8"/>
      <c r="E477" s="8"/>
      <c r="F477" s="8"/>
      <c r="H477" s="8"/>
    </row>
    <row r="478" spans="1:8" ht="15" customHeight="1" x14ac:dyDescent="0.25">
      <c r="A478" s="7"/>
      <c r="C478" s="7"/>
      <c r="D478" s="8"/>
      <c r="E478" s="8"/>
      <c r="F478" s="8"/>
      <c r="H478" s="8"/>
    </row>
    <row r="479" spans="1:8" ht="15" customHeight="1" x14ac:dyDescent="0.25">
      <c r="A479" s="7"/>
      <c r="C479" s="7"/>
      <c r="D479" s="8"/>
      <c r="E479" s="8"/>
      <c r="F479" s="8"/>
      <c r="H479" s="8"/>
    </row>
    <row r="480" spans="1:8" ht="15" customHeight="1" x14ac:dyDescent="0.25">
      <c r="A480" s="7"/>
      <c r="C480" s="7"/>
      <c r="D480" s="8"/>
      <c r="E480" s="8"/>
      <c r="F480" s="8"/>
      <c r="H480" s="8"/>
    </row>
    <row r="481" spans="1:8" ht="15" customHeight="1" x14ac:dyDescent="0.25">
      <c r="A481" s="7"/>
      <c r="C481" s="7"/>
      <c r="D481" s="8"/>
      <c r="E481" s="8"/>
      <c r="F481" s="8"/>
      <c r="H481" s="8"/>
    </row>
    <row r="482" spans="1:8" ht="15" customHeight="1" x14ac:dyDescent="0.25">
      <c r="A482" s="7"/>
      <c r="C482" s="7"/>
      <c r="D482" s="8"/>
      <c r="E482" s="8"/>
      <c r="F482" s="8"/>
      <c r="H482" s="8"/>
    </row>
    <row r="483" spans="1:8" ht="15" customHeight="1" x14ac:dyDescent="0.25">
      <c r="A483" s="7"/>
      <c r="C483" s="7"/>
      <c r="D483" s="8"/>
      <c r="E483" s="8"/>
      <c r="F483" s="8"/>
      <c r="H483" s="8"/>
    </row>
    <row r="484" spans="1:8" ht="15" customHeight="1" x14ac:dyDescent="0.25">
      <c r="A484" s="7"/>
      <c r="C484" s="7"/>
      <c r="D484" s="8"/>
      <c r="E484" s="8"/>
      <c r="F484" s="8"/>
      <c r="H484" s="8"/>
    </row>
    <row r="485" spans="1:8" ht="15" customHeight="1" x14ac:dyDescent="0.25">
      <c r="A485" s="7"/>
      <c r="C485" s="7"/>
      <c r="D485" s="8"/>
      <c r="E485" s="8"/>
      <c r="F485" s="8"/>
      <c r="H485" s="8"/>
    </row>
    <row r="486" spans="1:8" ht="15" customHeight="1" x14ac:dyDescent="0.25">
      <c r="A486" s="7"/>
      <c r="C486" s="7"/>
      <c r="D486" s="8"/>
      <c r="E486" s="8"/>
      <c r="F486" s="8"/>
      <c r="H486" s="8"/>
    </row>
    <row r="487" spans="1:8" ht="15" customHeight="1" x14ac:dyDescent="0.25">
      <c r="A487" s="7"/>
      <c r="C487" s="7"/>
      <c r="D487" s="8"/>
      <c r="E487" s="8"/>
      <c r="F487" s="8"/>
      <c r="H487" s="8"/>
    </row>
    <row r="488" spans="1:8" ht="15" customHeight="1" x14ac:dyDescent="0.25">
      <c r="A488" s="7"/>
      <c r="C488" s="7"/>
      <c r="D488" s="8"/>
      <c r="E488" s="8"/>
      <c r="F488" s="8"/>
      <c r="H488" s="8"/>
    </row>
    <row r="489" spans="1:8" ht="15" customHeight="1" x14ac:dyDescent="0.25">
      <c r="A489" s="7"/>
      <c r="C489" s="7"/>
      <c r="D489" s="8"/>
      <c r="E489" s="8"/>
      <c r="F489" s="8"/>
      <c r="H489" s="8"/>
    </row>
    <row r="490" spans="1:8" ht="15" customHeight="1" x14ac:dyDescent="0.25">
      <c r="A490" s="7"/>
      <c r="C490" s="7"/>
      <c r="D490" s="8"/>
      <c r="E490" s="8"/>
      <c r="F490" s="8"/>
      <c r="H490" s="8"/>
    </row>
    <row r="491" spans="1:8" ht="15" customHeight="1" x14ac:dyDescent="0.25">
      <c r="A491" s="7"/>
      <c r="C491" s="7"/>
      <c r="D491" s="8"/>
      <c r="E491" s="8"/>
      <c r="F491" s="8"/>
      <c r="H491" s="8"/>
    </row>
    <row r="492" spans="1:8" ht="15" customHeight="1" x14ac:dyDescent="0.25">
      <c r="A492" s="7"/>
      <c r="C492" s="7"/>
      <c r="D492" s="8"/>
      <c r="E492" s="8"/>
      <c r="F492" s="8"/>
      <c r="H492" s="8"/>
    </row>
    <row r="493" spans="1:8" ht="15" customHeight="1" x14ac:dyDescent="0.25">
      <c r="A493" s="7"/>
      <c r="C493" s="7"/>
      <c r="D493" s="8"/>
      <c r="E493" s="8"/>
      <c r="F493" s="8"/>
      <c r="H493" s="8"/>
    </row>
    <row r="494" spans="1:8" ht="15" customHeight="1" x14ac:dyDescent="0.25">
      <c r="A494" s="7"/>
      <c r="C494" s="7"/>
      <c r="D494" s="8"/>
      <c r="E494" s="8"/>
      <c r="F494" s="8"/>
      <c r="G494" s="5"/>
      <c r="H494" s="8"/>
    </row>
    <row r="495" spans="1:8" ht="15" customHeight="1" x14ac:dyDescent="0.25">
      <c r="A495" s="7"/>
      <c r="C495" s="7"/>
      <c r="D495" s="8"/>
      <c r="E495" s="8"/>
      <c r="F495" s="8"/>
      <c r="H495" s="8"/>
    </row>
    <row r="496" spans="1:8" ht="15" customHeight="1" x14ac:dyDescent="0.25">
      <c r="A496" s="7"/>
      <c r="C496" s="7"/>
      <c r="D496" s="8"/>
      <c r="E496" s="8"/>
      <c r="F496" s="8"/>
      <c r="H496" s="8"/>
    </row>
    <row r="497" spans="1:8" ht="15" customHeight="1" x14ac:dyDescent="0.25">
      <c r="A497" s="7"/>
      <c r="C497" s="7"/>
      <c r="D497" s="8"/>
      <c r="E497" s="8"/>
      <c r="F497" s="8"/>
      <c r="H497" s="8"/>
    </row>
    <row r="498" spans="1:8" ht="15" customHeight="1" x14ac:dyDescent="0.25">
      <c r="A498" s="7"/>
      <c r="C498" s="7"/>
      <c r="D498" s="8"/>
      <c r="E498" s="8"/>
      <c r="F498" s="8"/>
      <c r="H498" s="8"/>
    </row>
    <row r="499" spans="1:8" ht="15" customHeight="1" x14ac:dyDescent="0.25">
      <c r="A499" s="7"/>
      <c r="C499" s="7"/>
      <c r="D499" s="8"/>
      <c r="E499" s="8"/>
      <c r="F499" s="8"/>
      <c r="H499" s="8"/>
    </row>
    <row r="500" spans="1:8" ht="15" customHeight="1" x14ac:dyDescent="0.25">
      <c r="A500" s="7"/>
      <c r="C500" s="7"/>
      <c r="D500" s="8"/>
      <c r="E500" s="8"/>
      <c r="F500" s="8"/>
      <c r="H500" s="8"/>
    </row>
    <row r="501" spans="1:8" ht="15" customHeight="1" x14ac:dyDescent="0.25">
      <c r="A501" s="7"/>
      <c r="C501" s="7"/>
      <c r="D501" s="8"/>
      <c r="E501" s="8"/>
      <c r="F501" s="8"/>
      <c r="H501" s="8"/>
    </row>
    <row r="502" spans="1:8" ht="15" customHeight="1" x14ac:dyDescent="0.25">
      <c r="A502" s="7"/>
      <c r="C502" s="7"/>
      <c r="D502" s="8"/>
      <c r="E502" s="8"/>
      <c r="F502" s="8"/>
      <c r="H502" s="8"/>
    </row>
    <row r="503" spans="1:8" ht="15" customHeight="1" x14ac:dyDescent="0.25">
      <c r="A503" s="7"/>
      <c r="C503" s="7"/>
      <c r="D503" s="8"/>
      <c r="E503" s="8"/>
      <c r="F503" s="8"/>
      <c r="H503" s="8"/>
    </row>
    <row r="504" spans="1:8" ht="15" customHeight="1" x14ac:dyDescent="0.25">
      <c r="A504" s="7"/>
      <c r="C504" s="7"/>
      <c r="D504" s="8"/>
      <c r="E504" s="8"/>
      <c r="F504" s="8"/>
      <c r="H504" s="8"/>
    </row>
    <row r="505" spans="1:8" ht="15" customHeight="1" x14ac:dyDescent="0.25">
      <c r="A505" s="7"/>
      <c r="C505" s="7"/>
      <c r="D505" s="8"/>
      <c r="E505" s="8"/>
      <c r="F505" s="8"/>
      <c r="H505" s="8"/>
    </row>
    <row r="506" spans="1:8" ht="15" customHeight="1" x14ac:dyDescent="0.25">
      <c r="A506" s="7"/>
      <c r="C506" s="7"/>
      <c r="D506" s="8"/>
      <c r="E506" s="8"/>
      <c r="F506" s="8"/>
      <c r="H506" s="8"/>
    </row>
    <row r="507" spans="1:8" ht="15" customHeight="1" x14ac:dyDescent="0.25">
      <c r="A507" s="7"/>
      <c r="C507" s="7"/>
      <c r="D507" s="8"/>
      <c r="E507" s="8"/>
      <c r="F507" s="8"/>
      <c r="H507" s="8"/>
    </row>
    <row r="508" spans="1:8" ht="15" customHeight="1" x14ac:dyDescent="0.25">
      <c r="A508" s="7"/>
      <c r="C508" s="7"/>
      <c r="D508" s="8"/>
      <c r="E508" s="8"/>
      <c r="F508" s="8"/>
      <c r="H508" s="8"/>
    </row>
    <row r="509" spans="1:8" ht="15" customHeight="1" x14ac:dyDescent="0.25">
      <c r="A509" s="7"/>
      <c r="C509" s="7"/>
      <c r="D509" s="8"/>
      <c r="E509" s="8"/>
      <c r="F509" s="8"/>
      <c r="H509" s="8"/>
    </row>
    <row r="510" spans="1:8" ht="15" customHeight="1" x14ac:dyDescent="0.25">
      <c r="A510" s="7"/>
      <c r="C510" s="7"/>
      <c r="D510" s="8"/>
      <c r="E510" s="8"/>
      <c r="F510" s="8"/>
      <c r="H510" s="8"/>
    </row>
    <row r="511" spans="1:8" ht="15" customHeight="1" x14ac:dyDescent="0.25">
      <c r="A511" s="7"/>
      <c r="C511" s="7"/>
      <c r="D511" s="8"/>
      <c r="E511" s="8"/>
      <c r="F511" s="8"/>
      <c r="H511" s="8"/>
    </row>
    <row r="512" spans="1:8" ht="15" customHeight="1" x14ac:dyDescent="0.25">
      <c r="A512" s="7"/>
      <c r="C512" s="7"/>
      <c r="D512" s="8"/>
      <c r="E512" s="8"/>
      <c r="F512" s="8"/>
      <c r="H512" s="8"/>
    </row>
    <row r="513" spans="1:8" ht="15" customHeight="1" x14ac:dyDescent="0.25">
      <c r="A513" s="7"/>
      <c r="C513" s="7"/>
      <c r="D513" s="8"/>
      <c r="E513" s="8"/>
      <c r="F513" s="8"/>
      <c r="H513" s="8"/>
    </row>
    <row r="514" spans="1:8" ht="15" customHeight="1" x14ac:dyDescent="0.25">
      <c r="A514" s="7"/>
      <c r="C514" s="7"/>
      <c r="D514" s="8"/>
      <c r="E514" s="8"/>
      <c r="F514" s="8"/>
      <c r="H514" s="8"/>
    </row>
    <row r="515" spans="1:8" ht="15" customHeight="1" x14ac:dyDescent="0.25">
      <c r="A515" s="7"/>
      <c r="C515" s="7"/>
      <c r="D515" s="8"/>
      <c r="E515" s="8"/>
      <c r="F515" s="8"/>
      <c r="H515" s="8"/>
    </row>
    <row r="516" spans="1:8" ht="15" customHeight="1" x14ac:dyDescent="0.25">
      <c r="A516" s="7"/>
      <c r="C516" s="7"/>
      <c r="D516" s="8"/>
      <c r="E516" s="8"/>
      <c r="F516" s="8"/>
      <c r="H516" s="8"/>
    </row>
    <row r="517" spans="1:8" ht="15" customHeight="1" x14ac:dyDescent="0.25">
      <c r="A517" s="7"/>
      <c r="C517" s="7"/>
      <c r="D517" s="8"/>
      <c r="E517" s="8"/>
      <c r="F517" s="8"/>
      <c r="H517" s="8"/>
    </row>
    <row r="518" spans="1:8" ht="15" customHeight="1" x14ac:dyDescent="0.25">
      <c r="A518" s="7"/>
      <c r="C518" s="7"/>
      <c r="D518" s="8"/>
      <c r="E518" s="8"/>
      <c r="F518" s="8"/>
      <c r="H518" s="8"/>
    </row>
    <row r="519" spans="1:8" ht="15" customHeight="1" x14ac:dyDescent="0.25">
      <c r="A519" s="7"/>
      <c r="C519" s="7"/>
      <c r="D519" s="8"/>
      <c r="E519" s="8"/>
      <c r="F519" s="8"/>
      <c r="H519" s="8"/>
    </row>
    <row r="520" spans="1:8" ht="15" customHeight="1" x14ac:dyDescent="0.25">
      <c r="A520" s="7"/>
      <c r="C520" s="7"/>
      <c r="D520" s="8"/>
      <c r="E520" s="8"/>
      <c r="F520" s="8"/>
      <c r="H520" s="8"/>
    </row>
    <row r="521" spans="1:8" ht="15" customHeight="1" x14ac:dyDescent="0.25">
      <c r="A521" s="7"/>
      <c r="C521" s="7"/>
      <c r="D521" s="8"/>
      <c r="E521" s="8"/>
      <c r="F521" s="8"/>
      <c r="H521" s="8"/>
    </row>
    <row r="522" spans="1:8" ht="15" customHeight="1" x14ac:dyDescent="0.25">
      <c r="A522" s="7"/>
      <c r="C522" s="7"/>
      <c r="D522" s="8"/>
      <c r="E522" s="8"/>
      <c r="F522" s="8"/>
      <c r="H522" s="8"/>
    </row>
    <row r="523" spans="1:8" ht="15" customHeight="1" x14ac:dyDescent="0.25">
      <c r="A523" s="7"/>
      <c r="C523" s="7"/>
      <c r="D523" s="8"/>
      <c r="E523" s="8"/>
      <c r="F523" s="8"/>
      <c r="H523" s="8"/>
    </row>
    <row r="524" spans="1:8" ht="15" customHeight="1" x14ac:dyDescent="0.25">
      <c r="A524" s="7"/>
      <c r="C524" s="7"/>
      <c r="D524" s="8"/>
      <c r="E524" s="8"/>
      <c r="F524" s="8"/>
      <c r="H524" s="8"/>
    </row>
    <row r="525" spans="1:8" ht="15" customHeight="1" x14ac:dyDescent="0.25">
      <c r="A525" s="7"/>
      <c r="C525" s="7"/>
      <c r="D525" s="8"/>
      <c r="E525" s="8"/>
      <c r="F525" s="8"/>
      <c r="H525" s="8"/>
    </row>
    <row r="526" spans="1:8" ht="15" customHeight="1" x14ac:dyDescent="0.25">
      <c r="A526" s="7"/>
      <c r="C526" s="7"/>
      <c r="D526" s="8"/>
      <c r="E526" s="8"/>
      <c r="F526" s="8"/>
      <c r="H526" s="8"/>
    </row>
    <row r="527" spans="1:8" ht="15" customHeight="1" x14ac:dyDescent="0.25">
      <c r="A527" s="7"/>
      <c r="C527" s="7"/>
      <c r="D527" s="8"/>
      <c r="E527" s="8"/>
      <c r="F527" s="8"/>
      <c r="H527" s="8"/>
    </row>
    <row r="528" spans="1:8" ht="15" customHeight="1" x14ac:dyDescent="0.25">
      <c r="A528" s="7"/>
      <c r="C528" s="7"/>
      <c r="D528" s="8"/>
      <c r="E528" s="8"/>
      <c r="F528" s="8"/>
      <c r="H528" s="8"/>
    </row>
    <row r="529" spans="1:8" ht="15" customHeight="1" x14ac:dyDescent="0.25">
      <c r="A529" s="7"/>
      <c r="C529" s="7"/>
      <c r="D529" s="8"/>
      <c r="E529" s="8"/>
      <c r="F529" s="8"/>
      <c r="H529" s="8"/>
    </row>
    <row r="530" spans="1:8" ht="15" customHeight="1" x14ac:dyDescent="0.25">
      <c r="A530" s="7"/>
      <c r="C530" s="7"/>
      <c r="D530" s="8"/>
      <c r="E530" s="8"/>
      <c r="F530" s="8"/>
      <c r="H530" s="8"/>
    </row>
    <row r="531" spans="1:8" ht="15" customHeight="1" x14ac:dyDescent="0.25">
      <c r="A531" s="7"/>
      <c r="C531" s="7"/>
      <c r="D531" s="8"/>
      <c r="E531" s="8"/>
      <c r="F531" s="8"/>
      <c r="H531" s="8"/>
    </row>
    <row r="532" spans="1:8" ht="15" customHeight="1" x14ac:dyDescent="0.25">
      <c r="A532" s="7"/>
      <c r="C532" s="7"/>
      <c r="D532" s="8"/>
      <c r="E532" s="8"/>
      <c r="F532" s="8"/>
      <c r="H532" s="8"/>
    </row>
    <row r="533" spans="1:8" ht="15" customHeight="1" x14ac:dyDescent="0.25">
      <c r="A533" s="7"/>
      <c r="C533" s="7"/>
      <c r="D533" s="8"/>
      <c r="E533" s="8"/>
      <c r="F533" s="8"/>
      <c r="H533" s="8"/>
    </row>
    <row r="534" spans="1:8" ht="15" customHeight="1" x14ac:dyDescent="0.25">
      <c r="A534" s="7"/>
      <c r="C534" s="7"/>
      <c r="D534" s="8"/>
      <c r="E534" s="8"/>
      <c r="F534" s="8"/>
      <c r="H534" s="8"/>
    </row>
    <row r="535" spans="1:8" ht="15" customHeight="1" x14ac:dyDescent="0.25">
      <c r="A535" s="7"/>
      <c r="C535" s="7"/>
      <c r="D535" s="8"/>
      <c r="E535" s="8"/>
      <c r="F535" s="8"/>
      <c r="H535" s="8"/>
    </row>
    <row r="536" spans="1:8" ht="15" customHeight="1" x14ac:dyDescent="0.25">
      <c r="A536" s="7"/>
      <c r="C536" s="7"/>
      <c r="D536" s="8"/>
      <c r="E536" s="8"/>
      <c r="F536" s="8"/>
      <c r="H536" s="8"/>
    </row>
    <row r="537" spans="1:8" ht="15" customHeight="1" x14ac:dyDescent="0.25">
      <c r="A537" s="7"/>
      <c r="C537" s="7"/>
      <c r="D537" s="8"/>
      <c r="E537" s="8"/>
      <c r="F537" s="8"/>
      <c r="H537" s="8"/>
    </row>
    <row r="538" spans="1:8" ht="15" customHeight="1" x14ac:dyDescent="0.25">
      <c r="A538" s="7"/>
      <c r="C538" s="7"/>
      <c r="D538" s="8"/>
      <c r="E538" s="8"/>
      <c r="F538" s="8"/>
      <c r="H538" s="8"/>
    </row>
    <row r="539" spans="1:8" ht="15" customHeight="1" x14ac:dyDescent="0.25">
      <c r="A539" s="7"/>
      <c r="C539" s="7"/>
      <c r="D539" s="8"/>
      <c r="E539" s="8"/>
      <c r="F539" s="8"/>
      <c r="H539" s="8"/>
    </row>
    <row r="540" spans="1:8" ht="15" customHeight="1" x14ac:dyDescent="0.25">
      <c r="A540" s="7"/>
      <c r="C540" s="7"/>
      <c r="D540" s="8"/>
      <c r="E540" s="8"/>
      <c r="F540" s="8"/>
      <c r="H540" s="8"/>
    </row>
    <row r="541" spans="1:8" ht="15" customHeight="1" x14ac:dyDescent="0.25">
      <c r="A541" s="7"/>
      <c r="C541" s="7"/>
      <c r="D541" s="8"/>
      <c r="E541" s="8"/>
      <c r="F541" s="8"/>
      <c r="H541" s="8"/>
    </row>
    <row r="542" spans="1:8" ht="15" customHeight="1" x14ac:dyDescent="0.25">
      <c r="A542" s="7"/>
      <c r="C542" s="7"/>
      <c r="D542" s="8"/>
      <c r="E542" s="8"/>
      <c r="F542" s="8"/>
      <c r="H542" s="8"/>
    </row>
    <row r="543" spans="1:8" ht="15" customHeight="1" x14ac:dyDescent="0.25">
      <c r="A543" s="7"/>
      <c r="C543" s="7"/>
      <c r="D543" s="8"/>
      <c r="E543" s="8"/>
      <c r="F543" s="8"/>
      <c r="H543" s="8"/>
    </row>
    <row r="544" spans="1:8" ht="15" customHeight="1" x14ac:dyDescent="0.25">
      <c r="A544" s="7"/>
      <c r="C544" s="7"/>
      <c r="D544" s="8"/>
      <c r="E544" s="8"/>
      <c r="F544" s="8"/>
      <c r="H544" s="8"/>
    </row>
    <row r="545" spans="1:8" ht="15" customHeight="1" x14ac:dyDescent="0.25">
      <c r="A545" s="7"/>
      <c r="C545" s="7"/>
      <c r="D545" s="8"/>
      <c r="E545" s="8"/>
      <c r="F545" s="8"/>
      <c r="H545" s="8"/>
    </row>
    <row r="546" spans="1:8" ht="15" customHeight="1" x14ac:dyDescent="0.25">
      <c r="A546" s="7"/>
      <c r="C546" s="7"/>
      <c r="D546" s="8"/>
      <c r="E546" s="8"/>
      <c r="F546" s="8"/>
      <c r="H546" s="8"/>
    </row>
    <row r="547" spans="1:8" ht="15" customHeight="1" x14ac:dyDescent="0.25">
      <c r="A547" s="7"/>
      <c r="C547" s="7"/>
      <c r="D547" s="8"/>
      <c r="E547" s="8"/>
      <c r="F547" s="8"/>
      <c r="H547" s="8"/>
    </row>
    <row r="548" spans="1:8" ht="15" customHeight="1" x14ac:dyDescent="0.25">
      <c r="A548" s="7"/>
      <c r="C548" s="7"/>
      <c r="D548" s="8"/>
      <c r="E548" s="8"/>
      <c r="F548" s="8"/>
      <c r="H548" s="8"/>
    </row>
    <row r="549" spans="1:8" ht="15" customHeight="1" x14ac:dyDescent="0.25">
      <c r="A549" s="7"/>
      <c r="C549" s="7"/>
      <c r="D549" s="8"/>
      <c r="E549" s="8"/>
      <c r="F549" s="8"/>
      <c r="H549" s="8"/>
    </row>
    <row r="550" spans="1:8" ht="15" customHeight="1" x14ac:dyDescent="0.25">
      <c r="A550" s="7"/>
      <c r="C550" s="7"/>
      <c r="D550" s="8"/>
      <c r="E550" s="8"/>
      <c r="F550" s="8"/>
      <c r="H550" s="8"/>
    </row>
    <row r="551" spans="1:8" ht="15" customHeight="1" x14ac:dyDescent="0.25">
      <c r="A551" s="7"/>
      <c r="C551" s="7"/>
      <c r="D551" s="8"/>
      <c r="E551" s="8"/>
      <c r="F551" s="8"/>
      <c r="H551" s="8"/>
    </row>
    <row r="552" spans="1:8" ht="15" customHeight="1" x14ac:dyDescent="0.25">
      <c r="A552" s="7"/>
      <c r="C552" s="7"/>
      <c r="D552" s="8"/>
      <c r="E552" s="8"/>
      <c r="F552" s="8"/>
      <c r="H552" s="8"/>
    </row>
    <row r="553" spans="1:8" ht="15" customHeight="1" x14ac:dyDescent="0.25">
      <c r="A553" s="7"/>
      <c r="C553" s="7"/>
      <c r="D553" s="8"/>
      <c r="E553" s="8"/>
      <c r="F553" s="8"/>
      <c r="H553" s="8"/>
    </row>
    <row r="554" spans="1:8" ht="15" customHeight="1" x14ac:dyDescent="0.25">
      <c r="A554" s="7"/>
      <c r="C554" s="7"/>
      <c r="D554" s="8"/>
      <c r="E554" s="8"/>
      <c r="F554" s="8"/>
      <c r="H554" s="8"/>
    </row>
    <row r="555" spans="1:8" ht="15" customHeight="1" x14ac:dyDescent="0.25">
      <c r="A555" s="7"/>
      <c r="C555" s="7"/>
      <c r="D555" s="8"/>
      <c r="E555" s="8"/>
      <c r="F555" s="8"/>
      <c r="H555" s="8"/>
    </row>
    <row r="556" spans="1:8" ht="15" customHeight="1" x14ac:dyDescent="0.25">
      <c r="A556" s="7"/>
      <c r="C556" s="7"/>
      <c r="D556" s="8"/>
      <c r="E556" s="8"/>
      <c r="F556" s="8"/>
      <c r="H556" s="8"/>
    </row>
    <row r="557" spans="1:8" ht="15" customHeight="1" x14ac:dyDescent="0.25">
      <c r="A557" s="7"/>
      <c r="C557" s="7"/>
      <c r="D557" s="8"/>
      <c r="E557" s="8"/>
      <c r="F557" s="8"/>
      <c r="H557" s="8"/>
    </row>
    <row r="558" spans="1:8" ht="15" customHeight="1" x14ac:dyDescent="0.25">
      <c r="A558" s="7"/>
      <c r="C558" s="7"/>
      <c r="D558" s="8"/>
      <c r="E558" s="8"/>
      <c r="F558" s="8"/>
      <c r="H558" s="8"/>
    </row>
    <row r="559" spans="1:8" ht="15" customHeight="1" x14ac:dyDescent="0.25">
      <c r="A559" s="7"/>
      <c r="C559" s="7"/>
      <c r="D559" s="8"/>
      <c r="E559" s="8"/>
      <c r="F559" s="8"/>
      <c r="H559" s="8"/>
    </row>
    <row r="560" spans="1:8" ht="15" customHeight="1" x14ac:dyDescent="0.25">
      <c r="A560" s="7"/>
      <c r="C560" s="7"/>
      <c r="D560" s="8"/>
      <c r="E560" s="8"/>
      <c r="F560" s="8"/>
      <c r="H560" s="8"/>
    </row>
    <row r="561" spans="1:8" ht="15" customHeight="1" x14ac:dyDescent="0.25">
      <c r="A561" s="7"/>
      <c r="C561" s="7"/>
      <c r="D561" s="8"/>
      <c r="E561" s="8"/>
      <c r="F561" s="8"/>
      <c r="H561" s="8"/>
    </row>
    <row r="562" spans="1:8" ht="15" customHeight="1" x14ac:dyDescent="0.25">
      <c r="A562" s="7"/>
      <c r="C562" s="7"/>
      <c r="D562" s="8"/>
      <c r="E562" s="8"/>
      <c r="F562" s="8"/>
      <c r="H562" s="8"/>
    </row>
    <row r="563" spans="1:8" ht="15" customHeight="1" x14ac:dyDescent="0.25">
      <c r="A563" s="7"/>
      <c r="C563" s="7"/>
      <c r="D563" s="8"/>
      <c r="E563" s="8"/>
      <c r="F563" s="8"/>
      <c r="H563" s="8"/>
    </row>
    <row r="564" spans="1:8" ht="15" customHeight="1" x14ac:dyDescent="0.25">
      <c r="A564" s="7"/>
      <c r="C564" s="7"/>
      <c r="D564" s="8"/>
      <c r="E564" s="8"/>
      <c r="F564" s="8"/>
      <c r="H564" s="8"/>
    </row>
    <row r="565" spans="1:8" ht="15" customHeight="1" x14ac:dyDescent="0.25">
      <c r="A565" s="7"/>
      <c r="C565" s="7"/>
      <c r="D565" s="8"/>
      <c r="E565" s="8"/>
      <c r="F565" s="8"/>
      <c r="H565" s="8"/>
    </row>
    <row r="566" spans="1:8" ht="15" customHeight="1" x14ac:dyDescent="0.25">
      <c r="A566" s="7"/>
      <c r="C566" s="7"/>
      <c r="D566" s="8"/>
      <c r="E566" s="8"/>
      <c r="F566" s="8"/>
      <c r="H566" s="8"/>
    </row>
    <row r="567" spans="1:8" ht="15" customHeight="1" x14ac:dyDescent="0.25">
      <c r="A567" s="7"/>
      <c r="C567" s="7"/>
      <c r="D567" s="8"/>
      <c r="E567" s="8"/>
      <c r="F567" s="8"/>
      <c r="H567" s="8"/>
    </row>
    <row r="568" spans="1:8" ht="15" customHeight="1" x14ac:dyDescent="0.25">
      <c r="A568" s="7"/>
      <c r="C568" s="7"/>
      <c r="D568" s="8"/>
      <c r="E568" s="8"/>
      <c r="F568" s="8"/>
      <c r="H568" s="8"/>
    </row>
    <row r="569" spans="1:8" ht="15" customHeight="1" x14ac:dyDescent="0.25">
      <c r="A569" s="7"/>
      <c r="C569" s="7"/>
      <c r="D569" s="8"/>
      <c r="E569" s="8"/>
      <c r="F569" s="8"/>
      <c r="H569" s="8"/>
    </row>
    <row r="570" spans="1:8" ht="15" customHeight="1" x14ac:dyDescent="0.25">
      <c r="A570" s="7"/>
      <c r="C570" s="7"/>
      <c r="D570" s="8"/>
      <c r="E570" s="8"/>
      <c r="F570" s="8"/>
      <c r="H570" s="8"/>
    </row>
    <row r="571" spans="1:8" ht="15" customHeight="1" x14ac:dyDescent="0.25">
      <c r="A571" s="7"/>
      <c r="C571" s="7"/>
      <c r="D571" s="8"/>
      <c r="E571" s="8"/>
      <c r="F571" s="8"/>
      <c r="H571" s="8"/>
    </row>
    <row r="572" spans="1:8" ht="15" customHeight="1" x14ac:dyDescent="0.25">
      <c r="A572" s="7"/>
      <c r="C572" s="7"/>
      <c r="D572" s="8"/>
      <c r="E572" s="8"/>
      <c r="F572" s="8"/>
      <c r="H572" s="8"/>
    </row>
    <row r="573" spans="1:8" ht="15" customHeight="1" x14ac:dyDescent="0.25">
      <c r="A573" s="7"/>
      <c r="C573" s="7"/>
      <c r="D573" s="8"/>
      <c r="E573" s="8"/>
      <c r="F573" s="8"/>
      <c r="H573" s="8"/>
    </row>
    <row r="574" spans="1:8" ht="15" customHeight="1" x14ac:dyDescent="0.25">
      <c r="A574" s="7"/>
      <c r="C574" s="7"/>
      <c r="D574" s="8"/>
      <c r="E574" s="8"/>
      <c r="F574" s="8"/>
      <c r="H574" s="8"/>
    </row>
    <row r="575" spans="1:8" ht="15" customHeight="1" x14ac:dyDescent="0.25">
      <c r="A575" s="7"/>
      <c r="C575" s="7"/>
      <c r="D575" s="8"/>
      <c r="E575" s="8"/>
      <c r="F575" s="8"/>
      <c r="H575" s="8"/>
    </row>
    <row r="576" spans="1:8" ht="15" customHeight="1" x14ac:dyDescent="0.25">
      <c r="A576" s="7"/>
      <c r="C576" s="7"/>
      <c r="D576" s="8"/>
      <c r="E576" s="8"/>
      <c r="F576" s="8"/>
      <c r="H576" s="8"/>
    </row>
    <row r="577" spans="1:8" ht="15" customHeight="1" x14ac:dyDescent="0.25">
      <c r="A577" s="7"/>
      <c r="C577" s="7"/>
      <c r="D577" s="8"/>
      <c r="E577" s="8"/>
      <c r="F577" s="8"/>
      <c r="H577" s="8"/>
    </row>
    <row r="578" spans="1:8" ht="15" customHeight="1" x14ac:dyDescent="0.25">
      <c r="A578" s="7"/>
      <c r="C578" s="7"/>
      <c r="D578" s="8"/>
      <c r="E578" s="8"/>
      <c r="F578" s="8"/>
      <c r="H578" s="8"/>
    </row>
    <row r="579" spans="1:8" ht="15" customHeight="1" x14ac:dyDescent="0.25">
      <c r="A579" s="7"/>
      <c r="C579" s="7"/>
      <c r="D579" s="8"/>
      <c r="E579" s="8"/>
      <c r="F579" s="8"/>
      <c r="H579" s="8"/>
    </row>
    <row r="580" spans="1:8" ht="15" customHeight="1" x14ac:dyDescent="0.25">
      <c r="A580" s="7"/>
      <c r="C580" s="7"/>
      <c r="D580" s="8"/>
      <c r="E580" s="8"/>
      <c r="F580" s="8"/>
      <c r="H580" s="8"/>
    </row>
    <row r="581" spans="1:8" ht="15" customHeight="1" x14ac:dyDescent="0.25">
      <c r="A581" s="7"/>
      <c r="C581" s="7"/>
      <c r="D581" s="8"/>
      <c r="E581" s="8"/>
      <c r="F581" s="8"/>
      <c r="H581" s="8"/>
    </row>
    <row r="582" spans="1:8" ht="15" customHeight="1" x14ac:dyDescent="0.25">
      <c r="A582" s="7"/>
      <c r="C582" s="7"/>
      <c r="D582" s="8"/>
      <c r="E582" s="8"/>
      <c r="F582" s="8"/>
      <c r="H582" s="8"/>
    </row>
    <row r="583" spans="1:8" ht="15" customHeight="1" x14ac:dyDescent="0.25">
      <c r="A583" s="7"/>
      <c r="C583" s="7"/>
      <c r="D583" s="8"/>
      <c r="E583" s="8"/>
      <c r="F583" s="8"/>
      <c r="H583" s="8"/>
    </row>
    <row r="584" spans="1:8" ht="15" customHeight="1" x14ac:dyDescent="0.25">
      <c r="A584" s="7"/>
      <c r="C584" s="7"/>
      <c r="D584" s="8"/>
      <c r="E584" s="8"/>
      <c r="F584" s="8"/>
      <c r="H584" s="8"/>
    </row>
    <row r="585" spans="1:8" ht="15" customHeight="1" x14ac:dyDescent="0.25">
      <c r="A585" s="7"/>
      <c r="C585" s="7"/>
      <c r="D585" s="8"/>
      <c r="E585" s="8"/>
      <c r="F585" s="8"/>
      <c r="H585" s="8"/>
    </row>
    <row r="586" spans="1:8" ht="15" customHeight="1" x14ac:dyDescent="0.25">
      <c r="A586" s="7"/>
      <c r="C586" s="7"/>
      <c r="D586" s="8"/>
      <c r="E586" s="8"/>
      <c r="F586" s="8"/>
      <c r="H586" s="8"/>
    </row>
    <row r="587" spans="1:8" ht="15" customHeight="1" x14ac:dyDescent="0.25">
      <c r="A587" s="7"/>
      <c r="C587" s="7"/>
      <c r="D587" s="8"/>
      <c r="E587" s="8"/>
      <c r="F587" s="8"/>
      <c r="H587" s="8"/>
    </row>
    <row r="588" spans="1:8" ht="15" customHeight="1" x14ac:dyDescent="0.25">
      <c r="A588" s="7"/>
      <c r="C588" s="7"/>
      <c r="D588" s="8"/>
      <c r="E588" s="8"/>
      <c r="F588" s="8"/>
      <c r="H588" s="8"/>
    </row>
    <row r="589" spans="1:8" ht="15" customHeight="1" x14ac:dyDescent="0.25">
      <c r="A589" s="7"/>
      <c r="C589" s="7"/>
      <c r="D589" s="8"/>
      <c r="E589" s="8"/>
      <c r="F589" s="8"/>
      <c r="H589" s="8"/>
    </row>
    <row r="590" spans="1:8" ht="15" customHeight="1" x14ac:dyDescent="0.25">
      <c r="A590" s="7"/>
      <c r="C590" s="7"/>
      <c r="D590" s="8"/>
      <c r="E590" s="8"/>
      <c r="F590" s="8"/>
      <c r="H590" s="8"/>
    </row>
    <row r="591" spans="1:8" ht="15" customHeight="1" x14ac:dyDescent="0.25">
      <c r="A591" s="7"/>
      <c r="C591" s="7"/>
      <c r="D591" s="8"/>
      <c r="E591" s="8"/>
      <c r="F591" s="8"/>
      <c r="H591" s="8"/>
    </row>
    <row r="592" spans="1:8" ht="15" customHeight="1" x14ac:dyDescent="0.25">
      <c r="A592" s="7"/>
      <c r="C592" s="7"/>
      <c r="D592" s="8"/>
      <c r="E592" s="8"/>
      <c r="F592" s="8"/>
      <c r="H592" s="8"/>
    </row>
    <row r="593" spans="1:8" ht="15" customHeight="1" x14ac:dyDescent="0.25">
      <c r="A593" s="7"/>
      <c r="C593" s="7"/>
      <c r="D593" s="8"/>
      <c r="E593" s="8"/>
      <c r="F593" s="8"/>
      <c r="H593" s="8"/>
    </row>
    <row r="594" spans="1:8" ht="15" customHeight="1" x14ac:dyDescent="0.25">
      <c r="A594" s="7"/>
      <c r="C594" s="7"/>
      <c r="D594" s="8"/>
      <c r="E594" s="8"/>
      <c r="F594" s="8"/>
      <c r="H594" s="8"/>
    </row>
    <row r="595" spans="1:8" ht="15" customHeight="1" x14ac:dyDescent="0.25">
      <c r="A595" s="7"/>
      <c r="C595" s="7"/>
      <c r="D595" s="8"/>
      <c r="E595" s="8"/>
      <c r="F595" s="8"/>
      <c r="H595" s="8"/>
    </row>
    <row r="596" spans="1:8" ht="15" customHeight="1" x14ac:dyDescent="0.25">
      <c r="A596" s="7"/>
      <c r="C596" s="7"/>
      <c r="D596" s="8"/>
      <c r="E596" s="8"/>
      <c r="F596" s="8"/>
      <c r="H596" s="8"/>
    </row>
    <row r="597" spans="1:8" ht="15" customHeight="1" x14ac:dyDescent="0.25">
      <c r="A597" s="7"/>
      <c r="C597" s="7"/>
      <c r="D597" s="8"/>
      <c r="E597" s="8"/>
      <c r="F597" s="8"/>
      <c r="H597" s="8"/>
    </row>
    <row r="598" spans="1:8" ht="15" customHeight="1" x14ac:dyDescent="0.25">
      <c r="A598" s="7"/>
      <c r="C598" s="7"/>
      <c r="D598" s="8"/>
      <c r="E598" s="8"/>
      <c r="F598" s="8"/>
      <c r="H598" s="8"/>
    </row>
    <row r="599" spans="1:8" ht="15" customHeight="1" x14ac:dyDescent="0.25">
      <c r="A599" s="7"/>
      <c r="C599" s="7"/>
      <c r="D599" s="8"/>
      <c r="E599" s="8"/>
      <c r="F599" s="8"/>
      <c r="H599" s="8"/>
    </row>
    <row r="600" spans="1:8" ht="15" customHeight="1" x14ac:dyDescent="0.25">
      <c r="A600" s="7"/>
      <c r="C600" s="7"/>
      <c r="D600" s="8"/>
      <c r="E600" s="8"/>
      <c r="F600" s="8"/>
      <c r="H600" s="8"/>
    </row>
    <row r="601" spans="1:8" ht="15" customHeight="1" x14ac:dyDescent="0.25">
      <c r="A601" s="7"/>
      <c r="C601" s="7"/>
      <c r="D601" s="8"/>
      <c r="E601" s="8"/>
      <c r="F601" s="8"/>
      <c r="H601" s="8"/>
    </row>
    <row r="602" spans="1:8" ht="15" customHeight="1" x14ac:dyDescent="0.25">
      <c r="A602" s="7"/>
      <c r="C602" s="7"/>
      <c r="D602" s="8"/>
      <c r="E602" s="8"/>
      <c r="F602" s="8"/>
      <c r="H602" s="8"/>
    </row>
    <row r="603" spans="1:8" ht="15" customHeight="1" x14ac:dyDescent="0.25">
      <c r="A603" s="7"/>
      <c r="C603" s="7"/>
      <c r="D603" s="8"/>
      <c r="E603" s="8"/>
      <c r="F603" s="8"/>
      <c r="H603" s="8"/>
    </row>
    <row r="604" spans="1:8" ht="15" customHeight="1" x14ac:dyDescent="0.25">
      <c r="A604" s="7"/>
      <c r="C604" s="7"/>
      <c r="D604" s="8"/>
      <c r="E604" s="8"/>
      <c r="F604" s="8"/>
      <c r="H604" s="8"/>
    </row>
    <row r="605" spans="1:8" ht="15" customHeight="1" x14ac:dyDescent="0.25">
      <c r="A605" s="7"/>
      <c r="C605" s="7"/>
      <c r="D605" s="8"/>
      <c r="E605" s="8"/>
      <c r="F605" s="8"/>
      <c r="H605" s="8"/>
    </row>
    <row r="606" spans="1:8" ht="15" customHeight="1" x14ac:dyDescent="0.25">
      <c r="A606" s="7"/>
      <c r="C606" s="7"/>
      <c r="D606" s="8"/>
      <c r="E606" s="8"/>
      <c r="F606" s="8"/>
      <c r="H606" s="8"/>
    </row>
    <row r="607" spans="1:8" ht="15" customHeight="1" x14ac:dyDescent="0.25">
      <c r="A607" s="7"/>
      <c r="C607" s="7"/>
      <c r="D607" s="8"/>
      <c r="E607" s="8"/>
      <c r="F607" s="8"/>
      <c r="H607" s="8"/>
    </row>
    <row r="608" spans="1:8" ht="15" customHeight="1" x14ac:dyDescent="0.25">
      <c r="A608" s="7"/>
      <c r="C608" s="7"/>
      <c r="D608" s="8"/>
      <c r="E608" s="8"/>
      <c r="F608" s="8"/>
      <c r="H608" s="8"/>
    </row>
    <row r="609" spans="1:8" ht="15" customHeight="1" x14ac:dyDescent="0.25">
      <c r="A609" s="7"/>
      <c r="C609" s="7"/>
      <c r="D609" s="8"/>
      <c r="E609" s="8"/>
      <c r="F609" s="8"/>
      <c r="H609" s="8"/>
    </row>
    <row r="610" spans="1:8" ht="15" customHeight="1" x14ac:dyDescent="0.25">
      <c r="A610" s="7"/>
      <c r="C610" s="7"/>
      <c r="D610" s="8"/>
      <c r="E610" s="8"/>
      <c r="F610" s="8"/>
      <c r="H610" s="8"/>
    </row>
    <row r="611" spans="1:8" ht="15" customHeight="1" x14ac:dyDescent="0.25">
      <c r="A611" s="7"/>
      <c r="C611" s="7"/>
      <c r="D611" s="8"/>
      <c r="E611" s="8"/>
      <c r="F611" s="8"/>
      <c r="H611" s="8"/>
    </row>
    <row r="612" spans="1:8" ht="15" customHeight="1" x14ac:dyDescent="0.25">
      <c r="A612" s="7"/>
      <c r="C612" s="7"/>
      <c r="D612" s="8"/>
      <c r="E612" s="8"/>
      <c r="F612" s="8"/>
      <c r="H612" s="8"/>
    </row>
    <row r="613" spans="1:8" ht="15" customHeight="1" x14ac:dyDescent="0.25">
      <c r="A613" s="7"/>
      <c r="C613" s="7"/>
      <c r="D613" s="8"/>
      <c r="E613" s="8"/>
      <c r="F613" s="8"/>
      <c r="H613" s="8"/>
    </row>
    <row r="614" spans="1:8" ht="15" customHeight="1" x14ac:dyDescent="0.25">
      <c r="A614" s="7"/>
      <c r="C614" s="7"/>
      <c r="D614" s="8"/>
      <c r="E614" s="8"/>
      <c r="F614" s="8"/>
      <c r="H614" s="8"/>
    </row>
    <row r="615" spans="1:8" ht="15" customHeight="1" x14ac:dyDescent="0.25">
      <c r="A615" s="7"/>
      <c r="C615" s="7"/>
      <c r="D615" s="8"/>
      <c r="E615" s="8"/>
      <c r="F615" s="8"/>
      <c r="H615" s="8"/>
    </row>
    <row r="616" spans="1:8" ht="15" customHeight="1" x14ac:dyDescent="0.25">
      <c r="A616" s="7"/>
      <c r="C616" s="7"/>
      <c r="D616" s="8"/>
      <c r="E616" s="8"/>
      <c r="F616" s="8"/>
      <c r="H616" s="8"/>
    </row>
    <row r="617" spans="1:8" ht="15" customHeight="1" x14ac:dyDescent="0.25">
      <c r="A617" s="7"/>
      <c r="C617" s="7"/>
      <c r="D617" s="8"/>
      <c r="E617" s="8"/>
      <c r="F617" s="8"/>
      <c r="H617" s="8"/>
    </row>
    <row r="618" spans="1:8" ht="15" customHeight="1" x14ac:dyDescent="0.25">
      <c r="A618" s="7"/>
      <c r="C618" s="7"/>
      <c r="D618" s="8"/>
      <c r="E618" s="8"/>
      <c r="F618" s="8"/>
      <c r="H618" s="8"/>
    </row>
    <row r="619" spans="1:8" ht="15" customHeight="1" x14ac:dyDescent="0.25">
      <c r="A619" s="7"/>
      <c r="C619" s="7"/>
      <c r="D619" s="8"/>
      <c r="E619" s="8"/>
      <c r="F619" s="8"/>
      <c r="H619" s="8"/>
    </row>
    <row r="620" spans="1:8" ht="15" customHeight="1" x14ac:dyDescent="0.25">
      <c r="A620" s="7"/>
      <c r="C620" s="7"/>
      <c r="D620" s="8"/>
      <c r="E620" s="8"/>
      <c r="F620" s="8"/>
      <c r="H620" s="8"/>
    </row>
    <row r="621" spans="1:8" ht="15" customHeight="1" x14ac:dyDescent="0.25">
      <c r="A621" s="7"/>
      <c r="C621" s="7"/>
      <c r="D621" s="8"/>
      <c r="E621" s="8"/>
      <c r="F621" s="8"/>
      <c r="H621" s="8"/>
    </row>
    <row r="622" spans="1:8" ht="15" customHeight="1" x14ac:dyDescent="0.25">
      <c r="A622" s="7"/>
      <c r="C622" s="7"/>
      <c r="D622" s="8"/>
      <c r="E622" s="8"/>
      <c r="F622" s="8"/>
      <c r="H622" s="8"/>
    </row>
    <row r="623" spans="1:8" ht="15" customHeight="1" x14ac:dyDescent="0.25">
      <c r="A623" s="7"/>
      <c r="C623" s="7"/>
      <c r="D623" s="8"/>
      <c r="E623" s="8"/>
      <c r="F623" s="8"/>
      <c r="H623" s="8"/>
    </row>
    <row r="624" spans="1:8" ht="15" customHeight="1" x14ac:dyDescent="0.25">
      <c r="A624" s="7"/>
      <c r="C624" s="7"/>
      <c r="D624" s="8"/>
      <c r="E624" s="8"/>
      <c r="F624" s="8"/>
      <c r="H624" s="8"/>
    </row>
    <row r="625" spans="1:8" ht="15" customHeight="1" x14ac:dyDescent="0.25">
      <c r="A625" s="7"/>
      <c r="C625" s="7"/>
      <c r="D625" s="8"/>
      <c r="E625" s="8"/>
      <c r="F625" s="8"/>
      <c r="H625" s="8"/>
    </row>
    <row r="626" spans="1:8" ht="15" customHeight="1" x14ac:dyDescent="0.25">
      <c r="A626" s="7"/>
      <c r="C626" s="7"/>
      <c r="D626" s="8"/>
      <c r="E626" s="8"/>
      <c r="F626" s="8"/>
      <c r="H626" s="8"/>
    </row>
    <row r="627" spans="1:8" ht="15" customHeight="1" x14ac:dyDescent="0.25">
      <c r="A627" s="7"/>
      <c r="C627" s="7"/>
      <c r="D627" s="8"/>
      <c r="E627" s="8"/>
      <c r="F627" s="8"/>
      <c r="H627" s="8"/>
    </row>
    <row r="628" spans="1:8" ht="15" customHeight="1" x14ac:dyDescent="0.25">
      <c r="A628" s="7"/>
      <c r="C628" s="7"/>
      <c r="D628" s="8"/>
      <c r="E628" s="8"/>
      <c r="F628" s="8"/>
      <c r="H628" s="8"/>
    </row>
    <row r="629" spans="1:8" ht="15" customHeight="1" x14ac:dyDescent="0.25">
      <c r="A629" s="7"/>
      <c r="C629" s="7"/>
      <c r="D629" s="8"/>
      <c r="E629" s="8"/>
      <c r="F629" s="8"/>
      <c r="H629" s="8"/>
    </row>
    <row r="630" spans="1:8" ht="15" customHeight="1" x14ac:dyDescent="0.25">
      <c r="A630" s="7"/>
      <c r="C630" s="7"/>
      <c r="D630" s="8"/>
      <c r="E630" s="8"/>
      <c r="F630" s="8"/>
      <c r="H630" s="8"/>
    </row>
    <row r="631" spans="1:8" ht="15" customHeight="1" x14ac:dyDescent="0.25">
      <c r="A631" s="7"/>
      <c r="C631" s="7"/>
      <c r="D631" s="8"/>
      <c r="E631" s="8"/>
      <c r="F631" s="8"/>
      <c r="H631" s="8"/>
    </row>
    <row r="632" spans="1:8" ht="15" customHeight="1" x14ac:dyDescent="0.25">
      <c r="A632" s="7"/>
      <c r="C632" s="7"/>
      <c r="D632" s="8"/>
      <c r="E632" s="8"/>
      <c r="F632" s="8"/>
      <c r="H632" s="8"/>
    </row>
    <row r="633" spans="1:8" ht="15" customHeight="1" x14ac:dyDescent="0.25">
      <c r="A633" s="7"/>
      <c r="C633" s="7"/>
      <c r="D633" s="8"/>
      <c r="E633" s="8"/>
      <c r="F633" s="8"/>
      <c r="H633" s="8"/>
    </row>
    <row r="634" spans="1:8" ht="15" customHeight="1" x14ac:dyDescent="0.25">
      <c r="A634" s="7"/>
      <c r="C634" s="7"/>
      <c r="D634" s="8"/>
      <c r="E634" s="8"/>
      <c r="F634" s="8"/>
      <c r="H634" s="8"/>
    </row>
    <row r="635" spans="1:8" ht="15" customHeight="1" x14ac:dyDescent="0.25">
      <c r="A635" s="7"/>
      <c r="C635" s="7"/>
      <c r="D635" s="8"/>
      <c r="E635" s="8"/>
      <c r="F635" s="8"/>
      <c r="H635" s="8"/>
    </row>
    <row r="636" spans="1:8" ht="15" customHeight="1" x14ac:dyDescent="0.25">
      <c r="A636" s="7"/>
      <c r="C636" s="7"/>
      <c r="D636" s="8"/>
      <c r="E636" s="8"/>
      <c r="F636" s="8"/>
      <c r="H636" s="8"/>
    </row>
    <row r="637" spans="1:8" ht="15" customHeight="1" x14ac:dyDescent="0.25">
      <c r="A637" s="7"/>
      <c r="C637" s="7"/>
      <c r="D637" s="8"/>
      <c r="E637" s="8"/>
      <c r="F637" s="8"/>
      <c r="H637" s="8"/>
    </row>
    <row r="638" spans="1:8" ht="15" customHeight="1" x14ac:dyDescent="0.25">
      <c r="A638" s="7"/>
      <c r="C638" s="7"/>
      <c r="D638" s="8"/>
      <c r="E638" s="8"/>
      <c r="F638" s="8"/>
      <c r="H638" s="8"/>
    </row>
    <row r="639" spans="1:8" ht="15" customHeight="1" x14ac:dyDescent="0.25">
      <c r="A639" s="7"/>
      <c r="C639" s="7"/>
      <c r="D639" s="8"/>
      <c r="E639" s="8"/>
      <c r="F639" s="8"/>
      <c r="H639" s="8"/>
    </row>
    <row r="640" spans="1:8" ht="15" customHeight="1" x14ac:dyDescent="0.25">
      <c r="A640" s="7"/>
      <c r="C640" s="7"/>
      <c r="D640" s="8"/>
      <c r="E640" s="8"/>
      <c r="F640" s="8"/>
      <c r="H640" s="8"/>
    </row>
    <row r="641" spans="1:8" ht="15" customHeight="1" x14ac:dyDescent="0.25">
      <c r="A641" s="7"/>
      <c r="C641" s="7"/>
      <c r="D641" s="8"/>
      <c r="E641" s="8"/>
      <c r="F641" s="8"/>
      <c r="H641" s="8"/>
    </row>
    <row r="642" spans="1:8" ht="15" customHeight="1" x14ac:dyDescent="0.25">
      <c r="A642" s="7"/>
      <c r="C642" s="7"/>
      <c r="D642" s="8"/>
      <c r="E642" s="8"/>
      <c r="F642" s="8"/>
      <c r="H642" s="8"/>
    </row>
    <row r="643" spans="1:8" ht="15" customHeight="1" x14ac:dyDescent="0.25">
      <c r="A643" s="7"/>
      <c r="C643" s="7"/>
      <c r="D643" s="8"/>
      <c r="E643" s="8"/>
      <c r="F643" s="8"/>
      <c r="H643" s="8"/>
    </row>
    <row r="644" spans="1:8" ht="15" customHeight="1" x14ac:dyDescent="0.25">
      <c r="A644" s="7"/>
      <c r="C644" s="7"/>
      <c r="D644" s="8"/>
      <c r="E644" s="8"/>
      <c r="F644" s="8"/>
      <c r="H644" s="8"/>
    </row>
    <row r="645" spans="1:8" ht="15" customHeight="1" x14ac:dyDescent="0.25">
      <c r="A645" s="7"/>
      <c r="C645" s="7"/>
      <c r="D645" s="8"/>
      <c r="E645" s="8"/>
      <c r="F645" s="8"/>
      <c r="H645" s="8"/>
    </row>
    <row r="646" spans="1:8" ht="15" customHeight="1" x14ac:dyDescent="0.25">
      <c r="A646" s="7"/>
      <c r="C646" s="7"/>
      <c r="D646" s="8"/>
      <c r="E646" s="8"/>
      <c r="F646" s="8"/>
      <c r="H646" s="8"/>
    </row>
    <row r="647" spans="1:8" ht="15" customHeight="1" x14ac:dyDescent="0.25">
      <c r="A647" s="7"/>
      <c r="C647" s="7"/>
      <c r="D647" s="8"/>
      <c r="E647" s="8"/>
      <c r="F647" s="8"/>
      <c r="H647" s="8"/>
    </row>
    <row r="648" spans="1:8" ht="15" customHeight="1" x14ac:dyDescent="0.25">
      <c r="A648" s="7"/>
      <c r="C648" s="7"/>
      <c r="D648" s="8"/>
      <c r="E648" s="8"/>
      <c r="F648" s="8"/>
      <c r="H648" s="8"/>
    </row>
    <row r="649" spans="1:8" ht="15" customHeight="1" x14ac:dyDescent="0.25">
      <c r="A649" s="7"/>
      <c r="C649" s="7"/>
      <c r="D649" s="8"/>
      <c r="E649" s="8"/>
      <c r="F649" s="8"/>
      <c r="H649" s="8"/>
    </row>
    <row r="650" spans="1:8" ht="15" customHeight="1" x14ac:dyDescent="0.25">
      <c r="A650" s="7"/>
      <c r="C650" s="7"/>
      <c r="D650" s="8"/>
      <c r="E650" s="8"/>
      <c r="F650" s="8"/>
      <c r="H650" s="8"/>
    </row>
    <row r="651" spans="1:8" ht="15" customHeight="1" x14ac:dyDescent="0.25">
      <c r="A651" s="7"/>
      <c r="C651" s="7"/>
      <c r="D651" s="8"/>
      <c r="E651" s="8"/>
      <c r="F651" s="8"/>
      <c r="H651" s="8"/>
    </row>
    <row r="652" spans="1:8" ht="15" customHeight="1" x14ac:dyDescent="0.25">
      <c r="A652" s="7"/>
      <c r="C652" s="7"/>
      <c r="D652" s="8"/>
      <c r="E652" s="8"/>
      <c r="F652" s="8"/>
      <c r="H652" s="8"/>
    </row>
    <row r="653" spans="1:8" ht="15" customHeight="1" x14ac:dyDescent="0.25">
      <c r="A653" s="7"/>
      <c r="C653" s="7"/>
      <c r="D653" s="8"/>
      <c r="E653" s="8"/>
      <c r="F653" s="8"/>
      <c r="H653" s="8"/>
    </row>
    <row r="654" spans="1:8" ht="15" customHeight="1" x14ac:dyDescent="0.25">
      <c r="A654" s="7"/>
      <c r="C654" s="7"/>
      <c r="D654" s="8"/>
      <c r="E654" s="8"/>
      <c r="F654" s="8"/>
      <c r="H654" s="8"/>
    </row>
    <row r="655" spans="1:8" ht="15" customHeight="1" x14ac:dyDescent="0.25">
      <c r="A655" s="7"/>
      <c r="C655" s="7"/>
      <c r="D655" s="8"/>
      <c r="E655" s="8"/>
      <c r="F655" s="8"/>
      <c r="H655" s="8"/>
    </row>
    <row r="656" spans="1:8" ht="15" customHeight="1" x14ac:dyDescent="0.25">
      <c r="A656" s="7"/>
      <c r="C656" s="7"/>
      <c r="D656" s="8"/>
      <c r="E656" s="8"/>
      <c r="F656" s="8"/>
      <c r="H656" s="8"/>
    </row>
    <row r="657" spans="1:8" ht="15" customHeight="1" x14ac:dyDescent="0.25">
      <c r="A657" s="7"/>
      <c r="C657" s="7"/>
      <c r="D657" s="8"/>
      <c r="E657" s="8"/>
      <c r="F657" s="8"/>
      <c r="H657" s="8"/>
    </row>
    <row r="658" spans="1:8" ht="15" customHeight="1" x14ac:dyDescent="0.25">
      <c r="A658" s="7"/>
      <c r="C658" s="7"/>
      <c r="D658" s="8"/>
      <c r="E658" s="8"/>
      <c r="F658" s="8"/>
      <c r="H658" s="8"/>
    </row>
    <row r="659" spans="1:8" ht="15" customHeight="1" x14ac:dyDescent="0.25">
      <c r="A659" s="7"/>
      <c r="C659" s="7"/>
      <c r="D659" s="8"/>
      <c r="E659" s="8"/>
      <c r="F659" s="8"/>
      <c r="H659" s="8"/>
    </row>
    <row r="660" spans="1:8" ht="15" customHeight="1" x14ac:dyDescent="0.25">
      <c r="A660" s="7"/>
      <c r="C660" s="7"/>
      <c r="D660" s="8"/>
      <c r="E660" s="8"/>
      <c r="F660" s="8"/>
      <c r="H660" s="8"/>
    </row>
    <row r="661" spans="1:8" ht="15" customHeight="1" x14ac:dyDescent="0.25">
      <c r="A661" s="7"/>
      <c r="C661" s="7"/>
      <c r="D661" s="8"/>
      <c r="E661" s="8"/>
      <c r="F661" s="8"/>
      <c r="H661" s="8"/>
    </row>
    <row r="662" spans="1:8" ht="15" customHeight="1" x14ac:dyDescent="0.25">
      <c r="A662" s="7"/>
      <c r="C662" s="7"/>
      <c r="D662" s="8"/>
      <c r="E662" s="8"/>
      <c r="F662" s="8"/>
      <c r="H662" s="8"/>
    </row>
    <row r="663" spans="1:8" ht="15" customHeight="1" x14ac:dyDescent="0.25">
      <c r="A663" s="7"/>
      <c r="C663" s="7"/>
      <c r="D663" s="8"/>
      <c r="E663" s="8"/>
      <c r="F663" s="8"/>
      <c r="H663" s="8"/>
    </row>
    <row r="664" spans="1:8" ht="15" customHeight="1" x14ac:dyDescent="0.25">
      <c r="A664" s="7"/>
      <c r="C664" s="7"/>
      <c r="D664" s="8"/>
      <c r="E664" s="8"/>
      <c r="F664" s="8"/>
      <c r="H664" s="8"/>
    </row>
    <row r="665" spans="1:8" ht="15" customHeight="1" x14ac:dyDescent="0.25">
      <c r="A665" s="7"/>
      <c r="C665" s="7"/>
      <c r="D665" s="8"/>
      <c r="E665" s="8"/>
      <c r="F665" s="8"/>
      <c r="H665" s="8"/>
    </row>
    <row r="666" spans="1:8" ht="15" customHeight="1" x14ac:dyDescent="0.25">
      <c r="A666" s="7"/>
      <c r="C666" s="7"/>
      <c r="D666" s="8"/>
      <c r="E666" s="8"/>
      <c r="F666" s="8"/>
      <c r="H666" s="8"/>
    </row>
    <row r="667" spans="1:8" ht="15" customHeight="1" x14ac:dyDescent="0.25">
      <c r="A667" s="7"/>
      <c r="C667" s="7"/>
      <c r="D667" s="8"/>
      <c r="E667" s="8"/>
      <c r="F667" s="8"/>
      <c r="H667" s="8"/>
    </row>
    <row r="668" spans="1:8" ht="15" customHeight="1" x14ac:dyDescent="0.25">
      <c r="A668" s="7"/>
      <c r="C668" s="7"/>
      <c r="D668" s="8"/>
      <c r="E668" s="8"/>
      <c r="F668" s="8"/>
      <c r="H668" s="8"/>
    </row>
    <row r="669" spans="1:8" ht="15" customHeight="1" x14ac:dyDescent="0.25">
      <c r="A669" s="7"/>
      <c r="C669" s="7"/>
      <c r="D669" s="8"/>
      <c r="E669" s="8"/>
      <c r="F669" s="8"/>
      <c r="H669" s="8"/>
    </row>
    <row r="670" spans="1:8" ht="15" customHeight="1" x14ac:dyDescent="0.25">
      <c r="A670" s="7"/>
      <c r="C670" s="7"/>
      <c r="D670" s="8"/>
      <c r="E670" s="8"/>
      <c r="F670" s="8"/>
      <c r="H670" s="8"/>
    </row>
    <row r="671" spans="1:8" ht="15" customHeight="1" x14ac:dyDescent="0.25">
      <c r="A671" s="7"/>
      <c r="C671" s="7"/>
      <c r="D671" s="8"/>
      <c r="E671" s="8"/>
      <c r="F671" s="8"/>
      <c r="H671" s="8"/>
    </row>
    <row r="672" spans="1:8" ht="15" customHeight="1" x14ac:dyDescent="0.25">
      <c r="A672" s="7"/>
      <c r="C672" s="7"/>
      <c r="D672" s="8"/>
      <c r="E672" s="8"/>
      <c r="F672" s="8"/>
      <c r="H672" s="8"/>
    </row>
    <row r="673" spans="1:8" ht="15" customHeight="1" x14ac:dyDescent="0.25">
      <c r="A673" s="7"/>
      <c r="C673" s="7"/>
      <c r="D673" s="8"/>
      <c r="E673" s="8"/>
      <c r="F673" s="8"/>
      <c r="H673" s="8"/>
    </row>
    <row r="674" spans="1:8" ht="15" customHeight="1" x14ac:dyDescent="0.25">
      <c r="A674" s="7"/>
      <c r="C674" s="7"/>
      <c r="D674" s="8"/>
      <c r="E674" s="8"/>
      <c r="F674" s="8"/>
      <c r="H674" s="8"/>
    </row>
    <row r="675" spans="1:8" ht="15" customHeight="1" x14ac:dyDescent="0.25">
      <c r="A675" s="7"/>
      <c r="C675" s="7"/>
      <c r="D675" s="8"/>
      <c r="E675" s="8"/>
      <c r="F675" s="8"/>
      <c r="H675" s="8"/>
    </row>
    <row r="676" spans="1:8" ht="15" customHeight="1" x14ac:dyDescent="0.25">
      <c r="A676" s="7"/>
      <c r="C676" s="7"/>
      <c r="D676" s="8"/>
      <c r="E676" s="8"/>
      <c r="F676" s="8"/>
      <c r="H676" s="8"/>
    </row>
    <row r="677" spans="1:8" ht="15" customHeight="1" x14ac:dyDescent="0.25">
      <c r="A677" s="7"/>
      <c r="C677" s="7"/>
      <c r="D677" s="8"/>
      <c r="E677" s="8"/>
      <c r="F677" s="8"/>
      <c r="H677" s="8"/>
    </row>
    <row r="678" spans="1:8" ht="15" customHeight="1" x14ac:dyDescent="0.25">
      <c r="A678" s="7"/>
      <c r="C678" s="7"/>
      <c r="D678" s="8"/>
      <c r="E678" s="8"/>
      <c r="F678" s="8"/>
      <c r="H678" s="8"/>
    </row>
    <row r="679" spans="1:8" ht="15" customHeight="1" x14ac:dyDescent="0.25">
      <c r="A679" s="7"/>
      <c r="C679" s="7"/>
      <c r="D679" s="8"/>
      <c r="E679" s="8"/>
      <c r="F679" s="8"/>
      <c r="H679" s="8"/>
    </row>
    <row r="680" spans="1:8" ht="15" customHeight="1" x14ac:dyDescent="0.25">
      <c r="A680" s="7"/>
      <c r="C680" s="7"/>
      <c r="D680" s="8"/>
      <c r="E680" s="8"/>
      <c r="F680" s="8"/>
      <c r="H680" s="8"/>
    </row>
    <row r="681" spans="1:8" ht="15" customHeight="1" x14ac:dyDescent="0.25">
      <c r="A681" s="7"/>
      <c r="C681" s="7"/>
      <c r="D681" s="8"/>
      <c r="E681" s="8"/>
      <c r="F681" s="8"/>
      <c r="H681" s="8"/>
    </row>
    <row r="682" spans="1:8" ht="15" customHeight="1" x14ac:dyDescent="0.25">
      <c r="A682" s="7"/>
      <c r="C682" s="7"/>
      <c r="D682" s="8"/>
      <c r="E682" s="8"/>
      <c r="F682" s="8"/>
      <c r="H682" s="8"/>
    </row>
    <row r="683" spans="1:8" ht="15" customHeight="1" x14ac:dyDescent="0.25">
      <c r="A683" s="7"/>
      <c r="C683" s="7"/>
      <c r="D683" s="8"/>
      <c r="E683" s="8"/>
      <c r="F683" s="8"/>
      <c r="H683" s="8"/>
    </row>
    <row r="684" spans="1:8" ht="15" customHeight="1" x14ac:dyDescent="0.25">
      <c r="A684" s="7"/>
      <c r="C684" s="7"/>
      <c r="D684" s="8"/>
      <c r="E684" s="8"/>
      <c r="F684" s="8"/>
      <c r="H684" s="8"/>
    </row>
    <row r="685" spans="1:8" ht="15" customHeight="1" x14ac:dyDescent="0.25">
      <c r="A685" s="7"/>
      <c r="C685" s="7"/>
      <c r="D685" s="8"/>
      <c r="E685" s="8"/>
      <c r="F685" s="8"/>
      <c r="H685" s="8"/>
    </row>
    <row r="686" spans="1:8" ht="15" customHeight="1" x14ac:dyDescent="0.25">
      <c r="A686" s="7"/>
      <c r="C686" s="7"/>
      <c r="D686" s="8"/>
      <c r="E686" s="8"/>
      <c r="F686" s="8"/>
      <c r="H686" s="8"/>
    </row>
    <row r="687" spans="1:8" ht="15" customHeight="1" x14ac:dyDescent="0.25">
      <c r="A687" s="7"/>
      <c r="C687" s="7"/>
      <c r="D687" s="8"/>
      <c r="E687" s="8"/>
      <c r="F687" s="8"/>
      <c r="H687" s="8"/>
    </row>
    <row r="688" spans="1:8" ht="15" customHeight="1" x14ac:dyDescent="0.25">
      <c r="A688" s="7"/>
      <c r="C688" s="7"/>
      <c r="D688" s="8"/>
      <c r="E688" s="8"/>
      <c r="F688" s="8"/>
      <c r="H688" s="8"/>
    </row>
    <row r="689" spans="1:8" ht="15" customHeight="1" x14ac:dyDescent="0.25">
      <c r="A689" s="7"/>
      <c r="C689" s="7"/>
      <c r="D689" s="8"/>
      <c r="E689" s="8"/>
      <c r="F689" s="8"/>
      <c r="H689" s="8"/>
    </row>
    <row r="690" spans="1:8" ht="15" customHeight="1" x14ac:dyDescent="0.25">
      <c r="A690" s="7"/>
      <c r="C690" s="7"/>
      <c r="D690" s="8"/>
      <c r="E690" s="8"/>
      <c r="F690" s="8"/>
      <c r="H690" s="8"/>
    </row>
    <row r="691" spans="1:8" ht="15" customHeight="1" x14ac:dyDescent="0.25">
      <c r="A691" s="7"/>
      <c r="C691" s="7"/>
      <c r="D691" s="8"/>
      <c r="E691" s="8"/>
      <c r="F691" s="8"/>
      <c r="H691" s="8"/>
    </row>
    <row r="692" spans="1:8" ht="15" customHeight="1" x14ac:dyDescent="0.25">
      <c r="A692" s="7"/>
      <c r="C692" s="7"/>
      <c r="D692" s="8"/>
      <c r="E692" s="8"/>
      <c r="F692" s="8"/>
      <c r="H692" s="8"/>
    </row>
    <row r="693" spans="1:8" ht="15" customHeight="1" x14ac:dyDescent="0.25">
      <c r="A693" s="7"/>
      <c r="C693" s="7"/>
      <c r="D693" s="8"/>
      <c r="E693" s="8"/>
      <c r="F693" s="8"/>
      <c r="H693" s="8"/>
    </row>
    <row r="694" spans="1:8" ht="15" customHeight="1" x14ac:dyDescent="0.25">
      <c r="A694" s="7"/>
      <c r="C694" s="7"/>
      <c r="D694" s="8"/>
      <c r="E694" s="8"/>
      <c r="F694" s="8"/>
      <c r="H694" s="8"/>
    </row>
    <row r="695" spans="1:8" ht="15" customHeight="1" x14ac:dyDescent="0.25">
      <c r="A695" s="7"/>
      <c r="C695" s="7"/>
      <c r="D695" s="8"/>
      <c r="E695" s="8"/>
      <c r="F695" s="8"/>
      <c r="H695" s="8"/>
    </row>
    <row r="696" spans="1:8" ht="15" customHeight="1" x14ac:dyDescent="0.25">
      <c r="A696" s="7"/>
      <c r="C696" s="7"/>
      <c r="D696" s="8"/>
      <c r="E696" s="8"/>
      <c r="F696" s="8"/>
      <c r="H696" s="8"/>
    </row>
    <row r="697" spans="1:8" ht="15" customHeight="1" x14ac:dyDescent="0.25">
      <c r="A697" s="7"/>
      <c r="C697" s="7"/>
      <c r="D697" s="8"/>
      <c r="E697" s="8"/>
      <c r="F697" s="8"/>
      <c r="H697" s="8"/>
    </row>
    <row r="698" spans="1:8" ht="15" customHeight="1" x14ac:dyDescent="0.25">
      <c r="A698" s="7"/>
      <c r="C698" s="7"/>
      <c r="D698" s="8"/>
      <c r="E698" s="8"/>
      <c r="F698" s="8"/>
      <c r="H698" s="8"/>
    </row>
    <row r="699" spans="1:8" ht="15" customHeight="1" x14ac:dyDescent="0.25">
      <c r="A699" s="7"/>
      <c r="C699" s="7"/>
      <c r="D699" s="8"/>
      <c r="E699" s="8"/>
      <c r="F699" s="8"/>
      <c r="H699" s="8"/>
    </row>
    <row r="700" spans="1:8" ht="15" customHeight="1" x14ac:dyDescent="0.25">
      <c r="A700" s="7"/>
      <c r="C700" s="7"/>
      <c r="D700" s="8"/>
      <c r="E700" s="8"/>
      <c r="F700" s="8"/>
      <c r="H700" s="8"/>
    </row>
    <row r="701" spans="1:8" ht="15" customHeight="1" x14ac:dyDescent="0.25">
      <c r="A701" s="7"/>
      <c r="C701" s="7"/>
      <c r="D701" s="8"/>
      <c r="E701" s="8"/>
      <c r="F701" s="8"/>
      <c r="H701" s="8"/>
    </row>
    <row r="702" spans="1:8" ht="15" customHeight="1" x14ac:dyDescent="0.25">
      <c r="A702" s="7"/>
      <c r="C702" s="7"/>
      <c r="D702" s="8"/>
      <c r="E702" s="8"/>
      <c r="F702" s="8"/>
      <c r="H702" s="8"/>
    </row>
    <row r="703" spans="1:8" ht="15" customHeight="1" x14ac:dyDescent="0.25">
      <c r="A703" s="7"/>
      <c r="C703" s="7"/>
      <c r="D703" s="8"/>
      <c r="E703" s="8"/>
      <c r="F703" s="8"/>
      <c r="H703" s="8"/>
    </row>
    <row r="704" spans="1:8" ht="15" customHeight="1" x14ac:dyDescent="0.25">
      <c r="A704" s="7"/>
      <c r="C704" s="7"/>
      <c r="D704" s="8"/>
      <c r="E704" s="8"/>
      <c r="F704" s="8"/>
      <c r="H704" s="8"/>
    </row>
    <row r="705" spans="1:8" ht="15" customHeight="1" x14ac:dyDescent="0.25">
      <c r="A705" s="7"/>
      <c r="C705" s="7"/>
      <c r="D705" s="8"/>
      <c r="E705" s="8"/>
      <c r="F705" s="8"/>
      <c r="H705" s="8"/>
    </row>
    <row r="706" spans="1:8" ht="15" customHeight="1" x14ac:dyDescent="0.25">
      <c r="A706" s="7"/>
      <c r="C706" s="7"/>
      <c r="D706" s="8"/>
      <c r="E706" s="8"/>
      <c r="F706" s="8"/>
      <c r="H706" s="8"/>
    </row>
    <row r="707" spans="1:8" ht="15" customHeight="1" x14ac:dyDescent="0.25">
      <c r="A707" s="7"/>
      <c r="C707" s="7"/>
      <c r="D707" s="8"/>
      <c r="E707" s="8"/>
      <c r="F707" s="8"/>
      <c r="H707" s="8"/>
    </row>
    <row r="708" spans="1:8" ht="15" customHeight="1" x14ac:dyDescent="0.25">
      <c r="A708" s="7"/>
      <c r="C708" s="7"/>
      <c r="D708" s="8"/>
      <c r="E708" s="8"/>
      <c r="F708" s="8"/>
      <c r="H708" s="8"/>
    </row>
    <row r="709" spans="1:8" ht="15" customHeight="1" x14ac:dyDescent="0.25">
      <c r="A709" s="7"/>
      <c r="C709" s="7"/>
      <c r="D709" s="8"/>
      <c r="E709" s="8"/>
      <c r="F709" s="8"/>
      <c r="H709" s="8"/>
    </row>
    <row r="710" spans="1:8" ht="15" customHeight="1" x14ac:dyDescent="0.25">
      <c r="A710" s="7"/>
      <c r="C710" s="7"/>
      <c r="D710" s="8"/>
      <c r="E710" s="8"/>
      <c r="F710" s="8"/>
      <c r="H710" s="8"/>
    </row>
    <row r="711" spans="1:8" ht="15" customHeight="1" x14ac:dyDescent="0.25">
      <c r="A711" s="7"/>
      <c r="C711" s="7"/>
      <c r="D711" s="8"/>
      <c r="E711" s="8"/>
      <c r="F711" s="8"/>
      <c r="H711" s="8"/>
    </row>
    <row r="712" spans="1:8" ht="15" customHeight="1" x14ac:dyDescent="0.25">
      <c r="A712" s="7"/>
      <c r="C712" s="7"/>
      <c r="D712" s="8"/>
      <c r="E712" s="8"/>
      <c r="F712" s="8"/>
      <c r="H712" s="8"/>
    </row>
    <row r="713" spans="1:8" ht="15" customHeight="1" x14ac:dyDescent="0.25">
      <c r="A713" s="7"/>
      <c r="C713" s="7"/>
      <c r="D713" s="8"/>
      <c r="E713" s="8"/>
      <c r="F713" s="8"/>
      <c r="H713" s="8"/>
    </row>
    <row r="714" spans="1:8" ht="15" customHeight="1" x14ac:dyDescent="0.25">
      <c r="A714" s="7"/>
      <c r="C714" s="7"/>
      <c r="D714" s="8"/>
      <c r="E714" s="8"/>
      <c r="F714" s="8"/>
      <c r="H714" s="8"/>
    </row>
    <row r="715" spans="1:8" ht="15" customHeight="1" x14ac:dyDescent="0.25">
      <c r="A715" s="7"/>
      <c r="C715" s="7"/>
      <c r="D715" s="8"/>
      <c r="E715" s="8"/>
      <c r="F715" s="8"/>
      <c r="H715" s="8"/>
    </row>
    <row r="716" spans="1:8" ht="15" customHeight="1" x14ac:dyDescent="0.25">
      <c r="A716" s="7"/>
      <c r="C716" s="7"/>
      <c r="D716" s="8"/>
      <c r="E716" s="8"/>
      <c r="F716" s="8"/>
      <c r="H716" s="8"/>
    </row>
    <row r="717" spans="1:8" ht="15" customHeight="1" x14ac:dyDescent="0.25">
      <c r="A717" s="7"/>
      <c r="C717" s="7"/>
      <c r="D717" s="8"/>
      <c r="E717" s="8"/>
      <c r="F717" s="8"/>
      <c r="H717" s="8"/>
    </row>
    <row r="718" spans="1:8" ht="15" customHeight="1" x14ac:dyDescent="0.25">
      <c r="A718" s="7"/>
      <c r="C718" s="7"/>
      <c r="D718" s="8"/>
      <c r="E718" s="8"/>
      <c r="F718" s="8"/>
      <c r="H718" s="8"/>
    </row>
    <row r="719" spans="1:8" ht="15" customHeight="1" x14ac:dyDescent="0.25">
      <c r="A719" s="7"/>
      <c r="C719" s="7"/>
      <c r="D719" s="8"/>
      <c r="E719" s="8"/>
      <c r="F719" s="8"/>
      <c r="H719" s="8"/>
    </row>
    <row r="720" spans="1:8" ht="15" customHeight="1" x14ac:dyDescent="0.25">
      <c r="A720" s="7"/>
      <c r="C720" s="7"/>
      <c r="D720" s="8"/>
      <c r="E720" s="8"/>
      <c r="F720" s="8"/>
      <c r="H720" s="8"/>
    </row>
    <row r="721" spans="1:8" ht="15" customHeight="1" x14ac:dyDescent="0.25">
      <c r="A721" s="7"/>
      <c r="C721" s="7"/>
      <c r="D721" s="8"/>
      <c r="E721" s="8"/>
      <c r="F721" s="8"/>
      <c r="H721" s="8"/>
    </row>
    <row r="722" spans="1:8" ht="15" customHeight="1" x14ac:dyDescent="0.25">
      <c r="A722" s="7"/>
      <c r="C722" s="7"/>
      <c r="D722" s="8"/>
      <c r="E722" s="8"/>
      <c r="F722" s="8"/>
      <c r="H722" s="8"/>
    </row>
    <row r="723" spans="1:8" ht="15" customHeight="1" x14ac:dyDescent="0.25">
      <c r="A723" s="7"/>
      <c r="C723" s="7"/>
      <c r="D723" s="8"/>
      <c r="E723" s="8"/>
      <c r="F723" s="8"/>
      <c r="H723" s="8"/>
    </row>
    <row r="724" spans="1:8" ht="15" customHeight="1" x14ac:dyDescent="0.25">
      <c r="A724" s="7"/>
      <c r="C724" s="7"/>
      <c r="D724" s="8"/>
      <c r="E724" s="8"/>
      <c r="F724" s="8"/>
      <c r="H724" s="8"/>
    </row>
    <row r="725" spans="1:8" ht="15" customHeight="1" x14ac:dyDescent="0.25">
      <c r="A725" s="7"/>
      <c r="C725" s="7"/>
      <c r="D725" s="8"/>
      <c r="E725" s="8"/>
      <c r="F725" s="8"/>
      <c r="H725" s="8"/>
    </row>
    <row r="726" spans="1:8" ht="15" customHeight="1" x14ac:dyDescent="0.25">
      <c r="A726" s="7"/>
      <c r="C726" s="7"/>
      <c r="D726" s="8"/>
      <c r="E726" s="8"/>
      <c r="F726" s="8"/>
      <c r="H726" s="8"/>
    </row>
    <row r="727" spans="1:8" ht="15" customHeight="1" x14ac:dyDescent="0.25">
      <c r="A727" s="7"/>
      <c r="C727" s="7"/>
      <c r="D727" s="8"/>
      <c r="E727" s="8"/>
      <c r="F727" s="8"/>
      <c r="H727" s="8"/>
    </row>
    <row r="728" spans="1:8" ht="15" customHeight="1" x14ac:dyDescent="0.25">
      <c r="A728" s="7"/>
      <c r="C728" s="7"/>
      <c r="D728" s="8"/>
      <c r="E728" s="8"/>
      <c r="F728" s="8"/>
      <c r="H728" s="8"/>
    </row>
    <row r="729" spans="1:8" ht="15" customHeight="1" x14ac:dyDescent="0.25">
      <c r="A729" s="7"/>
      <c r="C729" s="7"/>
      <c r="D729" s="8"/>
      <c r="E729" s="8"/>
      <c r="F729" s="8"/>
      <c r="H729" s="8"/>
    </row>
    <row r="730" spans="1:8" ht="15" customHeight="1" x14ac:dyDescent="0.25">
      <c r="A730" s="7"/>
      <c r="C730" s="7"/>
      <c r="D730" s="8"/>
      <c r="E730" s="8"/>
      <c r="F730" s="8"/>
      <c r="H730" s="8"/>
    </row>
    <row r="731" spans="1:8" ht="15" customHeight="1" x14ac:dyDescent="0.25">
      <c r="A731" s="7"/>
      <c r="C731" s="7"/>
      <c r="D731" s="8"/>
      <c r="E731" s="8"/>
      <c r="F731" s="8"/>
      <c r="H731" s="8"/>
    </row>
    <row r="732" spans="1:8" ht="15" customHeight="1" x14ac:dyDescent="0.25">
      <c r="A732" s="7"/>
      <c r="C732" s="7"/>
      <c r="D732" s="8"/>
      <c r="E732" s="8"/>
      <c r="F732" s="8"/>
      <c r="H732" s="8"/>
    </row>
    <row r="733" spans="1:8" ht="15" customHeight="1" x14ac:dyDescent="0.25">
      <c r="A733" s="7"/>
      <c r="C733" s="7"/>
      <c r="D733" s="8"/>
      <c r="E733" s="8"/>
      <c r="F733" s="8"/>
      <c r="H733" s="8"/>
    </row>
    <row r="734" spans="1:8" ht="15" customHeight="1" x14ac:dyDescent="0.25">
      <c r="A734" s="7"/>
      <c r="C734" s="7"/>
      <c r="D734" s="8"/>
      <c r="E734" s="8"/>
      <c r="F734" s="8"/>
      <c r="H734" s="8"/>
    </row>
    <row r="735" spans="1:8" ht="15" customHeight="1" x14ac:dyDescent="0.25">
      <c r="A735" s="7"/>
      <c r="C735" s="7"/>
      <c r="D735" s="8"/>
      <c r="E735" s="8"/>
      <c r="F735" s="8"/>
      <c r="H735" s="8"/>
    </row>
    <row r="736" spans="1:8" ht="15" customHeight="1" x14ac:dyDescent="0.25">
      <c r="A736" s="7"/>
      <c r="C736" s="7"/>
      <c r="D736" s="8"/>
      <c r="E736" s="8"/>
      <c r="F736" s="8"/>
      <c r="H736" s="8"/>
    </row>
    <row r="737" spans="1:8" ht="15" customHeight="1" x14ac:dyDescent="0.25">
      <c r="A737" s="7"/>
      <c r="C737" s="7"/>
      <c r="D737" s="8"/>
      <c r="E737" s="8"/>
      <c r="F737" s="8"/>
      <c r="H737" s="8"/>
    </row>
    <row r="738" spans="1:8" ht="15" customHeight="1" x14ac:dyDescent="0.25">
      <c r="A738" s="7"/>
      <c r="C738" s="7"/>
      <c r="D738" s="8"/>
      <c r="E738" s="8"/>
      <c r="F738" s="8"/>
      <c r="H738" s="8"/>
    </row>
    <row r="739" spans="1:8" ht="15" customHeight="1" x14ac:dyDescent="0.25">
      <c r="A739" s="7"/>
      <c r="C739" s="7"/>
      <c r="D739" s="8"/>
      <c r="E739" s="8"/>
      <c r="F739" s="8"/>
      <c r="H739" s="8"/>
    </row>
    <row r="740" spans="1:8" ht="15" customHeight="1" x14ac:dyDescent="0.25">
      <c r="A740" s="7"/>
      <c r="C740" s="7"/>
      <c r="D740" s="8"/>
      <c r="E740" s="8"/>
      <c r="F740" s="8"/>
      <c r="H740" s="8"/>
    </row>
    <row r="741" spans="1:8" ht="15" customHeight="1" x14ac:dyDescent="0.25">
      <c r="A741" s="7"/>
      <c r="C741" s="7"/>
      <c r="D741" s="8"/>
      <c r="E741" s="8"/>
      <c r="F741" s="8"/>
      <c r="H741" s="8"/>
    </row>
    <row r="742" spans="1:8" ht="15" customHeight="1" x14ac:dyDescent="0.25">
      <c r="A742" s="7"/>
      <c r="C742" s="7"/>
      <c r="D742" s="8"/>
      <c r="E742" s="8"/>
      <c r="F742" s="8"/>
      <c r="H742" s="8"/>
    </row>
    <row r="743" spans="1:8" ht="15" customHeight="1" x14ac:dyDescent="0.25">
      <c r="A743" s="7"/>
      <c r="C743" s="7"/>
      <c r="D743" s="8"/>
      <c r="E743" s="8"/>
      <c r="F743" s="8"/>
      <c r="H743" s="8"/>
    </row>
    <row r="744" spans="1:8" ht="15" customHeight="1" x14ac:dyDescent="0.25">
      <c r="A744" s="7"/>
      <c r="C744" s="7"/>
      <c r="D744" s="8"/>
      <c r="E744" s="8"/>
      <c r="F744" s="8"/>
      <c r="H744" s="8"/>
    </row>
    <row r="745" spans="1:8" ht="15" customHeight="1" x14ac:dyDescent="0.25">
      <c r="A745" s="7"/>
      <c r="C745" s="7"/>
      <c r="D745" s="8"/>
      <c r="E745" s="8"/>
      <c r="F745" s="8"/>
      <c r="H745" s="8"/>
    </row>
    <row r="746" spans="1:8" ht="15" customHeight="1" x14ac:dyDescent="0.25">
      <c r="A746" s="7"/>
      <c r="C746" s="7"/>
      <c r="D746" s="8"/>
      <c r="E746" s="8"/>
      <c r="F746" s="8"/>
      <c r="H746" s="8"/>
    </row>
    <row r="747" spans="1:8" ht="15" customHeight="1" x14ac:dyDescent="0.25">
      <c r="A747" s="7"/>
      <c r="C747" s="7"/>
      <c r="D747" s="8"/>
      <c r="E747" s="8"/>
      <c r="F747" s="8"/>
      <c r="H747" s="8"/>
    </row>
    <row r="748" spans="1:8" ht="15" customHeight="1" x14ac:dyDescent="0.25">
      <c r="A748" s="7"/>
      <c r="C748" s="7"/>
      <c r="D748" s="8"/>
      <c r="E748" s="8"/>
      <c r="F748" s="8"/>
      <c r="H748" s="8"/>
    </row>
    <row r="749" spans="1:8" ht="15" customHeight="1" x14ac:dyDescent="0.25">
      <c r="A749" s="7"/>
      <c r="C749" s="7"/>
      <c r="D749" s="8"/>
      <c r="E749" s="8"/>
      <c r="F749" s="8"/>
      <c r="H749" s="8"/>
    </row>
    <row r="750" spans="1:8" ht="15" customHeight="1" x14ac:dyDescent="0.25">
      <c r="A750" s="7"/>
      <c r="C750" s="7"/>
      <c r="D750" s="8"/>
      <c r="E750" s="8"/>
      <c r="F750" s="8"/>
      <c r="H750" s="8"/>
    </row>
    <row r="751" spans="1:8" ht="15" customHeight="1" x14ac:dyDescent="0.25">
      <c r="A751" s="7"/>
      <c r="C751" s="7"/>
      <c r="D751" s="8"/>
      <c r="E751" s="8"/>
      <c r="F751" s="8"/>
      <c r="H751" s="8"/>
    </row>
    <row r="752" spans="1:8" ht="15" customHeight="1" x14ac:dyDescent="0.25">
      <c r="A752" s="7"/>
      <c r="C752" s="7"/>
      <c r="D752" s="8"/>
      <c r="E752" s="8"/>
      <c r="F752" s="8"/>
      <c r="H752" s="8"/>
    </row>
    <row r="753" spans="1:8" ht="15" customHeight="1" x14ac:dyDescent="0.25">
      <c r="A753" s="7"/>
      <c r="C753" s="7"/>
      <c r="D753" s="8"/>
      <c r="E753" s="8"/>
      <c r="F753" s="8"/>
      <c r="H753" s="8"/>
    </row>
    <row r="754" spans="1:8" ht="15" customHeight="1" x14ac:dyDescent="0.25">
      <c r="A754" s="7"/>
      <c r="C754" s="7"/>
      <c r="D754" s="8"/>
      <c r="E754" s="8"/>
      <c r="F754" s="8"/>
      <c r="H754" s="8"/>
    </row>
    <row r="755" spans="1:8" ht="15" customHeight="1" x14ac:dyDescent="0.25">
      <c r="A755" s="7"/>
      <c r="C755" s="7"/>
      <c r="D755" s="8"/>
      <c r="E755" s="8"/>
      <c r="F755" s="8"/>
      <c r="H755" s="8"/>
    </row>
    <row r="756" spans="1:8" ht="15" customHeight="1" x14ac:dyDescent="0.25">
      <c r="A756" s="7"/>
      <c r="C756" s="7"/>
      <c r="D756" s="8"/>
      <c r="E756" s="8"/>
      <c r="F756" s="8"/>
      <c r="H756" s="8"/>
    </row>
    <row r="757" spans="1:8" ht="15" customHeight="1" x14ac:dyDescent="0.25">
      <c r="A757" s="7"/>
      <c r="C757" s="7"/>
      <c r="D757" s="8"/>
      <c r="E757" s="8"/>
      <c r="F757" s="8"/>
      <c r="H757" s="8"/>
    </row>
    <row r="758" spans="1:8" ht="15" customHeight="1" x14ac:dyDescent="0.25">
      <c r="A758" s="7"/>
      <c r="C758" s="7"/>
      <c r="D758" s="8"/>
      <c r="E758" s="8"/>
      <c r="F758" s="8"/>
      <c r="H758" s="8"/>
    </row>
    <row r="759" spans="1:8" ht="15" customHeight="1" x14ac:dyDescent="0.25">
      <c r="A759" s="7"/>
      <c r="C759" s="7"/>
      <c r="D759" s="8"/>
      <c r="E759" s="8"/>
      <c r="F759" s="8"/>
      <c r="H759" s="8"/>
    </row>
    <row r="760" spans="1:8" ht="15" customHeight="1" x14ac:dyDescent="0.25">
      <c r="A760" s="7"/>
      <c r="C760" s="7"/>
      <c r="D760" s="8"/>
      <c r="E760" s="8"/>
      <c r="F760" s="8"/>
      <c r="H760" s="8"/>
    </row>
    <row r="761" spans="1:8" ht="15" customHeight="1" x14ac:dyDescent="0.25">
      <c r="A761" s="7"/>
      <c r="C761" s="7"/>
      <c r="D761" s="8"/>
      <c r="E761" s="8"/>
      <c r="F761" s="8"/>
      <c r="H761" s="8"/>
    </row>
    <row r="762" spans="1:8" ht="15" customHeight="1" x14ac:dyDescent="0.25">
      <c r="A762" s="7"/>
      <c r="C762" s="7"/>
      <c r="D762" s="8"/>
      <c r="E762" s="8"/>
      <c r="F762" s="8"/>
      <c r="H762" s="8"/>
    </row>
    <row r="763" spans="1:8" ht="15" customHeight="1" x14ac:dyDescent="0.25">
      <c r="A763" s="7"/>
      <c r="C763" s="7"/>
      <c r="D763" s="8"/>
      <c r="E763" s="8"/>
      <c r="F763" s="8"/>
      <c r="H763" s="8"/>
    </row>
    <row r="764" spans="1:8" ht="15" customHeight="1" x14ac:dyDescent="0.25">
      <c r="A764" s="7"/>
      <c r="C764" s="7"/>
      <c r="D764" s="8"/>
      <c r="E764" s="8"/>
      <c r="F764" s="8"/>
      <c r="H764" s="8"/>
    </row>
    <row r="765" spans="1:8" ht="15" customHeight="1" x14ac:dyDescent="0.25">
      <c r="A765" s="7"/>
      <c r="C765" s="7"/>
      <c r="D765" s="8"/>
      <c r="E765" s="8"/>
      <c r="F765" s="8"/>
      <c r="H765" s="8"/>
    </row>
    <row r="766" spans="1:8" ht="15" customHeight="1" x14ac:dyDescent="0.25">
      <c r="A766" s="7"/>
      <c r="C766" s="7"/>
      <c r="D766" s="8"/>
      <c r="E766" s="8"/>
      <c r="F766" s="8"/>
      <c r="H766" s="8"/>
    </row>
    <row r="767" spans="1:8" ht="15" customHeight="1" x14ac:dyDescent="0.25">
      <c r="A767" s="7"/>
      <c r="C767" s="7"/>
      <c r="D767" s="8"/>
      <c r="E767" s="8"/>
      <c r="F767" s="8"/>
      <c r="H767" s="8"/>
    </row>
    <row r="768" spans="1:8" ht="15" customHeight="1" x14ac:dyDescent="0.25">
      <c r="A768" s="7"/>
      <c r="C768" s="7"/>
      <c r="D768" s="8"/>
      <c r="E768" s="8"/>
      <c r="F768" s="8"/>
      <c r="H768" s="8"/>
    </row>
    <row r="769" spans="1:8" ht="15" customHeight="1" x14ac:dyDescent="0.25">
      <c r="A769" s="7"/>
      <c r="C769" s="7"/>
      <c r="D769" s="8"/>
      <c r="E769" s="8"/>
      <c r="F769" s="8"/>
      <c r="H769" s="8"/>
    </row>
    <row r="770" spans="1:8" ht="15" customHeight="1" x14ac:dyDescent="0.25">
      <c r="A770" s="7"/>
      <c r="C770" s="7"/>
      <c r="D770" s="8"/>
      <c r="E770" s="8"/>
      <c r="F770" s="8"/>
      <c r="H770" s="8"/>
    </row>
    <row r="771" spans="1:8" ht="15" customHeight="1" x14ac:dyDescent="0.25">
      <c r="A771" s="7"/>
      <c r="C771" s="7"/>
      <c r="D771" s="8"/>
      <c r="E771" s="8"/>
      <c r="F771" s="8"/>
      <c r="H771" s="8"/>
    </row>
    <row r="772" spans="1:8" ht="15" customHeight="1" x14ac:dyDescent="0.25">
      <c r="A772" s="7"/>
      <c r="C772" s="7"/>
      <c r="D772" s="8"/>
      <c r="E772" s="8"/>
      <c r="F772" s="8"/>
      <c r="H772" s="8"/>
    </row>
    <row r="773" spans="1:8" ht="15" customHeight="1" x14ac:dyDescent="0.25">
      <c r="A773" s="7"/>
      <c r="C773" s="7"/>
      <c r="D773" s="8"/>
      <c r="E773" s="8"/>
      <c r="F773" s="8"/>
      <c r="H773" s="8"/>
    </row>
    <row r="774" spans="1:8" ht="15" customHeight="1" x14ac:dyDescent="0.25">
      <c r="A774" s="7"/>
      <c r="C774" s="7"/>
      <c r="D774" s="8"/>
      <c r="E774" s="8"/>
      <c r="F774" s="8"/>
      <c r="H774" s="8"/>
    </row>
    <row r="775" spans="1:8" ht="15" customHeight="1" x14ac:dyDescent="0.25">
      <c r="A775" s="7"/>
      <c r="C775" s="7"/>
      <c r="D775" s="8"/>
      <c r="E775" s="8"/>
      <c r="F775" s="8"/>
      <c r="H775" s="8"/>
    </row>
    <row r="776" spans="1:8" ht="15" customHeight="1" x14ac:dyDescent="0.25">
      <c r="A776" s="7"/>
      <c r="C776" s="7"/>
      <c r="D776" s="8"/>
      <c r="E776" s="8"/>
      <c r="F776" s="8"/>
      <c r="H776" s="8"/>
    </row>
    <row r="777" spans="1:8" ht="15" customHeight="1" x14ac:dyDescent="0.25">
      <c r="A777" s="7"/>
      <c r="C777" s="7"/>
      <c r="D777" s="8"/>
      <c r="E777" s="8"/>
      <c r="F777" s="8"/>
      <c r="H777" s="8"/>
    </row>
    <row r="778" spans="1:8" ht="15" customHeight="1" x14ac:dyDescent="0.25">
      <c r="A778" s="7"/>
      <c r="C778" s="7"/>
      <c r="D778" s="8"/>
      <c r="E778" s="8"/>
      <c r="F778" s="8"/>
      <c r="H778" s="8"/>
    </row>
    <row r="779" spans="1:8" ht="15" customHeight="1" x14ac:dyDescent="0.25">
      <c r="A779" s="7"/>
      <c r="C779" s="7"/>
      <c r="D779" s="8"/>
      <c r="E779" s="8"/>
      <c r="F779" s="8"/>
      <c r="H779" s="8"/>
    </row>
    <row r="780" spans="1:8" ht="15" customHeight="1" x14ac:dyDescent="0.25">
      <c r="A780" s="7"/>
      <c r="C780" s="7"/>
      <c r="D780" s="8"/>
      <c r="E780" s="8"/>
      <c r="F780" s="8"/>
      <c r="H780" s="8"/>
    </row>
    <row r="781" spans="1:8" ht="15" customHeight="1" x14ac:dyDescent="0.25">
      <c r="A781" s="7"/>
      <c r="C781" s="7"/>
      <c r="D781" s="8"/>
      <c r="E781" s="8"/>
      <c r="F781" s="8"/>
      <c r="H781" s="8"/>
    </row>
    <row r="782" spans="1:8" ht="15" customHeight="1" x14ac:dyDescent="0.25">
      <c r="A782" s="7"/>
      <c r="C782" s="7"/>
      <c r="D782" s="8"/>
      <c r="E782" s="8"/>
      <c r="F782" s="8"/>
      <c r="H782" s="8"/>
    </row>
    <row r="783" spans="1:8" ht="15" customHeight="1" x14ac:dyDescent="0.25">
      <c r="A783" s="7"/>
      <c r="C783" s="7"/>
      <c r="D783" s="8"/>
      <c r="E783" s="8"/>
      <c r="F783" s="8"/>
      <c r="H783" s="8"/>
    </row>
    <row r="784" spans="1:8" ht="15" customHeight="1" x14ac:dyDescent="0.25">
      <c r="A784" s="7"/>
      <c r="C784" s="7"/>
      <c r="D784" s="8"/>
      <c r="E784" s="8"/>
      <c r="F784" s="8"/>
      <c r="H784" s="8"/>
    </row>
    <row r="785" spans="1:8" ht="15" customHeight="1" x14ac:dyDescent="0.25">
      <c r="A785" s="7"/>
      <c r="C785" s="7"/>
      <c r="D785" s="8"/>
      <c r="E785" s="8"/>
      <c r="F785" s="8"/>
      <c r="H785" s="8"/>
    </row>
    <row r="786" spans="1:8" ht="15" customHeight="1" x14ac:dyDescent="0.25">
      <c r="A786" s="7"/>
      <c r="C786" s="7"/>
      <c r="D786" s="8"/>
      <c r="E786" s="8"/>
      <c r="F786" s="8"/>
      <c r="H786" s="8"/>
    </row>
    <row r="787" spans="1:8" ht="15" customHeight="1" x14ac:dyDescent="0.25">
      <c r="A787" s="7"/>
      <c r="C787" s="7"/>
      <c r="D787" s="8"/>
      <c r="E787" s="8"/>
      <c r="F787" s="8"/>
      <c r="H787" s="8"/>
    </row>
    <row r="788" spans="1:8" ht="15" customHeight="1" x14ac:dyDescent="0.25">
      <c r="A788" s="7"/>
      <c r="C788" s="7"/>
      <c r="D788" s="8"/>
      <c r="E788" s="8"/>
      <c r="F788" s="8"/>
      <c r="H788" s="8"/>
    </row>
    <row r="789" spans="1:8" ht="15" customHeight="1" x14ac:dyDescent="0.25">
      <c r="A789" s="7"/>
      <c r="C789" s="7"/>
      <c r="D789" s="8"/>
      <c r="E789" s="8"/>
      <c r="F789" s="8"/>
      <c r="H789" s="8"/>
    </row>
    <row r="790" spans="1:8" ht="15" customHeight="1" x14ac:dyDescent="0.25">
      <c r="A790" s="7"/>
      <c r="C790" s="7"/>
      <c r="D790" s="8"/>
      <c r="E790" s="8"/>
      <c r="F790" s="8"/>
      <c r="H790" s="8"/>
    </row>
    <row r="791" spans="1:8" ht="15" customHeight="1" x14ac:dyDescent="0.25">
      <c r="A791" s="7"/>
      <c r="C791" s="7"/>
      <c r="D791" s="8"/>
      <c r="E791" s="8"/>
      <c r="F791" s="8"/>
      <c r="H791" s="8"/>
    </row>
    <row r="792" spans="1:8" ht="15" customHeight="1" x14ac:dyDescent="0.25">
      <c r="A792" s="7"/>
      <c r="C792" s="7"/>
      <c r="D792" s="8"/>
      <c r="E792" s="8"/>
      <c r="F792" s="8"/>
      <c r="H792" s="8"/>
    </row>
    <row r="793" spans="1:8" ht="15" customHeight="1" x14ac:dyDescent="0.25">
      <c r="A793" s="7"/>
      <c r="C793" s="7"/>
      <c r="D793" s="8"/>
      <c r="E793" s="8"/>
      <c r="F793" s="8"/>
      <c r="H793" s="8"/>
    </row>
    <row r="794" spans="1:8" ht="15" customHeight="1" x14ac:dyDescent="0.25">
      <c r="A794" s="7"/>
      <c r="C794" s="7"/>
      <c r="D794" s="8"/>
      <c r="E794" s="8"/>
      <c r="F794" s="8"/>
      <c r="H794" s="8"/>
    </row>
    <row r="795" spans="1:8" ht="15" customHeight="1" x14ac:dyDescent="0.25">
      <c r="A795" s="7"/>
      <c r="C795" s="7"/>
      <c r="D795" s="8"/>
      <c r="E795" s="8"/>
      <c r="F795" s="8"/>
      <c r="H795" s="8"/>
    </row>
    <row r="796" spans="1:8" ht="15" customHeight="1" x14ac:dyDescent="0.25">
      <c r="A796" s="7"/>
      <c r="C796" s="7"/>
      <c r="D796" s="8"/>
      <c r="E796" s="8"/>
      <c r="F796" s="8"/>
      <c r="H796" s="8"/>
    </row>
    <row r="797" spans="1:8" ht="15" customHeight="1" x14ac:dyDescent="0.25">
      <c r="A797" s="7"/>
      <c r="C797" s="7"/>
      <c r="D797" s="8"/>
      <c r="E797" s="8"/>
      <c r="F797" s="8"/>
      <c r="H797" s="8"/>
    </row>
    <row r="798" spans="1:8" ht="15" customHeight="1" x14ac:dyDescent="0.25">
      <c r="A798" s="7"/>
      <c r="C798" s="7"/>
      <c r="D798" s="8"/>
      <c r="E798" s="8"/>
      <c r="F798" s="8"/>
      <c r="H798" s="8"/>
    </row>
    <row r="799" spans="1:8" ht="15" customHeight="1" x14ac:dyDescent="0.25">
      <c r="A799" s="7"/>
      <c r="C799" s="7"/>
      <c r="D799" s="8"/>
      <c r="E799" s="8"/>
      <c r="F799" s="8"/>
      <c r="H799" s="8"/>
    </row>
    <row r="800" spans="1:8" ht="15" customHeight="1" x14ac:dyDescent="0.25">
      <c r="A800" s="7"/>
      <c r="C800" s="7"/>
      <c r="D800" s="8"/>
      <c r="E800" s="8"/>
      <c r="F800" s="8"/>
      <c r="H800" s="8"/>
    </row>
    <row r="801" spans="1:8" ht="15" customHeight="1" x14ac:dyDescent="0.25">
      <c r="A801" s="7"/>
      <c r="C801" s="7"/>
      <c r="D801" s="8"/>
      <c r="E801" s="8"/>
      <c r="F801" s="8"/>
      <c r="H801" s="8"/>
    </row>
    <row r="802" spans="1:8" ht="15" customHeight="1" x14ac:dyDescent="0.25">
      <c r="A802" s="7"/>
      <c r="C802" s="7"/>
      <c r="D802" s="8"/>
      <c r="E802" s="8"/>
      <c r="F802" s="8"/>
      <c r="H802" s="8"/>
    </row>
    <row r="803" spans="1:8" ht="15" customHeight="1" x14ac:dyDescent="0.25">
      <c r="A803" s="7"/>
      <c r="C803" s="7"/>
      <c r="D803" s="8"/>
      <c r="E803" s="8"/>
      <c r="F803" s="8"/>
      <c r="H803" s="8"/>
    </row>
    <row r="804" spans="1:8" ht="15" customHeight="1" x14ac:dyDescent="0.25">
      <c r="A804" s="7"/>
      <c r="C804" s="7"/>
      <c r="D804" s="8"/>
      <c r="E804" s="8"/>
      <c r="F804" s="8"/>
      <c r="H804" s="8"/>
    </row>
    <row r="805" spans="1:8" ht="15" customHeight="1" x14ac:dyDescent="0.25">
      <c r="A805" s="7"/>
      <c r="C805" s="7"/>
      <c r="D805" s="8"/>
      <c r="E805" s="8"/>
      <c r="F805" s="8"/>
      <c r="H805" s="8"/>
    </row>
    <row r="806" spans="1:8" ht="15" customHeight="1" x14ac:dyDescent="0.25">
      <c r="A806" s="7"/>
      <c r="C806" s="7"/>
      <c r="D806" s="8"/>
      <c r="E806" s="8"/>
      <c r="F806" s="8"/>
      <c r="H806" s="8"/>
    </row>
    <row r="807" spans="1:8" ht="15" customHeight="1" x14ac:dyDescent="0.25">
      <c r="A807" s="7"/>
      <c r="C807" s="7"/>
      <c r="D807" s="8"/>
      <c r="E807" s="8"/>
      <c r="F807" s="8"/>
      <c r="H807" s="8"/>
    </row>
    <row r="808" spans="1:8" ht="15" customHeight="1" x14ac:dyDescent="0.25">
      <c r="A808" s="7"/>
      <c r="C808" s="7"/>
      <c r="D808" s="8"/>
      <c r="E808" s="8"/>
      <c r="F808" s="8"/>
      <c r="H808" s="8"/>
    </row>
    <row r="809" spans="1:8" ht="15" customHeight="1" x14ac:dyDescent="0.25">
      <c r="A809" s="7"/>
      <c r="C809" s="7"/>
      <c r="D809" s="8"/>
      <c r="E809" s="8"/>
      <c r="F809" s="8"/>
      <c r="H809" s="8"/>
    </row>
    <row r="810" spans="1:8" ht="15" customHeight="1" x14ac:dyDescent="0.25">
      <c r="A810" s="7"/>
      <c r="C810" s="7"/>
      <c r="D810" s="8"/>
      <c r="E810" s="8"/>
      <c r="F810" s="8"/>
      <c r="H810" s="8"/>
    </row>
    <row r="811" spans="1:8" ht="15" customHeight="1" x14ac:dyDescent="0.25">
      <c r="A811" s="7"/>
      <c r="C811" s="7"/>
      <c r="D811" s="8"/>
      <c r="E811" s="8"/>
      <c r="F811" s="8"/>
      <c r="H811" s="8"/>
    </row>
    <row r="812" spans="1:8" ht="15" customHeight="1" x14ac:dyDescent="0.25">
      <c r="A812" s="7"/>
      <c r="C812" s="7"/>
      <c r="D812" s="8"/>
      <c r="E812" s="8"/>
      <c r="F812" s="8"/>
      <c r="H812" s="8"/>
    </row>
    <row r="813" spans="1:8" ht="15" customHeight="1" x14ac:dyDescent="0.25">
      <c r="A813" s="7"/>
      <c r="C813" s="7"/>
      <c r="D813" s="8"/>
      <c r="E813" s="8"/>
      <c r="F813" s="8"/>
      <c r="H813" s="8"/>
    </row>
    <row r="814" spans="1:8" ht="15" customHeight="1" x14ac:dyDescent="0.25">
      <c r="A814" s="7"/>
      <c r="C814" s="7"/>
      <c r="D814" s="8"/>
      <c r="E814" s="8"/>
      <c r="F814" s="8"/>
      <c r="H814" s="8"/>
    </row>
    <row r="815" spans="1:8" ht="15" customHeight="1" x14ac:dyDescent="0.25">
      <c r="A815" s="7"/>
      <c r="C815" s="7"/>
      <c r="D815" s="8"/>
      <c r="E815" s="8"/>
      <c r="F815" s="8"/>
      <c r="H815" s="8"/>
    </row>
    <row r="816" spans="1:8" ht="15" customHeight="1" x14ac:dyDescent="0.25">
      <c r="A816" s="7"/>
      <c r="C816" s="7"/>
      <c r="D816" s="8"/>
      <c r="E816" s="8"/>
      <c r="F816" s="8"/>
      <c r="H816" s="8"/>
    </row>
    <row r="817" spans="1:8" ht="15" customHeight="1" x14ac:dyDescent="0.25">
      <c r="A817" s="7"/>
      <c r="C817" s="7"/>
      <c r="D817" s="8"/>
      <c r="E817" s="8"/>
      <c r="F817" s="8"/>
      <c r="H817" s="8"/>
    </row>
    <row r="818" spans="1:8" ht="15" customHeight="1" x14ac:dyDescent="0.25">
      <c r="A818" s="7"/>
      <c r="C818" s="7"/>
      <c r="D818" s="8"/>
      <c r="E818" s="8"/>
      <c r="F818" s="8"/>
      <c r="H818" s="8"/>
    </row>
    <row r="819" spans="1:8" ht="15" customHeight="1" x14ac:dyDescent="0.25">
      <c r="A819" s="7"/>
      <c r="C819" s="7"/>
      <c r="D819" s="8"/>
      <c r="E819" s="8"/>
      <c r="F819" s="8"/>
      <c r="H819" s="8"/>
    </row>
    <row r="820" spans="1:8" ht="15" customHeight="1" x14ac:dyDescent="0.25">
      <c r="A820" s="7"/>
      <c r="C820" s="7"/>
      <c r="D820" s="8"/>
      <c r="E820" s="8"/>
      <c r="F820" s="8"/>
      <c r="H820" s="8"/>
    </row>
    <row r="821" spans="1:8" ht="15" customHeight="1" x14ac:dyDescent="0.25">
      <c r="A821" s="7"/>
      <c r="C821" s="7"/>
      <c r="D821" s="8"/>
      <c r="E821" s="8"/>
      <c r="F821" s="8"/>
      <c r="H821" s="8"/>
    </row>
    <row r="822" spans="1:8" ht="15" customHeight="1" x14ac:dyDescent="0.25">
      <c r="A822" s="7"/>
      <c r="C822" s="7"/>
      <c r="D822" s="8"/>
      <c r="E822" s="8"/>
      <c r="F822" s="8"/>
      <c r="H822" s="8"/>
    </row>
    <row r="823" spans="1:8" ht="15" customHeight="1" x14ac:dyDescent="0.25">
      <c r="A823" s="7"/>
      <c r="C823" s="7"/>
      <c r="D823" s="8"/>
      <c r="E823" s="8"/>
      <c r="F823" s="8"/>
      <c r="H823" s="8"/>
    </row>
    <row r="824" spans="1:8" ht="15" customHeight="1" x14ac:dyDescent="0.25">
      <c r="A824" s="7"/>
      <c r="C824" s="7"/>
      <c r="D824" s="8"/>
      <c r="E824" s="8"/>
      <c r="F824" s="8"/>
      <c r="H824" s="8"/>
    </row>
    <row r="825" spans="1:8" ht="15" customHeight="1" x14ac:dyDescent="0.25">
      <c r="A825" s="7"/>
      <c r="C825" s="7"/>
      <c r="D825" s="8"/>
      <c r="E825" s="8"/>
      <c r="F825" s="8"/>
      <c r="H825" s="8"/>
    </row>
    <row r="826" spans="1:8" ht="15" customHeight="1" x14ac:dyDescent="0.25">
      <c r="A826" s="7"/>
      <c r="C826" s="7"/>
      <c r="D826" s="8"/>
      <c r="E826" s="8"/>
      <c r="F826" s="8"/>
      <c r="H826" s="8"/>
    </row>
    <row r="827" spans="1:8" ht="15" customHeight="1" x14ac:dyDescent="0.25">
      <c r="A827" s="7"/>
      <c r="C827" s="7"/>
      <c r="D827" s="8"/>
      <c r="E827" s="8"/>
      <c r="F827" s="8"/>
      <c r="H827" s="8"/>
    </row>
    <row r="828" spans="1:8" ht="15" customHeight="1" x14ac:dyDescent="0.25">
      <c r="A828" s="7"/>
      <c r="C828" s="7"/>
      <c r="D828" s="8"/>
      <c r="E828" s="8"/>
      <c r="F828" s="8"/>
      <c r="H828" s="8"/>
    </row>
    <row r="829" spans="1:8" ht="15" customHeight="1" x14ac:dyDescent="0.25">
      <c r="A829" s="7"/>
      <c r="C829" s="7"/>
      <c r="D829" s="8"/>
      <c r="E829" s="8"/>
      <c r="F829" s="8"/>
      <c r="H829" s="8"/>
    </row>
    <row r="830" spans="1:8" ht="15" customHeight="1" x14ac:dyDescent="0.25">
      <c r="A830" s="7"/>
      <c r="C830" s="7"/>
      <c r="D830" s="8"/>
      <c r="E830" s="8"/>
      <c r="F830" s="8"/>
      <c r="H830" s="8"/>
    </row>
    <row r="831" spans="1:8" ht="15" customHeight="1" x14ac:dyDescent="0.25">
      <c r="A831" s="7"/>
      <c r="C831" s="7"/>
      <c r="D831" s="8"/>
      <c r="E831" s="8"/>
      <c r="F831" s="8"/>
      <c r="H831" s="8"/>
    </row>
    <row r="832" spans="1:8" ht="15" customHeight="1" x14ac:dyDescent="0.25">
      <c r="A832" s="7"/>
      <c r="C832" s="7"/>
      <c r="D832" s="8"/>
      <c r="E832" s="8"/>
      <c r="F832" s="8"/>
      <c r="H832" s="8"/>
    </row>
    <row r="833" spans="1:8" ht="15" customHeight="1" x14ac:dyDescent="0.25">
      <c r="A833" s="7"/>
      <c r="C833" s="7"/>
      <c r="D833" s="8"/>
      <c r="E833" s="8"/>
      <c r="F833" s="8"/>
      <c r="H833" s="8"/>
    </row>
    <row r="834" spans="1:8" ht="15" customHeight="1" x14ac:dyDescent="0.25">
      <c r="A834" s="7"/>
      <c r="C834" s="7"/>
      <c r="D834" s="8"/>
      <c r="E834" s="8"/>
      <c r="F834" s="8"/>
      <c r="H834" s="8"/>
    </row>
    <row r="835" spans="1:8" ht="15" customHeight="1" x14ac:dyDescent="0.25">
      <c r="A835" s="7"/>
      <c r="C835" s="7"/>
      <c r="D835" s="8"/>
      <c r="E835" s="8"/>
      <c r="F835" s="8"/>
      <c r="H835" s="8"/>
    </row>
    <row r="836" spans="1:8" ht="15" customHeight="1" x14ac:dyDescent="0.25">
      <c r="A836" s="7"/>
      <c r="C836" s="7"/>
      <c r="D836" s="8"/>
      <c r="E836" s="8"/>
      <c r="F836" s="8"/>
      <c r="H836" s="8"/>
    </row>
    <row r="837" spans="1:8" ht="15" customHeight="1" x14ac:dyDescent="0.25">
      <c r="A837" s="7"/>
      <c r="C837" s="7"/>
      <c r="D837" s="8"/>
      <c r="E837" s="8"/>
      <c r="F837" s="8"/>
      <c r="H837" s="8"/>
    </row>
    <row r="838" spans="1:8" ht="15" customHeight="1" x14ac:dyDescent="0.25">
      <c r="A838" s="7"/>
      <c r="C838" s="7"/>
      <c r="D838" s="8"/>
      <c r="E838" s="8"/>
      <c r="F838" s="8"/>
      <c r="H838" s="8"/>
    </row>
    <row r="839" spans="1:8" ht="15" customHeight="1" x14ac:dyDescent="0.25">
      <c r="A839" s="7"/>
      <c r="C839" s="7"/>
      <c r="D839" s="8"/>
      <c r="E839" s="8"/>
      <c r="F839" s="8"/>
      <c r="H839" s="8"/>
    </row>
    <row r="840" spans="1:8" ht="15" customHeight="1" x14ac:dyDescent="0.25">
      <c r="A840" s="7"/>
      <c r="C840" s="7"/>
      <c r="D840" s="8"/>
      <c r="E840" s="8"/>
      <c r="F840" s="8"/>
      <c r="H840" s="8"/>
    </row>
    <row r="841" spans="1:8" ht="15" customHeight="1" x14ac:dyDescent="0.25">
      <c r="A841" s="7"/>
      <c r="C841" s="7"/>
      <c r="D841" s="8"/>
      <c r="E841" s="8"/>
      <c r="F841" s="8"/>
      <c r="H841" s="8"/>
    </row>
    <row r="842" spans="1:8" ht="15" customHeight="1" x14ac:dyDescent="0.25">
      <c r="A842" s="7"/>
      <c r="C842" s="7"/>
      <c r="D842" s="8"/>
      <c r="E842" s="8"/>
      <c r="F842" s="8"/>
      <c r="H842" s="8"/>
    </row>
    <row r="843" spans="1:8" ht="15" customHeight="1" x14ac:dyDescent="0.25">
      <c r="A843" s="7"/>
      <c r="C843" s="7"/>
      <c r="D843" s="8"/>
      <c r="E843" s="8"/>
      <c r="F843" s="8"/>
      <c r="H843" s="8"/>
    </row>
    <row r="844" spans="1:8" ht="15" customHeight="1" x14ac:dyDescent="0.25">
      <c r="A844" s="7"/>
      <c r="C844" s="7"/>
      <c r="D844" s="8"/>
      <c r="E844" s="8"/>
      <c r="F844" s="8"/>
      <c r="H844" s="8"/>
    </row>
    <row r="845" spans="1:8" ht="15" customHeight="1" x14ac:dyDescent="0.25">
      <c r="A845" s="7"/>
      <c r="C845" s="7"/>
      <c r="D845" s="8"/>
      <c r="E845" s="8"/>
      <c r="F845" s="8"/>
      <c r="H845" s="8"/>
    </row>
    <row r="846" spans="1:8" ht="15" customHeight="1" x14ac:dyDescent="0.25">
      <c r="A846" s="7"/>
      <c r="C846" s="7"/>
      <c r="D846" s="8"/>
      <c r="E846" s="8"/>
      <c r="F846" s="8"/>
      <c r="H846" s="8"/>
    </row>
    <row r="847" spans="1:8" ht="15" customHeight="1" x14ac:dyDescent="0.25">
      <c r="A847" s="7"/>
      <c r="C847" s="7"/>
      <c r="D847" s="8"/>
      <c r="E847" s="8"/>
      <c r="F847" s="8"/>
      <c r="H847" s="8"/>
    </row>
    <row r="848" spans="1:8" ht="15" customHeight="1" x14ac:dyDescent="0.25">
      <c r="A848" s="7"/>
      <c r="C848" s="7"/>
      <c r="D848" s="8"/>
      <c r="E848" s="8"/>
      <c r="F848" s="8"/>
      <c r="H848" s="8"/>
    </row>
    <row r="849" spans="1:8" ht="15" customHeight="1" x14ac:dyDescent="0.25">
      <c r="A849" s="7"/>
      <c r="C849" s="7"/>
      <c r="D849" s="8"/>
      <c r="E849" s="8"/>
      <c r="F849" s="8"/>
      <c r="H849" s="8"/>
    </row>
    <row r="850" spans="1:8" ht="15" customHeight="1" x14ac:dyDescent="0.25">
      <c r="A850" s="7"/>
      <c r="C850" s="7"/>
      <c r="D850" s="8"/>
      <c r="E850" s="8"/>
      <c r="F850" s="8"/>
      <c r="H850" s="8"/>
    </row>
    <row r="851" spans="1:8" ht="15" customHeight="1" x14ac:dyDescent="0.25">
      <c r="A851" s="7"/>
      <c r="C851" s="7"/>
      <c r="D851" s="8"/>
      <c r="E851" s="8"/>
      <c r="F851" s="8"/>
      <c r="H851" s="8"/>
    </row>
    <row r="852" spans="1:8" ht="15" customHeight="1" x14ac:dyDescent="0.25">
      <c r="A852" s="7"/>
      <c r="C852" s="7"/>
      <c r="D852" s="8"/>
      <c r="E852" s="8"/>
      <c r="F852" s="8"/>
      <c r="H852" s="8"/>
    </row>
    <row r="853" spans="1:8" ht="15" customHeight="1" x14ac:dyDescent="0.25">
      <c r="A853" s="7"/>
      <c r="C853" s="7"/>
      <c r="D853" s="8"/>
      <c r="E853" s="8"/>
      <c r="F853" s="8"/>
      <c r="H853" s="8"/>
    </row>
    <row r="854" spans="1:8" ht="15" customHeight="1" x14ac:dyDescent="0.25">
      <c r="A854" s="7"/>
      <c r="C854" s="7"/>
      <c r="D854" s="8"/>
      <c r="E854" s="8"/>
      <c r="F854" s="8"/>
      <c r="H854" s="8"/>
    </row>
    <row r="855" spans="1:8" ht="15" customHeight="1" x14ac:dyDescent="0.25">
      <c r="A855" s="7"/>
      <c r="C855" s="7"/>
      <c r="D855" s="8"/>
      <c r="E855" s="8"/>
      <c r="F855" s="8"/>
      <c r="H855" s="8"/>
    </row>
    <row r="856" spans="1:8" ht="15" customHeight="1" x14ac:dyDescent="0.25">
      <c r="A856" s="7"/>
      <c r="C856" s="7"/>
      <c r="D856" s="8"/>
      <c r="E856" s="8"/>
      <c r="F856" s="8"/>
      <c r="H856" s="8"/>
    </row>
    <row r="857" spans="1:8" ht="15" customHeight="1" x14ac:dyDescent="0.25">
      <c r="A857" s="7"/>
      <c r="C857" s="7"/>
      <c r="D857" s="8"/>
      <c r="E857" s="8"/>
      <c r="F857" s="8"/>
      <c r="H857" s="8"/>
    </row>
    <row r="858" spans="1:8" ht="15" customHeight="1" x14ac:dyDescent="0.25">
      <c r="A858" s="7"/>
      <c r="C858" s="7"/>
      <c r="D858" s="8"/>
      <c r="E858" s="8"/>
      <c r="F858" s="8"/>
      <c r="H858" s="8"/>
    </row>
    <row r="859" spans="1:8" ht="15" customHeight="1" x14ac:dyDescent="0.25">
      <c r="A859" s="7"/>
      <c r="C859" s="7"/>
      <c r="D859" s="8"/>
      <c r="E859" s="8"/>
      <c r="F859" s="8"/>
      <c r="H859" s="8"/>
    </row>
    <row r="860" spans="1:8" ht="15" customHeight="1" x14ac:dyDescent="0.25">
      <c r="A860" s="7"/>
      <c r="C860" s="7"/>
      <c r="D860" s="8"/>
      <c r="E860" s="8"/>
      <c r="F860" s="8"/>
      <c r="H860" s="8"/>
    </row>
    <row r="861" spans="1:8" ht="15" customHeight="1" x14ac:dyDescent="0.25">
      <c r="A861" s="7"/>
      <c r="C861" s="7"/>
      <c r="D861" s="8"/>
      <c r="E861" s="8"/>
      <c r="F861" s="8"/>
      <c r="H861" s="8"/>
    </row>
    <row r="862" spans="1:8" ht="15" customHeight="1" x14ac:dyDescent="0.25">
      <c r="A862" s="7"/>
      <c r="C862" s="7"/>
      <c r="D862" s="8"/>
      <c r="E862" s="8"/>
      <c r="F862" s="8"/>
      <c r="H862" s="8"/>
    </row>
    <row r="863" spans="1:8" ht="15" customHeight="1" x14ac:dyDescent="0.25">
      <c r="A863" s="7"/>
      <c r="C863" s="7"/>
      <c r="D863" s="8"/>
      <c r="E863" s="8"/>
      <c r="F863" s="8"/>
      <c r="H863" s="8"/>
    </row>
    <row r="864" spans="1:8" ht="15" customHeight="1" x14ac:dyDescent="0.25">
      <c r="A864" s="7"/>
      <c r="C864" s="7"/>
      <c r="D864" s="8"/>
      <c r="E864" s="8"/>
      <c r="F864" s="8"/>
      <c r="H864" s="8"/>
    </row>
    <row r="865" spans="1:8" ht="15" customHeight="1" x14ac:dyDescent="0.25">
      <c r="A865" s="7"/>
      <c r="C865" s="7"/>
      <c r="D865" s="8"/>
      <c r="E865" s="8"/>
      <c r="F865" s="8"/>
      <c r="H865" s="8"/>
    </row>
    <row r="866" spans="1:8" ht="15" customHeight="1" x14ac:dyDescent="0.25">
      <c r="A866" s="7"/>
      <c r="C866" s="7"/>
      <c r="D866" s="8"/>
      <c r="E866" s="8"/>
      <c r="F866" s="8"/>
      <c r="H866" s="8"/>
    </row>
    <row r="867" spans="1:8" ht="15" customHeight="1" x14ac:dyDescent="0.25">
      <c r="A867" s="7"/>
      <c r="C867" s="7"/>
      <c r="D867" s="8"/>
      <c r="E867" s="8"/>
      <c r="F867" s="8"/>
      <c r="H867" s="8"/>
    </row>
    <row r="868" spans="1:8" ht="15" customHeight="1" x14ac:dyDescent="0.25">
      <c r="A868" s="7"/>
      <c r="C868" s="7"/>
      <c r="D868" s="8"/>
      <c r="E868" s="8"/>
      <c r="F868" s="8"/>
      <c r="H868" s="8"/>
    </row>
    <row r="869" spans="1:8" ht="15" customHeight="1" x14ac:dyDescent="0.25">
      <c r="A869" s="7"/>
      <c r="C869" s="7"/>
      <c r="D869" s="8"/>
      <c r="E869" s="8"/>
      <c r="F869" s="8"/>
      <c r="H869" s="8"/>
    </row>
    <row r="870" spans="1:8" ht="15" customHeight="1" x14ac:dyDescent="0.25">
      <c r="A870" s="7"/>
      <c r="C870" s="7"/>
      <c r="D870" s="8"/>
      <c r="E870" s="8"/>
      <c r="F870" s="8"/>
      <c r="H870" s="8"/>
    </row>
    <row r="871" spans="1:8" ht="15" customHeight="1" x14ac:dyDescent="0.25">
      <c r="A871" s="7"/>
      <c r="C871" s="7"/>
      <c r="D871" s="8"/>
      <c r="E871" s="8"/>
      <c r="F871" s="8"/>
      <c r="H871" s="8"/>
    </row>
    <row r="872" spans="1:8" ht="15" customHeight="1" x14ac:dyDescent="0.25">
      <c r="A872" s="7"/>
      <c r="C872" s="7"/>
      <c r="D872" s="8"/>
      <c r="E872" s="8"/>
      <c r="F872" s="8"/>
      <c r="H872" s="8"/>
    </row>
    <row r="873" spans="1:8" ht="15" customHeight="1" x14ac:dyDescent="0.25">
      <c r="A873" s="7"/>
      <c r="C873" s="7"/>
      <c r="D873" s="8"/>
      <c r="E873" s="8"/>
      <c r="F873" s="8"/>
      <c r="H873" s="8"/>
    </row>
    <row r="874" spans="1:8" ht="15" customHeight="1" x14ac:dyDescent="0.25">
      <c r="A874" s="7"/>
      <c r="C874" s="7"/>
      <c r="D874" s="8"/>
      <c r="E874" s="8"/>
      <c r="F874" s="8"/>
      <c r="H874" s="8"/>
    </row>
    <row r="875" spans="1:8" ht="15" customHeight="1" x14ac:dyDescent="0.25">
      <c r="A875" s="7"/>
      <c r="C875" s="7"/>
      <c r="D875" s="8"/>
      <c r="E875" s="8"/>
      <c r="F875" s="8"/>
      <c r="H875" s="8"/>
    </row>
    <row r="876" spans="1:8" ht="15" customHeight="1" x14ac:dyDescent="0.25">
      <c r="A876" s="7"/>
      <c r="C876" s="7"/>
      <c r="D876" s="8"/>
      <c r="E876" s="8"/>
      <c r="F876" s="8"/>
      <c r="H876" s="8"/>
    </row>
    <row r="877" spans="1:8" ht="15" customHeight="1" x14ac:dyDescent="0.25">
      <c r="A877" s="7"/>
      <c r="C877" s="7"/>
      <c r="D877" s="8"/>
      <c r="E877" s="8"/>
      <c r="F877" s="8"/>
      <c r="H877" s="8"/>
    </row>
    <row r="878" spans="1:8" ht="15" customHeight="1" x14ac:dyDescent="0.25">
      <c r="A878" s="7"/>
      <c r="C878" s="7"/>
      <c r="D878" s="8"/>
      <c r="E878" s="8"/>
      <c r="F878" s="8"/>
      <c r="H878" s="8"/>
    </row>
    <row r="879" spans="1:8" ht="15" customHeight="1" x14ac:dyDescent="0.25">
      <c r="A879" s="7"/>
      <c r="C879" s="7"/>
      <c r="D879" s="8"/>
      <c r="E879" s="8"/>
      <c r="F879" s="8"/>
      <c r="H879" s="8"/>
    </row>
    <row r="880" spans="1:8" ht="15" customHeight="1" x14ac:dyDescent="0.25">
      <c r="A880" s="7"/>
      <c r="C880" s="7"/>
      <c r="D880" s="8"/>
      <c r="E880" s="8"/>
      <c r="F880" s="8"/>
      <c r="H880" s="8"/>
    </row>
    <row r="881" spans="1:8" ht="15" customHeight="1" x14ac:dyDescent="0.25">
      <c r="A881" s="7"/>
      <c r="C881" s="7"/>
      <c r="D881" s="8"/>
      <c r="E881" s="8"/>
      <c r="F881" s="8"/>
      <c r="H881" s="8"/>
    </row>
    <row r="882" spans="1:8" ht="15" customHeight="1" x14ac:dyDescent="0.25">
      <c r="A882" s="7"/>
      <c r="C882" s="7"/>
      <c r="D882" s="8"/>
      <c r="E882" s="8"/>
      <c r="F882" s="8"/>
      <c r="H882" s="8"/>
    </row>
    <row r="883" spans="1:8" ht="15" customHeight="1" x14ac:dyDescent="0.25">
      <c r="A883" s="7"/>
      <c r="C883" s="7"/>
      <c r="D883" s="8"/>
      <c r="E883" s="8"/>
      <c r="F883" s="8"/>
      <c r="H883" s="8"/>
    </row>
    <row r="884" spans="1:8" ht="15" customHeight="1" x14ac:dyDescent="0.25">
      <c r="A884" s="7"/>
      <c r="C884" s="7"/>
      <c r="D884" s="8"/>
      <c r="E884" s="8"/>
      <c r="F884" s="8"/>
      <c r="H884" s="8"/>
    </row>
    <row r="885" spans="1:8" ht="15" customHeight="1" x14ac:dyDescent="0.25">
      <c r="A885" s="7"/>
      <c r="C885" s="7"/>
      <c r="D885" s="8"/>
      <c r="E885" s="8"/>
      <c r="F885" s="8"/>
      <c r="H885" s="8"/>
    </row>
    <row r="886" spans="1:8" ht="15" customHeight="1" x14ac:dyDescent="0.25">
      <c r="A886" s="7"/>
      <c r="C886" s="7"/>
      <c r="D886" s="8"/>
      <c r="E886" s="8"/>
      <c r="F886" s="8"/>
      <c r="H886" s="8"/>
    </row>
    <row r="887" spans="1:8" ht="15" customHeight="1" x14ac:dyDescent="0.25">
      <c r="A887" s="7"/>
      <c r="C887" s="7"/>
      <c r="D887" s="8"/>
      <c r="E887" s="8"/>
      <c r="F887" s="8"/>
      <c r="H887" s="8"/>
    </row>
    <row r="888" spans="1:8" ht="15" customHeight="1" x14ac:dyDescent="0.25">
      <c r="A888" s="7"/>
      <c r="C888" s="7"/>
      <c r="D888" s="8"/>
      <c r="E888" s="8"/>
      <c r="F888" s="8"/>
      <c r="H888" s="8"/>
    </row>
    <row r="889" spans="1:8" ht="15" customHeight="1" x14ac:dyDescent="0.25">
      <c r="A889" s="7"/>
      <c r="C889" s="7"/>
      <c r="D889" s="8"/>
      <c r="E889" s="8"/>
      <c r="F889" s="8"/>
      <c r="H889" s="8"/>
    </row>
    <row r="890" spans="1:8" ht="15" customHeight="1" x14ac:dyDescent="0.25">
      <c r="A890" s="7"/>
      <c r="C890" s="7"/>
      <c r="D890" s="8"/>
      <c r="E890" s="8"/>
      <c r="F890" s="8"/>
      <c r="H890" s="8"/>
    </row>
    <row r="891" spans="1:8" ht="15" customHeight="1" x14ac:dyDescent="0.25">
      <c r="A891" s="7"/>
      <c r="C891" s="7"/>
      <c r="D891" s="8"/>
      <c r="E891" s="8"/>
      <c r="F891" s="8"/>
      <c r="H891" s="8"/>
    </row>
    <row r="892" spans="1:8" ht="15" customHeight="1" x14ac:dyDescent="0.25">
      <c r="A892" s="7"/>
      <c r="C892" s="7"/>
      <c r="D892" s="8"/>
      <c r="E892" s="8"/>
      <c r="F892" s="8"/>
      <c r="H892" s="8"/>
    </row>
    <row r="893" spans="1:8" ht="15" customHeight="1" x14ac:dyDescent="0.25">
      <c r="A893" s="7"/>
      <c r="C893" s="7"/>
      <c r="D893" s="8"/>
      <c r="E893" s="8"/>
      <c r="F893" s="8"/>
      <c r="H893" s="8"/>
    </row>
    <row r="894" spans="1:8" ht="15" customHeight="1" x14ac:dyDescent="0.25">
      <c r="A894" s="7"/>
      <c r="C894" s="7"/>
      <c r="D894" s="8"/>
      <c r="E894" s="8"/>
      <c r="F894" s="8"/>
      <c r="H894" s="8"/>
    </row>
    <row r="895" spans="1:8" ht="15" customHeight="1" x14ac:dyDescent="0.25">
      <c r="A895" s="7"/>
      <c r="C895" s="7"/>
      <c r="D895" s="8"/>
      <c r="E895" s="8"/>
      <c r="F895" s="8"/>
      <c r="H895" s="8"/>
    </row>
    <row r="896" spans="1:8" ht="15" customHeight="1" x14ac:dyDescent="0.25">
      <c r="A896" s="7"/>
      <c r="C896" s="7"/>
      <c r="D896" s="8"/>
      <c r="E896" s="8"/>
      <c r="F896" s="8"/>
      <c r="H896" s="8"/>
    </row>
    <row r="897" spans="1:8" ht="15" customHeight="1" x14ac:dyDescent="0.25">
      <c r="A897" s="7"/>
      <c r="C897" s="7"/>
      <c r="D897" s="8"/>
      <c r="E897" s="8"/>
      <c r="F897" s="8"/>
      <c r="H897" s="8"/>
    </row>
    <row r="898" spans="1:8" ht="15" customHeight="1" x14ac:dyDescent="0.25">
      <c r="A898" s="7"/>
      <c r="C898" s="7"/>
      <c r="D898" s="8"/>
      <c r="E898" s="8"/>
      <c r="F898" s="8"/>
      <c r="H898" s="8"/>
    </row>
    <row r="899" spans="1:8" ht="15" customHeight="1" x14ac:dyDescent="0.25">
      <c r="A899" s="7"/>
      <c r="C899" s="7"/>
      <c r="D899" s="8"/>
      <c r="E899" s="8"/>
      <c r="F899" s="8"/>
      <c r="H899" s="8"/>
    </row>
    <row r="900" spans="1:8" ht="15" customHeight="1" x14ac:dyDescent="0.25">
      <c r="A900" s="7"/>
      <c r="C900" s="7"/>
      <c r="D900" s="8"/>
      <c r="E900" s="8"/>
      <c r="F900" s="8"/>
      <c r="H900" s="8"/>
    </row>
    <row r="901" spans="1:8" ht="15" customHeight="1" x14ac:dyDescent="0.25">
      <c r="A901" s="7"/>
      <c r="C901" s="7"/>
      <c r="D901" s="8"/>
      <c r="E901" s="8"/>
      <c r="F901" s="8"/>
      <c r="H901" s="8"/>
    </row>
    <row r="902" spans="1:8" ht="15" customHeight="1" x14ac:dyDescent="0.25">
      <c r="A902" s="7"/>
      <c r="C902" s="7"/>
      <c r="D902" s="8"/>
      <c r="E902" s="8"/>
      <c r="F902" s="8"/>
      <c r="H902" s="8"/>
    </row>
    <row r="903" spans="1:8" ht="15" customHeight="1" x14ac:dyDescent="0.25">
      <c r="A903" s="7"/>
      <c r="C903" s="7"/>
      <c r="D903" s="8"/>
      <c r="E903" s="8"/>
      <c r="F903" s="8"/>
      <c r="H903" s="8"/>
    </row>
    <row r="904" spans="1:8" ht="15" customHeight="1" x14ac:dyDescent="0.25">
      <c r="A904" s="7"/>
      <c r="C904" s="7"/>
      <c r="D904" s="8"/>
      <c r="E904" s="8"/>
      <c r="F904" s="8"/>
      <c r="H904" s="8"/>
    </row>
    <row r="905" spans="1:8" ht="15" customHeight="1" x14ac:dyDescent="0.25">
      <c r="A905" s="7"/>
      <c r="C905" s="7"/>
      <c r="D905" s="8"/>
      <c r="E905" s="8"/>
      <c r="F905" s="8"/>
      <c r="H905" s="8"/>
    </row>
    <row r="906" spans="1:8" ht="15" customHeight="1" x14ac:dyDescent="0.25">
      <c r="A906" s="7"/>
      <c r="C906" s="7"/>
      <c r="D906" s="8"/>
      <c r="E906" s="8"/>
      <c r="F906" s="8"/>
      <c r="H906" s="8"/>
    </row>
    <row r="907" spans="1:8" ht="15" customHeight="1" x14ac:dyDescent="0.25">
      <c r="A907" s="7"/>
      <c r="C907" s="7"/>
      <c r="D907" s="8"/>
      <c r="E907" s="8"/>
      <c r="F907" s="8"/>
      <c r="H907" s="8"/>
    </row>
    <row r="908" spans="1:8" ht="15" customHeight="1" x14ac:dyDescent="0.25">
      <c r="A908" s="7"/>
      <c r="C908" s="7"/>
      <c r="D908" s="8"/>
      <c r="E908" s="8"/>
      <c r="F908" s="8"/>
      <c r="H908" s="8"/>
    </row>
    <row r="909" spans="1:8" ht="15" customHeight="1" x14ac:dyDescent="0.25">
      <c r="A909" s="7"/>
      <c r="C909" s="7"/>
      <c r="D909" s="8"/>
      <c r="E909" s="8"/>
      <c r="F909" s="8"/>
      <c r="H909" s="8"/>
    </row>
    <row r="910" spans="1:8" ht="15" customHeight="1" x14ac:dyDescent="0.25">
      <c r="A910" s="7"/>
      <c r="C910" s="7"/>
      <c r="D910" s="8"/>
      <c r="E910" s="8"/>
      <c r="F910" s="8"/>
      <c r="H910" s="8"/>
    </row>
    <row r="911" spans="1:8" ht="15" customHeight="1" x14ac:dyDescent="0.25">
      <c r="A911" s="7"/>
      <c r="C911" s="7"/>
      <c r="D911" s="8"/>
      <c r="E911" s="8"/>
      <c r="F911" s="8"/>
      <c r="H911" s="8"/>
    </row>
    <row r="912" spans="1:8" ht="15" customHeight="1" x14ac:dyDescent="0.25">
      <c r="A912" s="7"/>
      <c r="C912" s="7"/>
      <c r="D912" s="8"/>
      <c r="E912" s="8"/>
      <c r="F912" s="8"/>
      <c r="H912" s="8"/>
    </row>
    <row r="913" spans="1:8" ht="15" customHeight="1" x14ac:dyDescent="0.25">
      <c r="A913" s="7"/>
      <c r="C913" s="7"/>
      <c r="D913" s="8"/>
      <c r="E913" s="8"/>
      <c r="F913" s="8"/>
      <c r="H913" s="8"/>
    </row>
    <row r="914" spans="1:8" ht="15" customHeight="1" x14ac:dyDescent="0.25">
      <c r="A914" s="7"/>
      <c r="C914" s="7"/>
      <c r="D914" s="8"/>
      <c r="E914" s="8"/>
      <c r="F914" s="8"/>
      <c r="H914" s="8"/>
    </row>
    <row r="915" spans="1:8" ht="15" customHeight="1" x14ac:dyDescent="0.25">
      <c r="A915" s="7"/>
      <c r="C915" s="7"/>
      <c r="D915" s="8"/>
      <c r="E915" s="8"/>
      <c r="F915" s="8"/>
      <c r="H915" s="8"/>
    </row>
    <row r="916" spans="1:8" ht="15" customHeight="1" x14ac:dyDescent="0.25">
      <c r="A916" s="7"/>
      <c r="C916" s="7"/>
      <c r="D916" s="8"/>
      <c r="E916" s="8"/>
      <c r="F916" s="8"/>
      <c r="H916" s="8"/>
    </row>
    <row r="917" spans="1:8" ht="15" customHeight="1" x14ac:dyDescent="0.25">
      <c r="A917" s="7"/>
      <c r="C917" s="7"/>
      <c r="D917" s="8"/>
      <c r="E917" s="8"/>
      <c r="F917" s="8"/>
      <c r="H917" s="8"/>
    </row>
    <row r="918" spans="1:8" ht="15" customHeight="1" x14ac:dyDescent="0.25">
      <c r="A918" s="7"/>
      <c r="C918" s="7"/>
      <c r="D918" s="8"/>
      <c r="E918" s="8"/>
      <c r="F918" s="8"/>
      <c r="H918" s="8"/>
    </row>
    <row r="919" spans="1:8" ht="15" customHeight="1" x14ac:dyDescent="0.25">
      <c r="A919" s="7"/>
      <c r="C919" s="7"/>
      <c r="D919" s="8"/>
      <c r="E919" s="8"/>
      <c r="F919" s="8"/>
      <c r="H919" s="8"/>
    </row>
    <row r="920" spans="1:8" ht="15" customHeight="1" x14ac:dyDescent="0.25">
      <c r="A920" s="7"/>
      <c r="C920" s="7"/>
      <c r="D920" s="8"/>
      <c r="E920" s="8"/>
      <c r="F920" s="8"/>
      <c r="H920" s="8"/>
    </row>
    <row r="921" spans="1:8" ht="15" customHeight="1" x14ac:dyDescent="0.25">
      <c r="A921" s="7"/>
      <c r="C921" s="7"/>
      <c r="D921" s="8"/>
      <c r="E921" s="8"/>
      <c r="F921" s="8"/>
      <c r="H921" s="8"/>
    </row>
    <row r="922" spans="1:8" ht="15" customHeight="1" x14ac:dyDescent="0.25">
      <c r="A922" s="7"/>
      <c r="C922" s="7"/>
      <c r="D922" s="8"/>
      <c r="E922" s="8"/>
      <c r="F922" s="8"/>
      <c r="H922" s="8"/>
    </row>
    <row r="923" spans="1:8" ht="15" customHeight="1" x14ac:dyDescent="0.25">
      <c r="A923" s="7"/>
      <c r="C923" s="7"/>
      <c r="D923" s="8"/>
      <c r="E923" s="8"/>
      <c r="F923" s="8"/>
      <c r="H923" s="8"/>
    </row>
    <row r="924" spans="1:8" ht="15" customHeight="1" x14ac:dyDescent="0.25">
      <c r="A924" s="7"/>
      <c r="C924" s="7"/>
      <c r="D924" s="8"/>
      <c r="E924" s="8"/>
      <c r="F924" s="8"/>
      <c r="H924" s="8"/>
    </row>
    <row r="925" spans="1:8" ht="15" customHeight="1" x14ac:dyDescent="0.25">
      <c r="A925" s="7"/>
      <c r="C925" s="7"/>
      <c r="D925" s="8"/>
      <c r="E925" s="8"/>
      <c r="F925" s="8"/>
      <c r="H925" s="8"/>
    </row>
    <row r="926" spans="1:8" ht="15" customHeight="1" x14ac:dyDescent="0.25">
      <c r="A926" s="7"/>
      <c r="C926" s="7"/>
      <c r="D926" s="8"/>
      <c r="E926" s="8"/>
      <c r="F926" s="8"/>
      <c r="H926" s="8"/>
    </row>
    <row r="927" spans="1:8" ht="15" customHeight="1" x14ac:dyDescent="0.25">
      <c r="A927" s="7"/>
      <c r="C927" s="7"/>
      <c r="D927" s="8"/>
      <c r="E927" s="8"/>
      <c r="F927" s="8"/>
      <c r="H927" s="8"/>
    </row>
    <row r="928" spans="1:8" ht="15" customHeight="1" x14ac:dyDescent="0.25">
      <c r="A928" s="7"/>
      <c r="C928" s="7"/>
      <c r="D928" s="8"/>
      <c r="E928" s="8"/>
      <c r="F928" s="8"/>
      <c r="H928" s="8"/>
    </row>
    <row r="929" spans="1:8" ht="15" customHeight="1" x14ac:dyDescent="0.25">
      <c r="A929" s="7"/>
      <c r="C929" s="7"/>
      <c r="D929" s="8"/>
      <c r="E929" s="8"/>
      <c r="F929" s="8"/>
      <c r="H929" s="8"/>
    </row>
    <row r="930" spans="1:8" ht="15" customHeight="1" x14ac:dyDescent="0.25">
      <c r="A930" s="7"/>
      <c r="C930" s="7"/>
      <c r="D930" s="8"/>
      <c r="E930" s="8"/>
      <c r="F930" s="8"/>
      <c r="H930" s="8"/>
    </row>
    <row r="931" spans="1:8" ht="15" customHeight="1" x14ac:dyDescent="0.25">
      <c r="A931" s="7"/>
      <c r="C931" s="7"/>
      <c r="D931" s="8"/>
      <c r="E931" s="8"/>
      <c r="F931" s="8"/>
      <c r="H931" s="8"/>
    </row>
    <row r="932" spans="1:8" ht="15" customHeight="1" x14ac:dyDescent="0.25">
      <c r="A932" s="7"/>
      <c r="C932" s="7"/>
      <c r="D932" s="8"/>
      <c r="E932" s="8"/>
      <c r="F932" s="8"/>
      <c r="H932" s="8"/>
    </row>
    <row r="933" spans="1:8" ht="15" customHeight="1" x14ac:dyDescent="0.25">
      <c r="A933" s="7"/>
      <c r="C933" s="7"/>
      <c r="D933" s="8"/>
      <c r="E933" s="8"/>
      <c r="F933" s="8"/>
      <c r="H933" s="8"/>
    </row>
    <row r="934" spans="1:8" ht="15" customHeight="1" x14ac:dyDescent="0.25">
      <c r="A934" s="7"/>
      <c r="C934" s="7"/>
      <c r="D934" s="8"/>
      <c r="E934" s="8"/>
      <c r="F934" s="8"/>
      <c r="H934" s="8"/>
    </row>
    <row r="935" spans="1:8" ht="15" customHeight="1" x14ac:dyDescent="0.25">
      <c r="A935" s="7"/>
      <c r="C935" s="7"/>
      <c r="D935" s="8"/>
      <c r="E935" s="8"/>
      <c r="F935" s="8"/>
      <c r="H935" s="8"/>
    </row>
    <row r="936" spans="1:8" ht="15" customHeight="1" x14ac:dyDescent="0.25">
      <c r="A936" s="7"/>
      <c r="C936" s="7"/>
      <c r="D936" s="8"/>
      <c r="E936" s="8"/>
      <c r="F936" s="8"/>
      <c r="H936" s="8"/>
    </row>
    <row r="937" spans="1:8" ht="15" customHeight="1" x14ac:dyDescent="0.25">
      <c r="A937" s="7"/>
      <c r="C937" s="7"/>
      <c r="D937" s="8"/>
      <c r="E937" s="8"/>
      <c r="F937" s="8"/>
      <c r="H937" s="8"/>
    </row>
    <row r="938" spans="1:8" ht="15" customHeight="1" x14ac:dyDescent="0.25">
      <c r="A938" s="7"/>
      <c r="C938" s="7"/>
      <c r="D938" s="8"/>
      <c r="E938" s="8"/>
      <c r="F938" s="8"/>
      <c r="H938" s="8"/>
    </row>
    <row r="939" spans="1:8" ht="15" customHeight="1" x14ac:dyDescent="0.25">
      <c r="A939" s="7"/>
      <c r="C939" s="7"/>
      <c r="D939" s="8"/>
      <c r="E939" s="8"/>
      <c r="F939" s="8"/>
      <c r="H939" s="8"/>
    </row>
    <row r="940" spans="1:8" ht="15" customHeight="1" x14ac:dyDescent="0.25">
      <c r="A940" s="7"/>
      <c r="C940" s="7"/>
      <c r="D940" s="8"/>
      <c r="E940" s="8"/>
      <c r="F940" s="8"/>
      <c r="H940" s="8"/>
    </row>
    <row r="941" spans="1:8" ht="15" customHeight="1" x14ac:dyDescent="0.25">
      <c r="A941" s="7"/>
      <c r="C941" s="7"/>
      <c r="D941" s="8"/>
      <c r="E941" s="8"/>
      <c r="F941" s="8"/>
      <c r="H941" s="8"/>
    </row>
    <row r="942" spans="1:8" ht="15" customHeight="1" x14ac:dyDescent="0.25">
      <c r="A942" s="7"/>
      <c r="C942" s="7"/>
      <c r="D942" s="8"/>
      <c r="E942" s="8"/>
      <c r="F942" s="8"/>
      <c r="H942" s="8"/>
    </row>
    <row r="943" spans="1:8" ht="15" customHeight="1" x14ac:dyDescent="0.25">
      <c r="A943" s="7"/>
      <c r="C943" s="7"/>
      <c r="D943" s="8"/>
      <c r="E943" s="8"/>
      <c r="F943" s="8"/>
      <c r="H943" s="8"/>
    </row>
    <row r="944" spans="1:8" ht="15" customHeight="1" x14ac:dyDescent="0.25">
      <c r="A944" s="7"/>
      <c r="C944" s="7"/>
      <c r="D944" s="8"/>
      <c r="E944" s="8"/>
      <c r="F944" s="8"/>
      <c r="H944" s="8"/>
    </row>
    <row r="945" spans="1:8" ht="15" customHeight="1" x14ac:dyDescent="0.25">
      <c r="A945" s="7"/>
      <c r="C945" s="7"/>
      <c r="D945" s="8"/>
      <c r="E945" s="8"/>
      <c r="F945" s="8"/>
      <c r="H945" s="8"/>
    </row>
    <row r="946" spans="1:8" ht="15" customHeight="1" x14ac:dyDescent="0.25">
      <c r="A946" s="7"/>
      <c r="C946" s="7"/>
      <c r="D946" s="8"/>
      <c r="E946" s="8"/>
      <c r="F946" s="8"/>
      <c r="H946" s="8"/>
    </row>
    <row r="947" spans="1:8" ht="15" customHeight="1" x14ac:dyDescent="0.25">
      <c r="A947" s="7"/>
      <c r="C947" s="7"/>
      <c r="D947" s="8"/>
      <c r="E947" s="8"/>
      <c r="F947" s="8"/>
      <c r="H947" s="8"/>
    </row>
    <row r="948" spans="1:8" ht="15" customHeight="1" x14ac:dyDescent="0.25">
      <c r="A948" s="7"/>
      <c r="C948" s="7"/>
      <c r="D948" s="8"/>
      <c r="E948" s="8"/>
      <c r="F948" s="8"/>
      <c r="H948" s="8"/>
    </row>
    <row r="949" spans="1:8" ht="15" customHeight="1" x14ac:dyDescent="0.25">
      <c r="A949" s="7"/>
      <c r="C949" s="7"/>
      <c r="D949" s="8"/>
      <c r="E949" s="8"/>
      <c r="F949" s="8"/>
      <c r="H949" s="8"/>
    </row>
    <row r="950" spans="1:8" ht="15" customHeight="1" x14ac:dyDescent="0.25">
      <c r="A950" s="7"/>
      <c r="C950" s="7"/>
      <c r="D950" s="8"/>
      <c r="E950" s="8"/>
      <c r="F950" s="8"/>
      <c r="H950" s="8"/>
    </row>
    <row r="951" spans="1:8" ht="15" customHeight="1" x14ac:dyDescent="0.25">
      <c r="A951" s="7"/>
      <c r="C951" s="7"/>
      <c r="D951" s="8"/>
      <c r="E951" s="8"/>
      <c r="F951" s="8"/>
      <c r="H951" s="8"/>
    </row>
    <row r="952" spans="1:8" ht="15" customHeight="1" x14ac:dyDescent="0.25">
      <c r="A952" s="7"/>
      <c r="C952" s="7"/>
      <c r="D952" s="8"/>
      <c r="E952" s="8"/>
      <c r="F952" s="8"/>
      <c r="H952" s="8"/>
    </row>
    <row r="953" spans="1:8" ht="15" customHeight="1" x14ac:dyDescent="0.25">
      <c r="A953" s="7"/>
      <c r="C953" s="7"/>
      <c r="D953" s="8"/>
      <c r="E953" s="8"/>
      <c r="F953" s="8"/>
      <c r="H953" s="8"/>
    </row>
    <row r="954" spans="1:8" ht="15" customHeight="1" x14ac:dyDescent="0.25">
      <c r="A954" s="7"/>
      <c r="C954" s="7"/>
      <c r="D954" s="8"/>
      <c r="E954" s="8"/>
      <c r="F954" s="8"/>
      <c r="H954" s="8"/>
    </row>
    <row r="955" spans="1:8" ht="15" customHeight="1" x14ac:dyDescent="0.25">
      <c r="A955" s="7"/>
      <c r="C955" s="7"/>
      <c r="D955" s="8"/>
      <c r="E955" s="8"/>
      <c r="F955" s="8"/>
      <c r="H955" s="8"/>
    </row>
    <row r="956" spans="1:8" ht="15" customHeight="1" x14ac:dyDescent="0.25">
      <c r="A956" s="7"/>
      <c r="C956" s="7"/>
      <c r="D956" s="8"/>
      <c r="E956" s="8"/>
      <c r="F956" s="8"/>
      <c r="H956" s="8"/>
    </row>
    <row r="957" spans="1:8" ht="15" customHeight="1" x14ac:dyDescent="0.25">
      <c r="A957" s="7"/>
      <c r="C957" s="7"/>
      <c r="D957" s="8"/>
      <c r="E957" s="8"/>
      <c r="F957" s="8"/>
      <c r="H957" s="8"/>
    </row>
    <row r="958" spans="1:8" ht="15" customHeight="1" x14ac:dyDescent="0.25">
      <c r="A958" s="7"/>
      <c r="C958" s="7"/>
      <c r="D958" s="8"/>
      <c r="E958" s="8"/>
      <c r="F958" s="8"/>
      <c r="H958" s="8"/>
    </row>
    <row r="959" spans="1:8" ht="15" customHeight="1" x14ac:dyDescent="0.25">
      <c r="A959" s="7"/>
      <c r="C959" s="7"/>
      <c r="D959" s="8"/>
      <c r="E959" s="8"/>
      <c r="F959" s="8"/>
      <c r="H959" s="8"/>
    </row>
    <row r="960" spans="1:8" ht="15" customHeight="1" x14ac:dyDescent="0.25">
      <c r="A960" s="7"/>
      <c r="C960" s="7"/>
      <c r="D960" s="8"/>
      <c r="E960" s="8"/>
      <c r="F960" s="8"/>
      <c r="H960" s="8"/>
    </row>
    <row r="961" spans="1:8" ht="15" customHeight="1" x14ac:dyDescent="0.25">
      <c r="A961" s="7"/>
      <c r="C961" s="7"/>
      <c r="D961" s="8"/>
      <c r="E961" s="8"/>
      <c r="F961" s="8"/>
      <c r="H961" s="8"/>
    </row>
    <row r="962" spans="1:8" ht="15" customHeight="1" x14ac:dyDescent="0.25">
      <c r="A962" s="7"/>
      <c r="C962" s="7"/>
      <c r="D962" s="8"/>
      <c r="E962" s="8"/>
      <c r="F962" s="8"/>
      <c r="H962" s="8"/>
    </row>
    <row r="963" spans="1:8" ht="15" customHeight="1" x14ac:dyDescent="0.25">
      <c r="A963" s="7"/>
      <c r="C963" s="7"/>
      <c r="D963" s="8"/>
      <c r="E963" s="8"/>
      <c r="F963" s="8"/>
      <c r="H963" s="8"/>
    </row>
    <row r="964" spans="1:8" ht="15" customHeight="1" x14ac:dyDescent="0.25">
      <c r="A964" s="7"/>
      <c r="C964" s="7"/>
      <c r="D964" s="8"/>
      <c r="E964" s="8"/>
      <c r="F964" s="8"/>
      <c r="H964" s="8"/>
    </row>
    <row r="965" spans="1:8" ht="15" customHeight="1" x14ac:dyDescent="0.25">
      <c r="A965" s="7"/>
      <c r="C965" s="7"/>
      <c r="D965" s="8"/>
      <c r="E965" s="8"/>
      <c r="F965" s="8"/>
      <c r="H965" s="8"/>
    </row>
    <row r="966" spans="1:8" ht="15" customHeight="1" x14ac:dyDescent="0.25">
      <c r="A966" s="7"/>
      <c r="C966" s="7"/>
      <c r="D966" s="8"/>
      <c r="E966" s="8"/>
      <c r="F966" s="8"/>
      <c r="H966" s="8"/>
    </row>
    <row r="967" spans="1:8" ht="15" customHeight="1" x14ac:dyDescent="0.25">
      <c r="A967" s="7"/>
      <c r="C967" s="7"/>
      <c r="D967" s="8"/>
      <c r="E967" s="8"/>
      <c r="F967" s="8"/>
      <c r="H967" s="8"/>
    </row>
    <row r="968" spans="1:8" ht="15" customHeight="1" x14ac:dyDescent="0.25">
      <c r="A968" s="7"/>
      <c r="C968" s="7"/>
      <c r="D968" s="8"/>
      <c r="E968" s="8"/>
      <c r="F968" s="8"/>
      <c r="H968" s="8"/>
    </row>
  </sheetData>
  <mergeCells count="1">
    <mergeCell ref="J3:O3"/>
  </mergeCells>
  <pageMargins left="0.7" right="0.7" top="0.75" bottom="0.75" header="0.3" footer="0.3"/>
  <pageSetup scale="56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BB851"/>
  <sheetViews>
    <sheetView zoomScale="80" zoomScaleNormal="80" workbookViewId="0">
      <selection activeCell="AV12" sqref="AV12"/>
    </sheetView>
  </sheetViews>
  <sheetFormatPr defaultRowHeight="15" customHeight="1" x14ac:dyDescent="0.25"/>
  <cols>
    <col min="1" max="1" width="3.28515625" style="8" customWidth="1"/>
    <col min="2" max="2" width="22.140625" style="8" customWidth="1"/>
    <col min="3" max="3" width="12.7109375" style="8" customWidth="1"/>
    <col min="4" max="4" width="11" style="8" customWidth="1"/>
    <col min="5" max="5" width="27.42578125" style="8" customWidth="1"/>
    <col min="6" max="6" width="18.140625" style="8" customWidth="1"/>
    <col min="7" max="7" width="13.42578125" style="8" customWidth="1"/>
    <col min="8" max="8" width="15.28515625" style="8" customWidth="1"/>
    <col min="9" max="9" width="10.7109375" style="8" hidden="1" customWidth="1"/>
    <col min="10" max="46" width="0" style="8" hidden="1" customWidth="1"/>
    <col min="47" max="48" width="8.85546875" style="8"/>
    <col min="49" max="49" width="16.85546875" style="8" customWidth="1"/>
    <col min="50" max="55" width="8.85546875" style="8"/>
    <col min="56" max="56" width="20.28515625" style="8" customWidth="1"/>
    <col min="57" max="57" width="8.85546875" style="8"/>
    <col min="58" max="58" width="9.140625" style="8" customWidth="1"/>
    <col min="59" max="260" width="8.85546875" style="8"/>
    <col min="261" max="261" width="9.85546875" style="8" customWidth="1"/>
    <col min="262" max="262" width="23.28515625" style="8" customWidth="1"/>
    <col min="263" max="263" width="10.5703125" style="8" customWidth="1"/>
    <col min="264" max="264" width="8.85546875" style="8"/>
    <col min="265" max="265" width="10.7109375" style="8" bestFit="1" customWidth="1"/>
    <col min="266" max="516" width="8.85546875" style="8"/>
    <col min="517" max="517" width="9.85546875" style="8" customWidth="1"/>
    <col min="518" max="518" width="23.28515625" style="8" customWidth="1"/>
    <col min="519" max="519" width="10.5703125" style="8" customWidth="1"/>
    <col min="520" max="520" width="8.85546875" style="8"/>
    <col min="521" max="521" width="10.7109375" style="8" bestFit="1" customWidth="1"/>
    <col min="522" max="772" width="8.85546875" style="8"/>
    <col min="773" max="773" width="9.85546875" style="8" customWidth="1"/>
    <col min="774" max="774" width="23.28515625" style="8" customWidth="1"/>
    <col min="775" max="775" width="10.5703125" style="8" customWidth="1"/>
    <col min="776" max="776" width="8.85546875" style="8"/>
    <col min="777" max="777" width="10.7109375" style="8" bestFit="1" customWidth="1"/>
    <col min="778" max="1028" width="8.85546875" style="8"/>
    <col min="1029" max="1029" width="9.85546875" style="8" customWidth="1"/>
    <col min="1030" max="1030" width="23.28515625" style="8" customWidth="1"/>
    <col min="1031" max="1031" width="10.5703125" style="8" customWidth="1"/>
    <col min="1032" max="1032" width="8.85546875" style="8"/>
    <col min="1033" max="1033" width="10.7109375" style="8" bestFit="1" customWidth="1"/>
    <col min="1034" max="1284" width="8.85546875" style="8"/>
    <col min="1285" max="1285" width="9.85546875" style="8" customWidth="1"/>
    <col min="1286" max="1286" width="23.28515625" style="8" customWidth="1"/>
    <col min="1287" max="1287" width="10.5703125" style="8" customWidth="1"/>
    <col min="1288" max="1288" width="8.85546875" style="8"/>
    <col min="1289" max="1289" width="10.7109375" style="8" bestFit="1" customWidth="1"/>
    <col min="1290" max="1540" width="8.85546875" style="8"/>
    <col min="1541" max="1541" width="9.85546875" style="8" customWidth="1"/>
    <col min="1542" max="1542" width="23.28515625" style="8" customWidth="1"/>
    <col min="1543" max="1543" width="10.5703125" style="8" customWidth="1"/>
    <col min="1544" max="1544" width="8.85546875" style="8"/>
    <col min="1545" max="1545" width="10.7109375" style="8" bestFit="1" customWidth="1"/>
    <col min="1546" max="1796" width="8.85546875" style="8"/>
    <col min="1797" max="1797" width="9.85546875" style="8" customWidth="1"/>
    <col min="1798" max="1798" width="23.28515625" style="8" customWidth="1"/>
    <col min="1799" max="1799" width="10.5703125" style="8" customWidth="1"/>
    <col min="1800" max="1800" width="8.85546875" style="8"/>
    <col min="1801" max="1801" width="10.7109375" style="8" bestFit="1" customWidth="1"/>
    <col min="1802" max="2052" width="8.85546875" style="8"/>
    <col min="2053" max="2053" width="9.85546875" style="8" customWidth="1"/>
    <col min="2054" max="2054" width="23.28515625" style="8" customWidth="1"/>
    <col min="2055" max="2055" width="10.5703125" style="8" customWidth="1"/>
    <col min="2056" max="2056" width="8.85546875" style="8"/>
    <col min="2057" max="2057" width="10.7109375" style="8" bestFit="1" customWidth="1"/>
    <col min="2058" max="2308" width="8.85546875" style="8"/>
    <col min="2309" max="2309" width="9.85546875" style="8" customWidth="1"/>
    <col min="2310" max="2310" width="23.28515625" style="8" customWidth="1"/>
    <col min="2311" max="2311" width="10.5703125" style="8" customWidth="1"/>
    <col min="2312" max="2312" width="8.85546875" style="8"/>
    <col min="2313" max="2313" width="10.7109375" style="8" bestFit="1" customWidth="1"/>
    <col min="2314" max="2564" width="8.85546875" style="8"/>
    <col min="2565" max="2565" width="9.85546875" style="8" customWidth="1"/>
    <col min="2566" max="2566" width="23.28515625" style="8" customWidth="1"/>
    <col min="2567" max="2567" width="10.5703125" style="8" customWidth="1"/>
    <col min="2568" max="2568" width="8.85546875" style="8"/>
    <col min="2569" max="2569" width="10.7109375" style="8" bestFit="1" customWidth="1"/>
    <col min="2570" max="2820" width="8.85546875" style="8"/>
    <col min="2821" max="2821" width="9.85546875" style="8" customWidth="1"/>
    <col min="2822" max="2822" width="23.28515625" style="8" customWidth="1"/>
    <col min="2823" max="2823" width="10.5703125" style="8" customWidth="1"/>
    <col min="2824" max="2824" width="8.85546875" style="8"/>
    <col min="2825" max="2825" width="10.7109375" style="8" bestFit="1" customWidth="1"/>
    <col min="2826" max="3076" width="8.85546875" style="8"/>
    <col min="3077" max="3077" width="9.85546875" style="8" customWidth="1"/>
    <col min="3078" max="3078" width="23.28515625" style="8" customWidth="1"/>
    <col min="3079" max="3079" width="10.5703125" style="8" customWidth="1"/>
    <col min="3080" max="3080" width="8.85546875" style="8"/>
    <col min="3081" max="3081" width="10.7109375" style="8" bestFit="1" customWidth="1"/>
    <col min="3082" max="3332" width="8.85546875" style="8"/>
    <col min="3333" max="3333" width="9.85546875" style="8" customWidth="1"/>
    <col min="3334" max="3334" width="23.28515625" style="8" customWidth="1"/>
    <col min="3335" max="3335" width="10.5703125" style="8" customWidth="1"/>
    <col min="3336" max="3336" width="8.85546875" style="8"/>
    <col min="3337" max="3337" width="10.7109375" style="8" bestFit="1" customWidth="1"/>
    <col min="3338" max="3588" width="8.85546875" style="8"/>
    <col min="3589" max="3589" width="9.85546875" style="8" customWidth="1"/>
    <col min="3590" max="3590" width="23.28515625" style="8" customWidth="1"/>
    <col min="3591" max="3591" width="10.5703125" style="8" customWidth="1"/>
    <col min="3592" max="3592" width="8.85546875" style="8"/>
    <col min="3593" max="3593" width="10.7109375" style="8" bestFit="1" customWidth="1"/>
    <col min="3594" max="3844" width="8.85546875" style="8"/>
    <col min="3845" max="3845" width="9.85546875" style="8" customWidth="1"/>
    <col min="3846" max="3846" width="23.28515625" style="8" customWidth="1"/>
    <col min="3847" max="3847" width="10.5703125" style="8" customWidth="1"/>
    <col min="3848" max="3848" width="8.85546875" style="8"/>
    <col min="3849" max="3849" width="10.7109375" style="8" bestFit="1" customWidth="1"/>
    <col min="3850" max="4100" width="8.85546875" style="8"/>
    <col min="4101" max="4101" width="9.85546875" style="8" customWidth="1"/>
    <col min="4102" max="4102" width="23.28515625" style="8" customWidth="1"/>
    <col min="4103" max="4103" width="10.5703125" style="8" customWidth="1"/>
    <col min="4104" max="4104" width="8.85546875" style="8"/>
    <col min="4105" max="4105" width="10.7109375" style="8" bestFit="1" customWidth="1"/>
    <col min="4106" max="4356" width="8.85546875" style="8"/>
    <col min="4357" max="4357" width="9.85546875" style="8" customWidth="1"/>
    <col min="4358" max="4358" width="23.28515625" style="8" customWidth="1"/>
    <col min="4359" max="4359" width="10.5703125" style="8" customWidth="1"/>
    <col min="4360" max="4360" width="8.85546875" style="8"/>
    <col min="4361" max="4361" width="10.7109375" style="8" bestFit="1" customWidth="1"/>
    <col min="4362" max="4612" width="8.85546875" style="8"/>
    <col min="4613" max="4613" width="9.85546875" style="8" customWidth="1"/>
    <col min="4614" max="4614" width="23.28515625" style="8" customWidth="1"/>
    <col min="4615" max="4615" width="10.5703125" style="8" customWidth="1"/>
    <col min="4616" max="4616" width="8.85546875" style="8"/>
    <col min="4617" max="4617" width="10.7109375" style="8" bestFit="1" customWidth="1"/>
    <col min="4618" max="4868" width="8.85546875" style="8"/>
    <col min="4869" max="4869" width="9.85546875" style="8" customWidth="1"/>
    <col min="4870" max="4870" width="23.28515625" style="8" customWidth="1"/>
    <col min="4871" max="4871" width="10.5703125" style="8" customWidth="1"/>
    <col min="4872" max="4872" width="8.85546875" style="8"/>
    <col min="4873" max="4873" width="10.7109375" style="8" bestFit="1" customWidth="1"/>
    <col min="4874" max="5124" width="8.85546875" style="8"/>
    <col min="5125" max="5125" width="9.85546875" style="8" customWidth="1"/>
    <col min="5126" max="5126" width="23.28515625" style="8" customWidth="1"/>
    <col min="5127" max="5127" width="10.5703125" style="8" customWidth="1"/>
    <col min="5128" max="5128" width="8.85546875" style="8"/>
    <col min="5129" max="5129" width="10.7109375" style="8" bestFit="1" customWidth="1"/>
    <col min="5130" max="5380" width="8.85546875" style="8"/>
    <col min="5381" max="5381" width="9.85546875" style="8" customWidth="1"/>
    <col min="5382" max="5382" width="23.28515625" style="8" customWidth="1"/>
    <col min="5383" max="5383" width="10.5703125" style="8" customWidth="1"/>
    <col min="5384" max="5384" width="8.85546875" style="8"/>
    <col min="5385" max="5385" width="10.7109375" style="8" bestFit="1" customWidth="1"/>
    <col min="5386" max="5636" width="8.85546875" style="8"/>
    <col min="5637" max="5637" width="9.85546875" style="8" customWidth="1"/>
    <col min="5638" max="5638" width="23.28515625" style="8" customWidth="1"/>
    <col min="5639" max="5639" width="10.5703125" style="8" customWidth="1"/>
    <col min="5640" max="5640" width="8.85546875" style="8"/>
    <col min="5641" max="5641" width="10.7109375" style="8" bestFit="1" customWidth="1"/>
    <col min="5642" max="5892" width="8.85546875" style="8"/>
    <col min="5893" max="5893" width="9.85546875" style="8" customWidth="1"/>
    <col min="5894" max="5894" width="23.28515625" style="8" customWidth="1"/>
    <col min="5895" max="5895" width="10.5703125" style="8" customWidth="1"/>
    <col min="5896" max="5896" width="8.85546875" style="8"/>
    <col min="5897" max="5897" width="10.7109375" style="8" bestFit="1" customWidth="1"/>
    <col min="5898" max="6148" width="8.85546875" style="8"/>
    <col min="6149" max="6149" width="9.85546875" style="8" customWidth="1"/>
    <col min="6150" max="6150" width="23.28515625" style="8" customWidth="1"/>
    <col min="6151" max="6151" width="10.5703125" style="8" customWidth="1"/>
    <col min="6152" max="6152" width="8.85546875" style="8"/>
    <col min="6153" max="6153" width="10.7109375" style="8" bestFit="1" customWidth="1"/>
    <col min="6154" max="6404" width="8.85546875" style="8"/>
    <col min="6405" max="6405" width="9.85546875" style="8" customWidth="1"/>
    <col min="6406" max="6406" width="23.28515625" style="8" customWidth="1"/>
    <col min="6407" max="6407" width="10.5703125" style="8" customWidth="1"/>
    <col min="6408" max="6408" width="8.85546875" style="8"/>
    <col min="6409" max="6409" width="10.7109375" style="8" bestFit="1" customWidth="1"/>
    <col min="6410" max="6660" width="8.85546875" style="8"/>
    <col min="6661" max="6661" width="9.85546875" style="8" customWidth="1"/>
    <col min="6662" max="6662" width="23.28515625" style="8" customWidth="1"/>
    <col min="6663" max="6663" width="10.5703125" style="8" customWidth="1"/>
    <col min="6664" max="6664" width="8.85546875" style="8"/>
    <col min="6665" max="6665" width="10.7109375" style="8" bestFit="1" customWidth="1"/>
    <col min="6666" max="6916" width="8.85546875" style="8"/>
    <col min="6917" max="6917" width="9.85546875" style="8" customWidth="1"/>
    <col min="6918" max="6918" width="23.28515625" style="8" customWidth="1"/>
    <col min="6919" max="6919" width="10.5703125" style="8" customWidth="1"/>
    <col min="6920" max="6920" width="8.85546875" style="8"/>
    <col min="6921" max="6921" width="10.7109375" style="8" bestFit="1" customWidth="1"/>
    <col min="6922" max="7172" width="8.85546875" style="8"/>
    <col min="7173" max="7173" width="9.85546875" style="8" customWidth="1"/>
    <col min="7174" max="7174" width="23.28515625" style="8" customWidth="1"/>
    <col min="7175" max="7175" width="10.5703125" style="8" customWidth="1"/>
    <col min="7176" max="7176" width="8.85546875" style="8"/>
    <col min="7177" max="7177" width="10.7109375" style="8" bestFit="1" customWidth="1"/>
    <col min="7178" max="7428" width="8.85546875" style="8"/>
    <col min="7429" max="7429" width="9.85546875" style="8" customWidth="1"/>
    <col min="7430" max="7430" width="23.28515625" style="8" customWidth="1"/>
    <col min="7431" max="7431" width="10.5703125" style="8" customWidth="1"/>
    <col min="7432" max="7432" width="8.85546875" style="8"/>
    <col min="7433" max="7433" width="10.7109375" style="8" bestFit="1" customWidth="1"/>
    <col min="7434" max="7684" width="8.85546875" style="8"/>
    <col min="7685" max="7685" width="9.85546875" style="8" customWidth="1"/>
    <col min="7686" max="7686" width="23.28515625" style="8" customWidth="1"/>
    <col min="7687" max="7687" width="10.5703125" style="8" customWidth="1"/>
    <col min="7688" max="7688" width="8.85546875" style="8"/>
    <col min="7689" max="7689" width="10.7109375" style="8" bestFit="1" customWidth="1"/>
    <col min="7690" max="7940" width="8.85546875" style="8"/>
    <col min="7941" max="7941" width="9.85546875" style="8" customWidth="1"/>
    <col min="7942" max="7942" width="23.28515625" style="8" customWidth="1"/>
    <col min="7943" max="7943" width="10.5703125" style="8" customWidth="1"/>
    <col min="7944" max="7944" width="8.85546875" style="8"/>
    <col min="7945" max="7945" width="10.7109375" style="8" bestFit="1" customWidth="1"/>
    <col min="7946" max="8196" width="8.85546875" style="8"/>
    <col min="8197" max="8197" width="9.85546875" style="8" customWidth="1"/>
    <col min="8198" max="8198" width="23.28515625" style="8" customWidth="1"/>
    <col min="8199" max="8199" width="10.5703125" style="8" customWidth="1"/>
    <col min="8200" max="8200" width="8.85546875" style="8"/>
    <col min="8201" max="8201" width="10.7109375" style="8" bestFit="1" customWidth="1"/>
    <col min="8202" max="8452" width="8.85546875" style="8"/>
    <col min="8453" max="8453" width="9.85546875" style="8" customWidth="1"/>
    <col min="8454" max="8454" width="23.28515625" style="8" customWidth="1"/>
    <col min="8455" max="8455" width="10.5703125" style="8" customWidth="1"/>
    <col min="8456" max="8456" width="8.85546875" style="8"/>
    <col min="8457" max="8457" width="10.7109375" style="8" bestFit="1" customWidth="1"/>
    <col min="8458" max="8708" width="8.85546875" style="8"/>
    <col min="8709" max="8709" width="9.85546875" style="8" customWidth="1"/>
    <col min="8710" max="8710" width="23.28515625" style="8" customWidth="1"/>
    <col min="8711" max="8711" width="10.5703125" style="8" customWidth="1"/>
    <col min="8712" max="8712" width="8.85546875" style="8"/>
    <col min="8713" max="8713" width="10.7109375" style="8" bestFit="1" customWidth="1"/>
    <col min="8714" max="8964" width="8.85546875" style="8"/>
    <col min="8965" max="8965" width="9.85546875" style="8" customWidth="1"/>
    <col min="8966" max="8966" width="23.28515625" style="8" customWidth="1"/>
    <col min="8967" max="8967" width="10.5703125" style="8" customWidth="1"/>
    <col min="8968" max="8968" width="8.85546875" style="8"/>
    <col min="8969" max="8969" width="10.7109375" style="8" bestFit="1" customWidth="1"/>
    <col min="8970" max="9220" width="8.85546875" style="8"/>
    <col min="9221" max="9221" width="9.85546875" style="8" customWidth="1"/>
    <col min="9222" max="9222" width="23.28515625" style="8" customWidth="1"/>
    <col min="9223" max="9223" width="10.5703125" style="8" customWidth="1"/>
    <col min="9224" max="9224" width="8.85546875" style="8"/>
    <col min="9225" max="9225" width="10.7109375" style="8" bestFit="1" customWidth="1"/>
    <col min="9226" max="9476" width="8.85546875" style="8"/>
    <col min="9477" max="9477" width="9.85546875" style="8" customWidth="1"/>
    <col min="9478" max="9478" width="23.28515625" style="8" customWidth="1"/>
    <col min="9479" max="9479" width="10.5703125" style="8" customWidth="1"/>
    <col min="9480" max="9480" width="8.85546875" style="8"/>
    <col min="9481" max="9481" width="10.7109375" style="8" bestFit="1" customWidth="1"/>
    <col min="9482" max="9732" width="8.85546875" style="8"/>
    <col min="9733" max="9733" width="9.85546875" style="8" customWidth="1"/>
    <col min="9734" max="9734" width="23.28515625" style="8" customWidth="1"/>
    <col min="9735" max="9735" width="10.5703125" style="8" customWidth="1"/>
    <col min="9736" max="9736" width="8.85546875" style="8"/>
    <col min="9737" max="9737" width="10.7109375" style="8" bestFit="1" customWidth="1"/>
    <col min="9738" max="9988" width="8.85546875" style="8"/>
    <col min="9989" max="9989" width="9.85546875" style="8" customWidth="1"/>
    <col min="9990" max="9990" width="23.28515625" style="8" customWidth="1"/>
    <col min="9991" max="9991" width="10.5703125" style="8" customWidth="1"/>
    <col min="9992" max="9992" width="8.85546875" style="8"/>
    <col min="9993" max="9993" width="10.7109375" style="8" bestFit="1" customWidth="1"/>
    <col min="9994" max="10244" width="8.85546875" style="8"/>
    <col min="10245" max="10245" width="9.85546875" style="8" customWidth="1"/>
    <col min="10246" max="10246" width="23.28515625" style="8" customWidth="1"/>
    <col min="10247" max="10247" width="10.5703125" style="8" customWidth="1"/>
    <col min="10248" max="10248" width="8.85546875" style="8"/>
    <col min="10249" max="10249" width="10.7109375" style="8" bestFit="1" customWidth="1"/>
    <col min="10250" max="10500" width="8.85546875" style="8"/>
    <col min="10501" max="10501" width="9.85546875" style="8" customWidth="1"/>
    <col min="10502" max="10502" width="23.28515625" style="8" customWidth="1"/>
    <col min="10503" max="10503" width="10.5703125" style="8" customWidth="1"/>
    <col min="10504" max="10504" width="8.85546875" style="8"/>
    <col min="10505" max="10505" width="10.7109375" style="8" bestFit="1" customWidth="1"/>
    <col min="10506" max="10756" width="8.85546875" style="8"/>
    <col min="10757" max="10757" width="9.85546875" style="8" customWidth="1"/>
    <col min="10758" max="10758" width="23.28515625" style="8" customWidth="1"/>
    <col min="10759" max="10759" width="10.5703125" style="8" customWidth="1"/>
    <col min="10760" max="10760" width="8.85546875" style="8"/>
    <col min="10761" max="10761" width="10.7109375" style="8" bestFit="1" customWidth="1"/>
    <col min="10762" max="11012" width="8.85546875" style="8"/>
    <col min="11013" max="11013" width="9.85546875" style="8" customWidth="1"/>
    <col min="11014" max="11014" width="23.28515625" style="8" customWidth="1"/>
    <col min="11015" max="11015" width="10.5703125" style="8" customWidth="1"/>
    <col min="11016" max="11016" width="8.85546875" style="8"/>
    <col min="11017" max="11017" width="10.7109375" style="8" bestFit="1" customWidth="1"/>
    <col min="11018" max="11268" width="8.85546875" style="8"/>
    <col min="11269" max="11269" width="9.85546875" style="8" customWidth="1"/>
    <col min="11270" max="11270" width="23.28515625" style="8" customWidth="1"/>
    <col min="11271" max="11271" width="10.5703125" style="8" customWidth="1"/>
    <col min="11272" max="11272" width="8.85546875" style="8"/>
    <col min="11273" max="11273" width="10.7109375" style="8" bestFit="1" customWidth="1"/>
    <col min="11274" max="11524" width="8.85546875" style="8"/>
    <col min="11525" max="11525" width="9.85546875" style="8" customWidth="1"/>
    <col min="11526" max="11526" width="23.28515625" style="8" customWidth="1"/>
    <col min="11527" max="11527" width="10.5703125" style="8" customWidth="1"/>
    <col min="11528" max="11528" width="8.85546875" style="8"/>
    <col min="11529" max="11529" width="10.7109375" style="8" bestFit="1" customWidth="1"/>
    <col min="11530" max="11780" width="8.85546875" style="8"/>
    <col min="11781" max="11781" width="9.85546875" style="8" customWidth="1"/>
    <col min="11782" max="11782" width="23.28515625" style="8" customWidth="1"/>
    <col min="11783" max="11783" width="10.5703125" style="8" customWidth="1"/>
    <col min="11784" max="11784" width="8.85546875" style="8"/>
    <col min="11785" max="11785" width="10.7109375" style="8" bestFit="1" customWidth="1"/>
    <col min="11786" max="12036" width="8.85546875" style="8"/>
    <col min="12037" max="12037" width="9.85546875" style="8" customWidth="1"/>
    <col min="12038" max="12038" width="23.28515625" style="8" customWidth="1"/>
    <col min="12039" max="12039" width="10.5703125" style="8" customWidth="1"/>
    <col min="12040" max="12040" width="8.85546875" style="8"/>
    <col min="12041" max="12041" width="10.7109375" style="8" bestFit="1" customWidth="1"/>
    <col min="12042" max="12292" width="8.85546875" style="8"/>
    <col min="12293" max="12293" width="9.85546875" style="8" customWidth="1"/>
    <col min="12294" max="12294" width="23.28515625" style="8" customWidth="1"/>
    <col min="12295" max="12295" width="10.5703125" style="8" customWidth="1"/>
    <col min="12296" max="12296" width="8.85546875" style="8"/>
    <col min="12297" max="12297" width="10.7109375" style="8" bestFit="1" customWidth="1"/>
    <col min="12298" max="12548" width="8.85546875" style="8"/>
    <col min="12549" max="12549" width="9.85546875" style="8" customWidth="1"/>
    <col min="12550" max="12550" width="23.28515625" style="8" customWidth="1"/>
    <col min="12551" max="12551" width="10.5703125" style="8" customWidth="1"/>
    <col min="12552" max="12552" width="8.85546875" style="8"/>
    <col min="12553" max="12553" width="10.7109375" style="8" bestFit="1" customWidth="1"/>
    <col min="12554" max="12804" width="8.85546875" style="8"/>
    <col min="12805" max="12805" width="9.85546875" style="8" customWidth="1"/>
    <col min="12806" max="12806" width="23.28515625" style="8" customWidth="1"/>
    <col min="12807" max="12807" width="10.5703125" style="8" customWidth="1"/>
    <col min="12808" max="12808" width="8.85546875" style="8"/>
    <col min="12809" max="12809" width="10.7109375" style="8" bestFit="1" customWidth="1"/>
    <col min="12810" max="13060" width="8.85546875" style="8"/>
    <col min="13061" max="13061" width="9.85546875" style="8" customWidth="1"/>
    <col min="13062" max="13062" width="23.28515625" style="8" customWidth="1"/>
    <col min="13063" max="13063" width="10.5703125" style="8" customWidth="1"/>
    <col min="13064" max="13064" width="8.85546875" style="8"/>
    <col min="13065" max="13065" width="10.7109375" style="8" bestFit="1" customWidth="1"/>
    <col min="13066" max="13316" width="8.85546875" style="8"/>
    <col min="13317" max="13317" width="9.85546875" style="8" customWidth="1"/>
    <col min="13318" max="13318" width="23.28515625" style="8" customWidth="1"/>
    <col min="13319" max="13319" width="10.5703125" style="8" customWidth="1"/>
    <col min="13320" max="13320" width="8.85546875" style="8"/>
    <col min="13321" max="13321" width="10.7109375" style="8" bestFit="1" customWidth="1"/>
    <col min="13322" max="13572" width="8.85546875" style="8"/>
    <col min="13573" max="13573" width="9.85546875" style="8" customWidth="1"/>
    <col min="13574" max="13574" width="23.28515625" style="8" customWidth="1"/>
    <col min="13575" max="13575" width="10.5703125" style="8" customWidth="1"/>
    <col min="13576" max="13576" width="8.85546875" style="8"/>
    <col min="13577" max="13577" width="10.7109375" style="8" bestFit="1" customWidth="1"/>
    <col min="13578" max="13828" width="8.85546875" style="8"/>
    <col min="13829" max="13829" width="9.85546875" style="8" customWidth="1"/>
    <col min="13830" max="13830" width="23.28515625" style="8" customWidth="1"/>
    <col min="13831" max="13831" width="10.5703125" style="8" customWidth="1"/>
    <col min="13832" max="13832" width="8.85546875" style="8"/>
    <col min="13833" max="13833" width="10.7109375" style="8" bestFit="1" customWidth="1"/>
    <col min="13834" max="14084" width="8.85546875" style="8"/>
    <col min="14085" max="14085" width="9.85546875" style="8" customWidth="1"/>
    <col min="14086" max="14086" width="23.28515625" style="8" customWidth="1"/>
    <col min="14087" max="14087" width="10.5703125" style="8" customWidth="1"/>
    <col min="14088" max="14088" width="8.85546875" style="8"/>
    <col min="14089" max="14089" width="10.7109375" style="8" bestFit="1" customWidth="1"/>
    <col min="14090" max="14340" width="8.85546875" style="8"/>
    <col min="14341" max="14341" width="9.85546875" style="8" customWidth="1"/>
    <col min="14342" max="14342" width="23.28515625" style="8" customWidth="1"/>
    <col min="14343" max="14343" width="10.5703125" style="8" customWidth="1"/>
    <col min="14344" max="14344" width="8.85546875" style="8"/>
    <col min="14345" max="14345" width="10.7109375" style="8" bestFit="1" customWidth="1"/>
    <col min="14346" max="14596" width="8.85546875" style="8"/>
    <col min="14597" max="14597" width="9.85546875" style="8" customWidth="1"/>
    <col min="14598" max="14598" width="23.28515625" style="8" customWidth="1"/>
    <col min="14599" max="14599" width="10.5703125" style="8" customWidth="1"/>
    <col min="14600" max="14600" width="8.85546875" style="8"/>
    <col min="14601" max="14601" width="10.7109375" style="8" bestFit="1" customWidth="1"/>
    <col min="14602" max="14852" width="8.85546875" style="8"/>
    <col min="14853" max="14853" width="9.85546875" style="8" customWidth="1"/>
    <col min="14854" max="14854" width="23.28515625" style="8" customWidth="1"/>
    <col min="14855" max="14855" width="10.5703125" style="8" customWidth="1"/>
    <col min="14856" max="14856" width="8.85546875" style="8"/>
    <col min="14857" max="14857" width="10.7109375" style="8" bestFit="1" customWidth="1"/>
    <col min="14858" max="15108" width="8.85546875" style="8"/>
    <col min="15109" max="15109" width="9.85546875" style="8" customWidth="1"/>
    <col min="15110" max="15110" width="23.28515625" style="8" customWidth="1"/>
    <col min="15111" max="15111" width="10.5703125" style="8" customWidth="1"/>
    <col min="15112" max="15112" width="8.85546875" style="8"/>
    <col min="15113" max="15113" width="10.7109375" style="8" bestFit="1" customWidth="1"/>
    <col min="15114" max="15364" width="8.85546875" style="8"/>
    <col min="15365" max="15365" width="9.85546875" style="8" customWidth="1"/>
    <col min="15366" max="15366" width="23.28515625" style="8" customWidth="1"/>
    <col min="15367" max="15367" width="10.5703125" style="8" customWidth="1"/>
    <col min="15368" max="15368" width="8.85546875" style="8"/>
    <col min="15369" max="15369" width="10.7109375" style="8" bestFit="1" customWidth="1"/>
    <col min="15370" max="15620" width="8.85546875" style="8"/>
    <col min="15621" max="15621" width="9.85546875" style="8" customWidth="1"/>
    <col min="15622" max="15622" width="23.28515625" style="8" customWidth="1"/>
    <col min="15623" max="15623" width="10.5703125" style="8" customWidth="1"/>
    <col min="15624" max="15624" width="8.85546875" style="8"/>
    <col min="15625" max="15625" width="10.7109375" style="8" bestFit="1" customWidth="1"/>
    <col min="15626" max="15876" width="8.85546875" style="8"/>
    <col min="15877" max="15877" width="9.85546875" style="8" customWidth="1"/>
    <col min="15878" max="15878" width="23.28515625" style="8" customWidth="1"/>
    <col min="15879" max="15879" width="10.5703125" style="8" customWidth="1"/>
    <col min="15880" max="15880" width="8.85546875" style="8"/>
    <col min="15881" max="15881" width="10.7109375" style="8" bestFit="1" customWidth="1"/>
    <col min="15882" max="16132" width="8.85546875" style="8"/>
    <col min="16133" max="16133" width="9.85546875" style="8" customWidth="1"/>
    <col min="16134" max="16134" width="23.28515625" style="8" customWidth="1"/>
    <col min="16135" max="16135" width="10.5703125" style="8" customWidth="1"/>
    <col min="16136" max="16136" width="8.85546875" style="8"/>
    <col min="16137" max="16137" width="10.7109375" style="8" bestFit="1" customWidth="1"/>
    <col min="16138" max="16383" width="8.85546875" style="8"/>
    <col min="16384" max="16384" width="8.85546875" style="8" customWidth="1"/>
  </cols>
  <sheetData>
    <row r="1" spans="2:54" ht="15.75" x14ac:dyDescent="0.25">
      <c r="C1" s="8" t="s">
        <v>38</v>
      </c>
      <c r="D1" s="8" t="s">
        <v>39</v>
      </c>
      <c r="E1" s="8" t="s">
        <v>40</v>
      </c>
      <c r="F1" s="10" t="s">
        <v>2125</v>
      </c>
      <c r="G1" s="10" t="s">
        <v>1</v>
      </c>
      <c r="H1" s="10" t="s">
        <v>42</v>
      </c>
      <c r="I1" s="1" t="s">
        <v>42</v>
      </c>
      <c r="K1" s="8">
        <v>16</v>
      </c>
      <c r="L1" s="8">
        <v>2.9047474861100002</v>
      </c>
      <c r="M1" s="8">
        <v>26.185667037999998</v>
      </c>
      <c r="N1" s="1" t="s">
        <v>4</v>
      </c>
      <c r="O1" s="1" t="s">
        <v>5</v>
      </c>
      <c r="P1" s="1"/>
      <c r="Q1" s="1"/>
      <c r="U1" s="1">
        <v>1001</v>
      </c>
      <c r="V1" s="1">
        <v>692.70361300000002</v>
      </c>
      <c r="W1" s="8">
        <v>1001</v>
      </c>
      <c r="X1" s="8">
        <v>1001</v>
      </c>
      <c r="Y1" s="8">
        <v>657.66467299999999</v>
      </c>
      <c r="Z1" s="8">
        <v>689.63879399999996</v>
      </c>
      <c r="AA1" s="8">
        <v>1001</v>
      </c>
      <c r="AB1" s="8">
        <v>575.16876200000002</v>
      </c>
      <c r="AD1" s="8">
        <v>576.69970699999999</v>
      </c>
      <c r="AF1" s="8">
        <v>1001</v>
      </c>
      <c r="AG1" s="8">
        <v>657.66467299999999</v>
      </c>
      <c r="AH1" s="8">
        <f>AA1-AF1</f>
        <v>0</v>
      </c>
      <c r="AK1" s="1">
        <v>1001</v>
      </c>
      <c r="AL1" s="1">
        <v>692.70361300000002</v>
      </c>
      <c r="AM1" s="8">
        <v>759.05255099999999</v>
      </c>
    </row>
    <row r="2" spans="2:54" ht="12.75" customHeight="1" x14ac:dyDescent="0.25">
      <c r="B2" s="8">
        <v>1001</v>
      </c>
      <c r="C2" s="8" t="s">
        <v>43</v>
      </c>
      <c r="D2" s="8">
        <v>1001</v>
      </c>
      <c r="E2" s="8" t="s">
        <v>44</v>
      </c>
      <c r="F2" s="8" t="str">
        <f t="shared" ref="F2:F65" si="0">MID(C2,1,2)</f>
        <v>MK</v>
      </c>
      <c r="G2" s="2">
        <v>898.4</v>
      </c>
      <c r="H2" s="2">
        <f>SUMIF(RouteID_Conversion!$P$2:$P$745,MD_BoardingByRoute!D2,RouteID_Conversion!$Q$2:$Q$745)</f>
        <v>1113.4211425781223</v>
      </c>
      <c r="I2" s="2"/>
      <c r="K2" s="8">
        <v>17</v>
      </c>
      <c r="L2" s="8">
        <v>2.83614253998</v>
      </c>
      <c r="M2" s="8">
        <v>16.923297882100002</v>
      </c>
      <c r="N2" s="2">
        <v>150.69999999999999</v>
      </c>
      <c r="O2" s="2">
        <v>2502.6</v>
      </c>
      <c r="P2" s="1"/>
      <c r="Q2" s="1"/>
      <c r="U2" s="1">
        <v>1002</v>
      </c>
      <c r="V2" s="1">
        <v>1405.9418949999999</v>
      </c>
      <c r="W2" s="8">
        <v>1002</v>
      </c>
      <c r="X2" s="8">
        <v>1002</v>
      </c>
      <c r="Y2" s="8">
        <v>1030.362061</v>
      </c>
      <c r="Z2" s="8">
        <v>1055.148193</v>
      </c>
      <c r="AA2" s="8">
        <v>1002</v>
      </c>
      <c r="AB2" s="8">
        <v>909.94219999999996</v>
      </c>
      <c r="AD2" s="8">
        <v>911.77246100000002</v>
      </c>
      <c r="AF2" s="8">
        <v>1002</v>
      </c>
      <c r="AG2" s="8">
        <v>1030.362061</v>
      </c>
      <c r="AH2" s="8">
        <f>AA2-AF2</f>
        <v>0</v>
      </c>
      <c r="AK2" s="1">
        <v>1002</v>
      </c>
      <c r="AL2" s="1">
        <v>1405.9418949999999</v>
      </c>
      <c r="AM2" s="8">
        <v>1605.522217</v>
      </c>
      <c r="AW2" s="76">
        <v>2010</v>
      </c>
      <c r="AX2" s="76"/>
      <c r="AY2" s="76"/>
      <c r="AZ2" s="76"/>
      <c r="BA2" s="76"/>
      <c r="BB2" s="76"/>
    </row>
    <row r="3" spans="2:54" ht="45" hidden="1" x14ac:dyDescent="0.25">
      <c r="B3" s="8">
        <v>1002</v>
      </c>
      <c r="C3" s="8" t="s">
        <v>45</v>
      </c>
      <c r="D3" s="8">
        <v>1002</v>
      </c>
      <c r="E3" s="8" t="s">
        <v>46</v>
      </c>
      <c r="F3" s="8" t="str">
        <f t="shared" si="0"/>
        <v>MK</v>
      </c>
      <c r="G3" s="2">
        <v>2034.6</v>
      </c>
      <c r="H3" s="2">
        <f>SUMIF(RouteID_Conversion!$P$2:$P$745,MD_BoardingByRoute!D3,RouteID_Conversion!$Q$2:$Q$745)</f>
        <v>2181.5688514709436</v>
      </c>
      <c r="I3" s="2"/>
      <c r="K3" s="8">
        <v>18</v>
      </c>
      <c r="L3" s="8">
        <v>13.8319864273</v>
      </c>
      <c r="M3" s="8">
        <v>21.8987731934</v>
      </c>
      <c r="N3" s="2">
        <v>241.4</v>
      </c>
      <c r="O3" s="2">
        <v>6135.2</v>
      </c>
      <c r="P3" s="1"/>
      <c r="Q3" s="1"/>
      <c r="U3" s="1">
        <v>1003</v>
      </c>
      <c r="V3" s="1">
        <v>1132.2592770000001</v>
      </c>
      <c r="W3" s="8">
        <v>1003</v>
      </c>
      <c r="X3" s="8">
        <v>1003</v>
      </c>
      <c r="Y3" s="8">
        <v>1355.5611570000001</v>
      </c>
      <c r="Z3" s="8">
        <v>1576.200439</v>
      </c>
      <c r="AA3" s="8">
        <v>1003</v>
      </c>
      <c r="AB3" s="8">
        <v>1436.692139</v>
      </c>
      <c r="AD3" s="8">
        <v>1438.364624</v>
      </c>
      <c r="AF3" s="8">
        <v>1003</v>
      </c>
      <c r="AG3" s="8">
        <v>1355.5611570000001</v>
      </c>
      <c r="AH3" s="8">
        <f>AA3-AF3</f>
        <v>0</v>
      </c>
      <c r="AK3" s="1">
        <v>1003</v>
      </c>
      <c r="AL3" s="1">
        <v>1132.2592770000001</v>
      </c>
      <c r="AM3" s="8">
        <v>1496.6876219999999</v>
      </c>
      <c r="AW3" s="38" t="s">
        <v>35</v>
      </c>
      <c r="AX3" s="39" t="s">
        <v>2134</v>
      </c>
      <c r="AY3" s="11" t="s">
        <v>41</v>
      </c>
      <c r="AZ3" s="11" t="s">
        <v>36</v>
      </c>
      <c r="BA3" s="40" t="s">
        <v>1838</v>
      </c>
      <c r="BB3" s="11" t="s">
        <v>34</v>
      </c>
    </row>
    <row r="4" spans="2:54" ht="30" x14ac:dyDescent="0.25">
      <c r="B4" s="8">
        <v>1003</v>
      </c>
      <c r="C4" s="8" t="s">
        <v>47</v>
      </c>
      <c r="D4" s="8">
        <v>1003</v>
      </c>
      <c r="E4" s="8" t="s">
        <v>48</v>
      </c>
      <c r="F4" s="8" t="str">
        <f t="shared" si="0"/>
        <v>MK</v>
      </c>
      <c r="G4" s="2">
        <v>3356</v>
      </c>
      <c r="H4" s="2">
        <f>SUMIF(RouteID_Conversion!$P$2:$P$745,MD_BoardingByRoute!D4,RouteID_Conversion!$Q$2:$Q$745)</f>
        <v>1933.5012326240503</v>
      </c>
      <c r="I4" s="2"/>
      <c r="K4" s="8">
        <v>19</v>
      </c>
      <c r="L4" s="8">
        <v>3.7278752327000002</v>
      </c>
      <c r="M4" s="8">
        <v>27.804527282700001</v>
      </c>
      <c r="N4" s="2">
        <v>142.9</v>
      </c>
      <c r="O4" s="2">
        <v>7182.9</v>
      </c>
      <c r="P4" s="1"/>
      <c r="Q4" s="1"/>
      <c r="U4" s="1">
        <v>1004</v>
      </c>
      <c r="V4" s="1">
        <v>1036.58374</v>
      </c>
      <c r="W4" s="8">
        <v>1004</v>
      </c>
      <c r="X4" s="8">
        <v>1004</v>
      </c>
      <c r="Y4" s="8">
        <v>794.597351</v>
      </c>
      <c r="Z4" s="8">
        <v>884.83947799999999</v>
      </c>
      <c r="AA4" s="8">
        <v>1004</v>
      </c>
      <c r="AB4" s="8">
        <v>766.22997999999995</v>
      </c>
      <c r="AD4" s="8">
        <v>767.13958700000001</v>
      </c>
      <c r="AF4" s="8">
        <v>1004</v>
      </c>
      <c r="AG4" s="8">
        <v>794.597351</v>
      </c>
      <c r="AH4" s="8">
        <f>AA4-AF4</f>
        <v>0</v>
      </c>
      <c r="AK4" s="1">
        <v>1004</v>
      </c>
      <c r="AL4" s="1">
        <v>1036.58374</v>
      </c>
      <c r="AM4" s="8">
        <v>1331.823486</v>
      </c>
      <c r="AW4" s="38" t="s">
        <v>2169</v>
      </c>
      <c r="AX4" s="39" t="s">
        <v>2125</v>
      </c>
      <c r="AY4" s="11" t="s">
        <v>2170</v>
      </c>
      <c r="AZ4" s="11" t="s">
        <v>2168</v>
      </c>
      <c r="BA4" s="40" t="s">
        <v>1838</v>
      </c>
      <c r="BB4" s="11"/>
    </row>
    <row r="5" spans="2:54" ht="15.75" x14ac:dyDescent="0.25">
      <c r="B5" s="8">
        <v>1004</v>
      </c>
      <c r="C5" s="8" t="s">
        <v>49</v>
      </c>
      <c r="D5" s="8">
        <v>1004</v>
      </c>
      <c r="E5" s="8" t="s">
        <v>50</v>
      </c>
      <c r="F5" s="8" t="str">
        <f t="shared" si="0"/>
        <v>MK</v>
      </c>
      <c r="G5" s="2">
        <v>1889.5</v>
      </c>
      <c r="H5" s="2">
        <f>SUMIF(RouteID_Conversion!$P$2:$P$745,MD_BoardingByRoute!D5,RouteID_Conversion!$Q$2:$Q$745)</f>
        <v>1401.2220420837382</v>
      </c>
      <c r="I5" s="2"/>
      <c r="K5" s="8">
        <v>20</v>
      </c>
      <c r="L5" s="8">
        <v>3.6374847888900002</v>
      </c>
      <c r="M5" s="8">
        <v>19.970876693699999</v>
      </c>
      <c r="N5" s="2">
        <v>267.2</v>
      </c>
      <c r="O5" s="2">
        <v>5455.8</v>
      </c>
      <c r="P5" s="1"/>
      <c r="Q5" s="1"/>
      <c r="U5" s="1">
        <v>1005</v>
      </c>
      <c r="V5" s="1">
        <v>2129.8583979999999</v>
      </c>
      <c r="W5" s="8">
        <v>1005</v>
      </c>
      <c r="X5" s="8">
        <v>1005</v>
      </c>
      <c r="Y5" s="8">
        <v>2161.0888669999999</v>
      </c>
      <c r="Z5" s="8">
        <v>2294.1984859999998</v>
      </c>
      <c r="AA5" s="8">
        <v>1005</v>
      </c>
      <c r="AB5" s="8">
        <v>1967.764038</v>
      </c>
      <c r="AD5" s="8">
        <v>1970.7344969999999</v>
      </c>
      <c r="AF5" s="8">
        <v>1005</v>
      </c>
      <c r="AG5" s="8">
        <v>2161.0888669999999</v>
      </c>
      <c r="AH5" s="8">
        <f>AA5-AF5</f>
        <v>0</v>
      </c>
      <c r="AK5" s="1">
        <v>1005</v>
      </c>
      <c r="AL5" s="1">
        <v>2129.8583979999999</v>
      </c>
      <c r="AM5" s="8">
        <v>2516.2954100000002</v>
      </c>
      <c r="AW5" s="41" t="s">
        <v>8</v>
      </c>
      <c r="AX5" s="42" t="s">
        <v>2130</v>
      </c>
      <c r="AY5" s="43">
        <f t="shared" ref="AY5:AY13" si="1">SUMIF($F$3:$F$426,AX5,$H$3:$H$426)</f>
        <v>2023.9577468335599</v>
      </c>
      <c r="AZ5" s="43">
        <f>SUMIF($F$2:$F$426,AX5,$G$2:$G$426)</f>
        <v>3289.409090909091</v>
      </c>
      <c r="BA5" s="44">
        <f>AY5-AZ5</f>
        <v>-1265.4513440755311</v>
      </c>
      <c r="BB5" s="45">
        <f>IF(AND(AY5&gt;0,AZ5&gt;0),BA5/AZ5,"N/A")</f>
        <v>-0.38470476280157645</v>
      </c>
    </row>
    <row r="6" spans="2:54" ht="15.75" x14ac:dyDescent="0.25">
      <c r="B6" s="8">
        <v>1005</v>
      </c>
      <c r="C6" s="8" t="s">
        <v>51</v>
      </c>
      <c r="D6" s="8">
        <v>1005</v>
      </c>
      <c r="E6" s="8" t="s">
        <v>52</v>
      </c>
      <c r="F6" s="8" t="str">
        <f t="shared" si="0"/>
        <v>MK</v>
      </c>
      <c r="G6" s="2">
        <v>2293.6999999999998</v>
      </c>
      <c r="H6" s="2">
        <f>SUMIF(RouteID_Conversion!$P$2:$P$745,MD_BoardingByRoute!D6,RouteID_Conversion!$Q$2:$Q$745)</f>
        <v>4486.7030181884693</v>
      </c>
      <c r="I6" s="2"/>
      <c r="K6" s="8">
        <v>21</v>
      </c>
      <c r="L6" s="8">
        <v>29.761238098100002</v>
      </c>
      <c r="M6" s="8">
        <v>19.723428726200002</v>
      </c>
      <c r="N6" s="2">
        <v>337.7</v>
      </c>
      <c r="O6" s="2">
        <v>6626.8</v>
      </c>
      <c r="P6" s="1"/>
      <c r="Q6" s="1"/>
      <c r="U6" s="1">
        <v>1007</v>
      </c>
      <c r="V6" s="1">
        <v>2006.997192</v>
      </c>
      <c r="W6" s="8">
        <v>1007</v>
      </c>
      <c r="X6" s="8">
        <v>1007</v>
      </c>
      <c r="Y6" s="8">
        <v>2098.6484380000002</v>
      </c>
      <c r="Z6" s="8">
        <v>2234.6979980000001</v>
      </c>
      <c r="AA6" s="8">
        <v>1007</v>
      </c>
      <c r="AB6" s="8">
        <v>1915.020996</v>
      </c>
      <c r="AD6" s="8">
        <v>1919.1103519999999</v>
      </c>
      <c r="AF6" s="8">
        <v>1007</v>
      </c>
      <c r="AG6" s="8">
        <v>2098.6484380000002</v>
      </c>
      <c r="AH6" s="8">
        <f t="shared" ref="AH6:AH58" si="2">AA6-AF6</f>
        <v>0</v>
      </c>
      <c r="AK6" s="1">
        <v>1007</v>
      </c>
      <c r="AL6" s="1">
        <v>2006.997192</v>
      </c>
      <c r="AM6" s="8">
        <v>2311.5910640000002</v>
      </c>
      <c r="AW6" s="41" t="s">
        <v>9</v>
      </c>
      <c r="AX6" s="42" t="s">
        <v>2129</v>
      </c>
      <c r="AY6" s="43">
        <f t="shared" si="1"/>
        <v>1959.9356473684279</v>
      </c>
      <c r="AZ6" s="43">
        <f t="shared" ref="AZ6:AZ13" si="3">SUMIF($F$2:$F$426,AX6,$G$2:$G$426)</f>
        <v>3941.1000000000004</v>
      </c>
      <c r="BA6" s="44">
        <f t="shared" ref="BA6:BA15" si="4">AY6-AZ6</f>
        <v>-1981.1643526315725</v>
      </c>
      <c r="BB6" s="45">
        <f t="shared" ref="BB6:BB13" si="5">IF(AND(AY6&gt;0,AZ6&gt;0),BA6/AZ6,"N/A")</f>
        <v>-0.50269324620831046</v>
      </c>
    </row>
    <row r="7" spans="2:54" ht="15.75" x14ac:dyDescent="0.25">
      <c r="B7" s="8">
        <v>1007</v>
      </c>
      <c r="C7" s="8" t="s">
        <v>53</v>
      </c>
      <c r="D7" s="8">
        <v>1007</v>
      </c>
      <c r="E7" s="8" t="s">
        <v>54</v>
      </c>
      <c r="F7" s="8" t="str">
        <f t="shared" si="0"/>
        <v>MK</v>
      </c>
      <c r="G7" s="2">
        <v>5401.5000000000082</v>
      </c>
      <c r="H7" s="2">
        <f>SUMIF(RouteID_Conversion!$P$2:$P$745,MD_BoardingByRoute!D7,RouteID_Conversion!$Q$2:$Q$745)</f>
        <v>3696.0655846595696</v>
      </c>
      <c r="I7" s="2"/>
      <c r="K7" s="8">
        <v>22</v>
      </c>
      <c r="L7" s="8">
        <v>15.2342090607</v>
      </c>
      <c r="M7" s="8">
        <v>21.679283142100001</v>
      </c>
      <c r="N7" s="2">
        <v>665.3</v>
      </c>
      <c r="O7" s="2">
        <v>12845.2</v>
      </c>
      <c r="P7" s="1"/>
      <c r="Q7" s="1"/>
      <c r="U7" s="1">
        <v>1008</v>
      </c>
      <c r="V7" s="1">
        <v>1019.248169</v>
      </c>
      <c r="W7" s="8">
        <v>1008</v>
      </c>
      <c r="X7" s="8">
        <v>1008</v>
      </c>
      <c r="Y7" s="8">
        <v>1349.4998780000001</v>
      </c>
      <c r="Z7" s="8">
        <v>1409.905029</v>
      </c>
      <c r="AA7" s="8">
        <v>1008</v>
      </c>
      <c r="AB7" s="8">
        <v>1260.5485839999999</v>
      </c>
      <c r="AD7" s="8">
        <v>1263.7905270000001</v>
      </c>
      <c r="AF7" s="8">
        <v>1008</v>
      </c>
      <c r="AG7" s="8">
        <v>1349.4998780000001</v>
      </c>
      <c r="AH7" s="8">
        <f t="shared" si="2"/>
        <v>0</v>
      </c>
      <c r="AK7" s="1">
        <v>1008</v>
      </c>
      <c r="AL7" s="1">
        <v>1019.248169</v>
      </c>
      <c r="AM7" s="8">
        <v>1221.9796140000001</v>
      </c>
      <c r="AW7" s="41" t="s">
        <v>10</v>
      </c>
      <c r="AX7" s="42" t="s">
        <v>2128</v>
      </c>
      <c r="AY7" s="43">
        <f t="shared" si="1"/>
        <v>10019.357395857558</v>
      </c>
      <c r="AZ7" s="43">
        <f t="shared" si="3"/>
        <v>9462.0568927956901</v>
      </c>
      <c r="BA7" s="44">
        <f t="shared" si="4"/>
        <v>557.30050306186786</v>
      </c>
      <c r="BB7" s="45">
        <f t="shared" si="5"/>
        <v>5.8898451930276444E-2</v>
      </c>
    </row>
    <row r="8" spans="2:54" ht="15.75" x14ac:dyDescent="0.25">
      <c r="B8" s="8">
        <v>1008</v>
      </c>
      <c r="C8" s="8" t="s">
        <v>55</v>
      </c>
      <c r="D8" s="8">
        <v>1008</v>
      </c>
      <c r="E8" s="8" t="s">
        <v>56</v>
      </c>
      <c r="F8" s="8" t="str">
        <f t="shared" si="0"/>
        <v>MK</v>
      </c>
      <c r="G8" s="2">
        <v>2611.8000000000002</v>
      </c>
      <c r="H8" s="2">
        <f>SUMIF(RouteID_Conversion!$P$2:$P$745,MD_BoardingByRoute!D8,RouteID_Conversion!$Q$2:$Q$745)</f>
        <v>3228.6315155029229</v>
      </c>
      <c r="I8" s="2"/>
      <c r="K8" s="8">
        <v>23</v>
      </c>
      <c r="L8" s="8">
        <v>27.564367294299998</v>
      </c>
      <c r="M8" s="8">
        <v>26.1309528351</v>
      </c>
      <c r="N8" s="2">
        <v>339.9</v>
      </c>
      <c r="O8" s="2">
        <v>7400.5</v>
      </c>
      <c r="P8" s="1"/>
      <c r="Q8" s="1"/>
      <c r="U8" s="1">
        <v>1009</v>
      </c>
      <c r="V8" s="1">
        <v>885.15643299999999</v>
      </c>
      <c r="W8" s="8">
        <v>1009</v>
      </c>
      <c r="X8" s="8">
        <v>1009</v>
      </c>
      <c r="Y8" s="8">
        <v>465.27706899999998</v>
      </c>
      <c r="Z8" s="8">
        <v>525.87182600000006</v>
      </c>
      <c r="AA8" s="8">
        <v>1009</v>
      </c>
      <c r="AB8" s="8">
        <v>444.31414799999999</v>
      </c>
      <c r="AD8" s="8">
        <v>444.68795799999998</v>
      </c>
      <c r="AF8" s="8">
        <v>1009</v>
      </c>
      <c r="AG8" s="8">
        <v>465.27706899999998</v>
      </c>
      <c r="AH8" s="8">
        <f t="shared" si="2"/>
        <v>0</v>
      </c>
      <c r="AK8" s="1">
        <v>1009</v>
      </c>
      <c r="AL8" s="1">
        <v>885.15643299999999</v>
      </c>
      <c r="AM8" s="8">
        <v>1050.66272</v>
      </c>
      <c r="AW8" s="41" t="s">
        <v>11</v>
      </c>
      <c r="AX8" s="42" t="s">
        <v>2127</v>
      </c>
      <c r="AY8" s="43">
        <f t="shared" si="1"/>
        <v>16363.060641732049</v>
      </c>
      <c r="AZ8" s="43">
        <f t="shared" si="3"/>
        <v>20595.332082672743</v>
      </c>
      <c r="BA8" s="44">
        <f t="shared" si="4"/>
        <v>-4232.2714409406944</v>
      </c>
      <c r="BB8" s="45">
        <f>IF(AND(AY8&gt;0,AZ8&gt;0),BA8/AZ8,"N/A")</f>
        <v>-0.20549663506039736</v>
      </c>
    </row>
    <row r="9" spans="2:54" ht="15.75" x14ac:dyDescent="0.25">
      <c r="B9" s="8">
        <v>1009</v>
      </c>
      <c r="C9" s="8" t="s">
        <v>57</v>
      </c>
      <c r="D9" s="8">
        <v>1009</v>
      </c>
      <c r="E9" s="8" t="s">
        <v>58</v>
      </c>
      <c r="F9" s="8" t="str">
        <f t="shared" si="0"/>
        <v>MK</v>
      </c>
      <c r="G9" s="2">
        <v>882.80000000000052</v>
      </c>
      <c r="H9" s="2">
        <f>SUMIF(RouteID_Conversion!$P$2:$P$745,MD_BoardingByRoute!D9,RouteID_Conversion!$Q$2:$Q$745)</f>
        <v>637.44160079955941</v>
      </c>
      <c r="I9" s="2"/>
      <c r="K9" s="8">
        <v>24</v>
      </c>
      <c r="L9" s="8">
        <v>7.4567909240699999</v>
      </c>
      <c r="M9" s="8">
        <v>32.305839538599997</v>
      </c>
      <c r="N9" s="2">
        <v>14.4</v>
      </c>
      <c r="O9" s="2">
        <v>2090.1999999999998</v>
      </c>
      <c r="P9" s="1"/>
      <c r="Q9" s="1"/>
      <c r="U9" s="1">
        <v>1010</v>
      </c>
      <c r="V9" s="1">
        <v>641.26446499999997</v>
      </c>
      <c r="W9" s="8">
        <v>1010</v>
      </c>
      <c r="X9" s="8">
        <v>1010</v>
      </c>
      <c r="Y9" s="8">
        <v>690.58380099999999</v>
      </c>
      <c r="Z9" s="8">
        <v>678.97851600000001</v>
      </c>
      <c r="AA9" s="8">
        <v>1010</v>
      </c>
      <c r="AB9" s="8">
        <v>624.18139599999995</v>
      </c>
      <c r="AD9" s="8">
        <v>625.84393299999999</v>
      </c>
      <c r="AF9" s="8">
        <v>1010</v>
      </c>
      <c r="AG9" s="8">
        <v>690.58380099999999</v>
      </c>
      <c r="AH9" s="8">
        <f t="shared" si="2"/>
        <v>0</v>
      </c>
      <c r="AK9" s="1">
        <v>1010</v>
      </c>
      <c r="AL9" s="1">
        <v>641.26446499999997</v>
      </c>
      <c r="AM9" s="8">
        <v>728.84960899999999</v>
      </c>
      <c r="AW9" s="41" t="s">
        <v>12</v>
      </c>
      <c r="AX9" s="42" t="s">
        <v>2126</v>
      </c>
      <c r="AY9" s="43">
        <f t="shared" si="1"/>
        <v>140440.98109471789</v>
      </c>
      <c r="AZ9" s="43">
        <f t="shared" si="3"/>
        <v>122779.64398688845</v>
      </c>
      <c r="BA9" s="44">
        <f t="shared" si="4"/>
        <v>17661.337107829444</v>
      </c>
      <c r="BB9" s="45">
        <f t="shared" si="5"/>
        <v>0.14384580810248551</v>
      </c>
    </row>
    <row r="10" spans="2:54" ht="15.75" x14ac:dyDescent="0.25">
      <c r="B10" s="8">
        <v>1010</v>
      </c>
      <c r="C10" s="8" t="s">
        <v>59</v>
      </c>
      <c r="D10" s="8">
        <v>1010</v>
      </c>
      <c r="E10" s="8" t="s">
        <v>60</v>
      </c>
      <c r="F10" s="8" t="str">
        <f t="shared" si="0"/>
        <v>MK</v>
      </c>
      <c r="G10" s="2">
        <v>1367.6</v>
      </c>
      <c r="H10" s="2">
        <f>SUMIF(RouteID_Conversion!$P$2:$P$745,MD_BoardingByRoute!D10,RouteID_Conversion!$Q$2:$Q$745)</f>
        <v>1706.5335388183571</v>
      </c>
      <c r="I10" s="2"/>
      <c r="K10" s="8">
        <v>25</v>
      </c>
      <c r="L10" s="8">
        <v>3.7283954620399999</v>
      </c>
      <c r="M10" s="8">
        <v>33.8251495361</v>
      </c>
      <c r="N10" s="2">
        <v>145.9</v>
      </c>
      <c r="O10" s="2">
        <v>3848.2</v>
      </c>
      <c r="P10" s="1"/>
      <c r="Q10" s="1"/>
      <c r="U10" s="1">
        <v>1011</v>
      </c>
      <c r="V10" s="1">
        <v>941.76355000000001</v>
      </c>
      <c r="W10" s="8">
        <v>1011</v>
      </c>
      <c r="X10" s="8">
        <v>1011</v>
      </c>
      <c r="Y10" s="8">
        <v>628.63891599999999</v>
      </c>
      <c r="Z10" s="8">
        <v>647.66180399999996</v>
      </c>
      <c r="AA10" s="8">
        <v>1011</v>
      </c>
      <c r="AB10" s="8">
        <v>581.10180700000001</v>
      </c>
      <c r="AD10" s="8">
        <v>582.19610599999999</v>
      </c>
      <c r="AF10" s="8">
        <v>1011</v>
      </c>
      <c r="AG10" s="8">
        <v>628.63891599999999</v>
      </c>
      <c r="AH10" s="8">
        <f t="shared" si="2"/>
        <v>0</v>
      </c>
      <c r="AK10" s="1">
        <v>1011</v>
      </c>
      <c r="AL10" s="1">
        <v>941.76355000000001</v>
      </c>
      <c r="AM10" s="8">
        <v>1139.448486</v>
      </c>
      <c r="AW10" s="41" t="s">
        <v>13</v>
      </c>
      <c r="AX10" s="42" t="s">
        <v>2131</v>
      </c>
      <c r="AY10" s="43">
        <f t="shared" si="1"/>
        <v>3404.628773421045</v>
      </c>
      <c r="AZ10" s="43">
        <f t="shared" si="3"/>
        <v>1444.7480819522536</v>
      </c>
      <c r="BA10" s="44">
        <f t="shared" si="4"/>
        <v>1959.8806914687914</v>
      </c>
      <c r="BB10" s="45">
        <f t="shared" si="5"/>
        <v>1.3565553164261352</v>
      </c>
    </row>
    <row r="11" spans="2:54" ht="15.75" x14ac:dyDescent="0.25">
      <c r="B11" s="8">
        <v>1011</v>
      </c>
      <c r="C11" s="8" t="s">
        <v>61</v>
      </c>
      <c r="D11" s="8">
        <v>1011</v>
      </c>
      <c r="E11" s="8" t="s">
        <v>62</v>
      </c>
      <c r="F11" s="8" t="str">
        <f t="shared" si="0"/>
        <v>MK</v>
      </c>
      <c r="G11" s="2">
        <v>959.1</v>
      </c>
      <c r="H11" s="2">
        <f>SUMIF(RouteID_Conversion!$P$2:$P$745,MD_BoardingByRoute!D11,RouteID_Conversion!$Q$2:$Q$745)</f>
        <v>1340.1250619888285</v>
      </c>
      <c r="I11" s="2"/>
      <c r="K11" s="8">
        <v>26</v>
      </c>
      <c r="L11" s="8">
        <v>7.9011178016699999</v>
      </c>
      <c r="M11" s="8">
        <v>27.8456192017</v>
      </c>
      <c r="N11" s="2">
        <v>142.5</v>
      </c>
      <c r="O11" s="2">
        <v>3042.1</v>
      </c>
      <c r="P11" s="1"/>
      <c r="Q11" s="1"/>
      <c r="U11" s="1">
        <v>1012</v>
      </c>
      <c r="V11" s="1">
        <v>1337.8160399999999</v>
      </c>
      <c r="W11" s="8">
        <v>1012</v>
      </c>
      <c r="X11" s="8">
        <v>1012</v>
      </c>
      <c r="Y11" s="8">
        <v>349.89794899999998</v>
      </c>
      <c r="Z11" s="8">
        <v>337.57373000000001</v>
      </c>
      <c r="AA11" s="8">
        <v>1012</v>
      </c>
      <c r="AB11" s="8">
        <v>271.72222900000003</v>
      </c>
      <c r="AD11" s="8">
        <v>272.557343</v>
      </c>
      <c r="AF11" s="8">
        <v>1012</v>
      </c>
      <c r="AG11" s="8">
        <v>349.89794899999998</v>
      </c>
      <c r="AH11" s="8">
        <f t="shared" si="2"/>
        <v>0</v>
      </c>
      <c r="AK11" s="1">
        <v>1012</v>
      </c>
      <c r="AL11" s="1">
        <v>1337.8160399999999</v>
      </c>
      <c r="AM11" s="8">
        <v>1411.471802</v>
      </c>
      <c r="AW11" s="41" t="s">
        <v>14</v>
      </c>
      <c r="AX11" s="42" t="s">
        <v>2167</v>
      </c>
      <c r="AY11" s="43" t="s">
        <v>2171</v>
      </c>
      <c r="AZ11" s="43" t="s">
        <v>2171</v>
      </c>
      <c r="BA11" s="43" t="s">
        <v>2171</v>
      </c>
      <c r="BB11" s="43" t="s">
        <v>2171</v>
      </c>
    </row>
    <row r="12" spans="2:54" ht="15.75" x14ac:dyDescent="0.25">
      <c r="B12" s="8">
        <v>1012</v>
      </c>
      <c r="C12" s="8" t="s">
        <v>63</v>
      </c>
      <c r="D12" s="8">
        <v>1012</v>
      </c>
      <c r="E12" s="8" t="s">
        <v>64</v>
      </c>
      <c r="F12" s="8" t="str">
        <f t="shared" si="0"/>
        <v>MK</v>
      </c>
      <c r="G12" s="2">
        <v>1617.3</v>
      </c>
      <c r="H12" s="2">
        <f>SUMIF(RouteID_Conversion!$P$2:$P$745,MD_BoardingByRoute!D12,RouteID_Conversion!$Q$2:$Q$745)</f>
        <v>231.88216757774327</v>
      </c>
      <c r="I12" s="2"/>
      <c r="K12" s="8">
        <v>27</v>
      </c>
      <c r="L12" s="8">
        <v>22.5440273285</v>
      </c>
      <c r="M12" s="8">
        <v>55.054298400900002</v>
      </c>
      <c r="N12" s="2">
        <v>62.9</v>
      </c>
      <c r="O12" s="2">
        <v>4807.3999999999996</v>
      </c>
      <c r="P12" s="1"/>
      <c r="Q12" s="1"/>
      <c r="U12" s="1">
        <v>1013</v>
      </c>
      <c r="V12" s="1">
        <v>881.98510699999997</v>
      </c>
      <c r="W12" s="8">
        <v>1013</v>
      </c>
      <c r="X12" s="8">
        <v>1013</v>
      </c>
      <c r="Y12" s="8">
        <v>547.02722200000005</v>
      </c>
      <c r="Z12" s="8">
        <v>580.24713099999997</v>
      </c>
      <c r="AA12" s="8">
        <v>1013</v>
      </c>
      <c r="AB12" s="8">
        <v>475.660889</v>
      </c>
      <c r="AD12" s="8">
        <v>476.78881799999999</v>
      </c>
      <c r="AF12" s="8">
        <v>1013</v>
      </c>
      <c r="AG12" s="8">
        <v>547.02722200000005</v>
      </c>
      <c r="AH12" s="8">
        <f t="shared" si="2"/>
        <v>0</v>
      </c>
      <c r="AK12" s="1">
        <v>1013</v>
      </c>
      <c r="AL12" s="1">
        <v>881.98510699999997</v>
      </c>
      <c r="AM12" s="8">
        <v>989.06311000000005</v>
      </c>
      <c r="AW12" s="41" t="s">
        <v>15</v>
      </c>
      <c r="AX12" s="42" t="s">
        <v>2132</v>
      </c>
      <c r="AY12" s="43">
        <f t="shared" si="1"/>
        <v>6265.9703063964816</v>
      </c>
      <c r="AZ12" s="43">
        <f t="shared" si="3"/>
        <v>8291.3160000000007</v>
      </c>
      <c r="BA12" s="44">
        <f t="shared" si="4"/>
        <v>-2025.3456936035191</v>
      </c>
      <c r="BB12" s="45">
        <f t="shared" si="5"/>
        <v>-0.24427312788506902</v>
      </c>
    </row>
    <row r="13" spans="2:54" ht="15.75" x14ac:dyDescent="0.25">
      <c r="B13" s="8">
        <v>1013</v>
      </c>
      <c r="C13" s="8" t="s">
        <v>65</v>
      </c>
      <c r="D13" s="8">
        <v>1013</v>
      </c>
      <c r="E13" s="8" t="s">
        <v>66</v>
      </c>
      <c r="F13" s="8" t="str">
        <f t="shared" si="0"/>
        <v>MK</v>
      </c>
      <c r="G13" s="2">
        <v>803.3</v>
      </c>
      <c r="H13" s="2">
        <f>SUMIF(RouteID_Conversion!$P$2:$P$745,MD_BoardingByRoute!D13,RouteID_Conversion!$Q$2:$Q$745)</f>
        <v>983.68852710723786</v>
      </c>
      <c r="I13" s="2"/>
      <c r="K13" s="8">
        <v>28</v>
      </c>
      <c r="L13" s="8">
        <v>89.808815002399996</v>
      </c>
      <c r="M13" s="8">
        <v>48.372734069800003</v>
      </c>
      <c r="N13" s="2">
        <v>110.7</v>
      </c>
      <c r="O13" s="2">
        <v>2804.1</v>
      </c>
      <c r="P13" s="1"/>
      <c r="Q13" s="1"/>
      <c r="U13" s="1">
        <v>1014</v>
      </c>
      <c r="V13" s="1">
        <v>722.49334699999997</v>
      </c>
      <c r="W13" s="8">
        <v>1014</v>
      </c>
      <c r="X13" s="8">
        <v>1014</v>
      </c>
      <c r="Y13" s="8">
        <v>416.78027300000002</v>
      </c>
      <c r="Z13" s="8">
        <v>459.74520899999999</v>
      </c>
      <c r="AA13" s="8">
        <v>1014</v>
      </c>
      <c r="AB13" s="8">
        <v>398.588165</v>
      </c>
      <c r="AD13" s="8">
        <v>398.77554300000003</v>
      </c>
      <c r="AF13" s="8">
        <v>1014</v>
      </c>
      <c r="AG13" s="8">
        <v>416.78027300000002</v>
      </c>
      <c r="AH13" s="8">
        <f t="shared" si="2"/>
        <v>0</v>
      </c>
      <c r="AK13" s="1">
        <v>1014</v>
      </c>
      <c r="AL13" s="1">
        <v>722.49334699999997</v>
      </c>
      <c r="AM13" s="8">
        <v>891.11346400000002</v>
      </c>
      <c r="AW13" s="41" t="s">
        <v>16</v>
      </c>
      <c r="AX13" s="42" t="s">
        <v>2133</v>
      </c>
      <c r="AY13" s="43">
        <f t="shared" si="1"/>
        <v>3.0237304717302318</v>
      </c>
      <c r="AZ13" s="43">
        <f t="shared" si="3"/>
        <v>2310</v>
      </c>
      <c r="BA13" s="44">
        <f t="shared" si="4"/>
        <v>-2306.9762695282698</v>
      </c>
      <c r="BB13" s="45">
        <f t="shared" si="5"/>
        <v>-0.99869102576981372</v>
      </c>
    </row>
    <row r="14" spans="2:54" ht="15.75" x14ac:dyDescent="0.25">
      <c r="B14" s="8">
        <v>1014</v>
      </c>
      <c r="C14" s="8" t="s">
        <v>67</v>
      </c>
      <c r="D14" s="8">
        <v>1014</v>
      </c>
      <c r="E14" s="8" t="s">
        <v>68</v>
      </c>
      <c r="F14" s="8" t="str">
        <f t="shared" si="0"/>
        <v>MK</v>
      </c>
      <c r="G14" s="2">
        <v>1456.8</v>
      </c>
      <c r="H14" s="2">
        <f>SUMIF(RouteID_Conversion!$P$2:$P$745,MD_BoardingByRoute!D14,RouteID_Conversion!$Q$2:$Q$745)</f>
        <v>759.86945676803441</v>
      </c>
      <c r="I14" s="2"/>
      <c r="K14" s="8">
        <v>29</v>
      </c>
      <c r="L14" s="8">
        <v>19.090560913099999</v>
      </c>
      <c r="M14" s="8">
        <v>57.889240264900003</v>
      </c>
      <c r="N14" s="2">
        <v>219.9</v>
      </c>
      <c r="O14" s="2">
        <v>4559.3</v>
      </c>
      <c r="P14" s="1"/>
      <c r="Q14" s="1"/>
      <c r="U14" s="1">
        <v>1015</v>
      </c>
      <c r="V14" s="1">
        <v>1214.543457</v>
      </c>
      <c r="W14" s="8">
        <v>1015</v>
      </c>
      <c r="X14" s="8">
        <v>1015</v>
      </c>
      <c r="Y14" s="8">
        <v>1111.930908</v>
      </c>
      <c r="Z14" s="8">
        <v>1158.5981449999999</v>
      </c>
      <c r="AA14" s="8">
        <v>1015</v>
      </c>
      <c r="AB14" s="8">
        <v>1015.702026</v>
      </c>
      <c r="AD14" s="8">
        <v>1014.732361</v>
      </c>
      <c r="AF14" s="8">
        <v>1015</v>
      </c>
      <c r="AG14" s="8">
        <v>1111.930908</v>
      </c>
      <c r="AH14" s="8">
        <f t="shared" si="2"/>
        <v>0</v>
      </c>
      <c r="AK14" s="1">
        <v>1015</v>
      </c>
      <c r="AL14" s="1">
        <v>1214.543457</v>
      </c>
      <c r="AM14" s="8">
        <v>1378.0268550000001</v>
      </c>
      <c r="AW14" s="41" t="s">
        <v>33</v>
      </c>
      <c r="AX14" s="42"/>
      <c r="AY14" s="43" t="s">
        <v>2171</v>
      </c>
      <c r="AZ14" s="43" t="s">
        <v>2171</v>
      </c>
      <c r="BA14" s="43" t="s">
        <v>2171</v>
      </c>
      <c r="BB14" s="43" t="s">
        <v>2171</v>
      </c>
    </row>
    <row r="15" spans="2:54" ht="15.75" x14ac:dyDescent="0.25">
      <c r="B15" s="8">
        <v>1015</v>
      </c>
      <c r="C15" s="8" t="s">
        <v>69</v>
      </c>
      <c r="D15" s="8">
        <v>1015</v>
      </c>
      <c r="E15" s="8" t="s">
        <v>70</v>
      </c>
      <c r="F15" s="8" t="str">
        <f t="shared" si="0"/>
        <v>MK</v>
      </c>
      <c r="G15" s="2">
        <v>1692</v>
      </c>
      <c r="H15" s="2">
        <f>SUMIF(RouteID_Conversion!$P$2:$P$745,MD_BoardingByRoute!D15,RouteID_Conversion!$Q$2:$Q$745)</f>
        <v>2406.473779678342</v>
      </c>
      <c r="I15" s="2"/>
      <c r="K15" s="8">
        <v>30</v>
      </c>
      <c r="L15" s="8">
        <v>75.994949340800005</v>
      </c>
      <c r="M15" s="8">
        <v>51.207675933799997</v>
      </c>
      <c r="N15" s="2">
        <v>304.7</v>
      </c>
      <c r="O15" s="2">
        <v>5727</v>
      </c>
      <c r="P15" s="1"/>
      <c r="Q15" s="1"/>
      <c r="U15" s="1">
        <v>1016</v>
      </c>
      <c r="V15" s="1">
        <v>969.22460899999999</v>
      </c>
      <c r="W15" s="8">
        <v>1016</v>
      </c>
      <c r="X15" s="8">
        <v>1016</v>
      </c>
      <c r="Y15" s="8">
        <v>1240.570068</v>
      </c>
      <c r="Z15" s="8">
        <v>1339.7910159999999</v>
      </c>
      <c r="AA15" s="8">
        <v>1016</v>
      </c>
      <c r="AB15" s="8">
        <v>1069.6475829999999</v>
      </c>
      <c r="AD15" s="8">
        <v>1070.300659</v>
      </c>
      <c r="AF15" s="8">
        <v>1016</v>
      </c>
      <c r="AG15" s="8">
        <v>1240.570068</v>
      </c>
      <c r="AH15" s="8">
        <f t="shared" si="2"/>
        <v>0</v>
      </c>
      <c r="AK15" s="1">
        <v>1016</v>
      </c>
      <c r="AL15" s="1">
        <v>969.22460899999999</v>
      </c>
      <c r="AM15" s="8">
        <v>1137.110962</v>
      </c>
      <c r="AW15" s="41" t="s">
        <v>5</v>
      </c>
      <c r="AX15" s="46"/>
      <c r="AY15" s="43">
        <f>SUM(AY6:AY14)</f>
        <v>178456.9575899652</v>
      </c>
      <c r="AZ15" s="43">
        <f>SUM(AZ5:AZ14)</f>
        <v>172113.6061352182</v>
      </c>
      <c r="BA15" s="44">
        <f t="shared" si="4"/>
        <v>6343.3514547469968</v>
      </c>
      <c r="BB15" s="45">
        <f>IF(AND(AY15&gt;0,AZ15&gt;0),BA15/AZ15,"N/A")</f>
        <v>3.6855607160792669E-2</v>
      </c>
    </row>
    <row r="16" spans="2:54" ht="15.75" x14ac:dyDescent="0.25">
      <c r="B16" s="8">
        <v>1016</v>
      </c>
      <c r="C16" s="8" t="s">
        <v>71</v>
      </c>
      <c r="D16" s="8">
        <v>1016</v>
      </c>
      <c r="E16" s="8" t="s">
        <v>72</v>
      </c>
      <c r="F16" s="8" t="str">
        <f t="shared" si="0"/>
        <v>MK</v>
      </c>
      <c r="G16" s="2">
        <v>1884.6</v>
      </c>
      <c r="H16" s="2">
        <f>SUMIF(RouteID_Conversion!$P$2:$P$745,MD_BoardingByRoute!D16,RouteID_Conversion!$Q$2:$Q$745)</f>
        <v>3046.9822826385453</v>
      </c>
      <c r="I16" s="2"/>
      <c r="K16" s="8">
        <v>31</v>
      </c>
      <c r="L16" s="8">
        <v>37.997474670400003</v>
      </c>
      <c r="M16" s="8">
        <v>51.207675933799997</v>
      </c>
      <c r="N16" s="2">
        <v>292</v>
      </c>
      <c r="O16" s="2">
        <v>4790.2</v>
      </c>
      <c r="P16" s="1"/>
      <c r="Q16" s="1"/>
      <c r="U16" s="1">
        <v>1017</v>
      </c>
      <c r="V16" s="1">
        <v>910.33801300000005</v>
      </c>
      <c r="W16" s="8">
        <v>1017</v>
      </c>
      <c r="X16" s="8">
        <v>1017</v>
      </c>
      <c r="Y16" s="8">
        <v>402.39437900000001</v>
      </c>
      <c r="Z16" s="8">
        <v>394.82696499999997</v>
      </c>
      <c r="AA16" s="8">
        <v>1017</v>
      </c>
      <c r="AB16" s="8">
        <v>326.263306</v>
      </c>
      <c r="AD16" s="8">
        <v>325.667419</v>
      </c>
      <c r="AF16" s="8">
        <v>1017</v>
      </c>
      <c r="AG16" s="8">
        <v>402.39437900000001</v>
      </c>
      <c r="AH16" s="8">
        <f t="shared" si="2"/>
        <v>0</v>
      </c>
      <c r="AK16" s="1">
        <v>1017</v>
      </c>
      <c r="AL16" s="1">
        <v>910.33801300000005</v>
      </c>
      <c r="AM16" s="8">
        <v>983.11419699999999</v>
      </c>
    </row>
    <row r="17" spans="2:39" ht="15.75" x14ac:dyDescent="0.25">
      <c r="B17" s="8">
        <v>1017</v>
      </c>
      <c r="C17" s="8" t="s">
        <v>73</v>
      </c>
      <c r="D17" s="8">
        <v>1017</v>
      </c>
      <c r="E17" s="8" t="s">
        <v>74</v>
      </c>
      <c r="F17" s="8" t="str">
        <f t="shared" si="0"/>
        <v>MK</v>
      </c>
      <c r="G17" s="2">
        <v>621.6</v>
      </c>
      <c r="H17" s="2">
        <f>SUMIF(RouteID_Conversion!$P$2:$P$745,MD_BoardingByRoute!D17,RouteID_Conversion!$Q$2:$Q$745)</f>
        <v>605.78169250488202</v>
      </c>
      <c r="I17" s="2"/>
      <c r="K17" s="8">
        <v>32</v>
      </c>
      <c r="L17" s="8">
        <v>15.447962760899999</v>
      </c>
      <c r="M17" s="8">
        <v>42.098533630399999</v>
      </c>
      <c r="N17" s="2">
        <v>92.2</v>
      </c>
      <c r="O17" s="2">
        <v>2686.3</v>
      </c>
      <c r="P17" s="1"/>
      <c r="Q17" s="1"/>
      <c r="U17" s="1">
        <v>1018</v>
      </c>
      <c r="V17" s="1">
        <v>908.53631600000006</v>
      </c>
      <c r="W17" s="8">
        <v>1018</v>
      </c>
      <c r="X17" s="8">
        <v>1018</v>
      </c>
      <c r="Y17" s="8">
        <v>947.62066700000003</v>
      </c>
      <c r="Z17" s="8">
        <v>982.78497300000004</v>
      </c>
      <c r="AA17" s="8">
        <v>1018</v>
      </c>
      <c r="AB17" s="8">
        <v>850.15295400000002</v>
      </c>
      <c r="AD17" s="8">
        <v>848.95220900000004</v>
      </c>
      <c r="AF17" s="8">
        <v>1018</v>
      </c>
      <c r="AG17" s="8">
        <v>947.62066700000003</v>
      </c>
      <c r="AH17" s="8">
        <f t="shared" si="2"/>
        <v>0</v>
      </c>
      <c r="AK17" s="1">
        <v>1018</v>
      </c>
      <c r="AL17" s="1">
        <v>908.53631600000006</v>
      </c>
      <c r="AM17" s="8">
        <v>1060.2626949999999</v>
      </c>
    </row>
    <row r="18" spans="2:39" ht="15.75" x14ac:dyDescent="0.25">
      <c r="B18" s="8">
        <v>1018</v>
      </c>
      <c r="C18" s="8" t="s">
        <v>75</v>
      </c>
      <c r="D18" s="8">
        <v>1018</v>
      </c>
      <c r="E18" s="8" t="s">
        <v>76</v>
      </c>
      <c r="F18" s="8" t="str">
        <f t="shared" si="0"/>
        <v>MK</v>
      </c>
      <c r="G18" s="2">
        <v>1349.1</v>
      </c>
      <c r="H18" s="2">
        <f>SUMIF(RouteID_Conversion!$P$2:$P$745,MD_BoardingByRoute!D18,RouteID_Conversion!$Q$2:$Q$745)</f>
        <v>1966.5882644653286</v>
      </c>
      <c r="I18" s="2"/>
      <c r="K18" s="8">
        <v>33</v>
      </c>
      <c r="L18" s="8">
        <v>44.214439392099997</v>
      </c>
      <c r="M18" s="8">
        <v>37.659645080600001</v>
      </c>
      <c r="N18" s="2">
        <v>224</v>
      </c>
      <c r="O18" s="2">
        <v>4349.8999999999996</v>
      </c>
      <c r="P18" s="1"/>
      <c r="Q18" s="1"/>
      <c r="U18" s="1">
        <v>1019</v>
      </c>
      <c r="V18" s="1">
        <v>123.284752</v>
      </c>
      <c r="W18" s="8">
        <v>1021</v>
      </c>
      <c r="X18" s="8">
        <v>1021</v>
      </c>
      <c r="Y18" s="8">
        <v>604.90594499999997</v>
      </c>
      <c r="Z18" s="8">
        <v>646.65527299999997</v>
      </c>
      <c r="AA18" s="8">
        <v>1021</v>
      </c>
      <c r="AB18" s="8">
        <v>509.770172</v>
      </c>
      <c r="AD18" s="8">
        <v>510.553314</v>
      </c>
      <c r="AF18" s="8">
        <v>1021</v>
      </c>
      <c r="AG18" s="8">
        <v>604.90594499999997</v>
      </c>
      <c r="AH18" s="8">
        <f t="shared" si="2"/>
        <v>0</v>
      </c>
      <c r="AK18" s="1">
        <v>1019</v>
      </c>
      <c r="AL18" s="1">
        <v>123.284752</v>
      </c>
      <c r="AM18" s="8">
        <v>150.58869899999999</v>
      </c>
    </row>
    <row r="19" spans="2:39" ht="15.75" x14ac:dyDescent="0.25">
      <c r="B19" s="8">
        <v>1021</v>
      </c>
      <c r="C19" s="8" t="s">
        <v>79</v>
      </c>
      <c r="D19" s="8">
        <v>1021</v>
      </c>
      <c r="E19" s="8" t="s">
        <v>80</v>
      </c>
      <c r="F19" s="8" t="str">
        <f t="shared" si="0"/>
        <v>MK</v>
      </c>
      <c r="G19" s="2">
        <v>853.7</v>
      </c>
      <c r="H19" s="2">
        <f>SUMIF(RouteID_Conversion!$P$2:$P$745,MD_BoardingByRoute!D19,RouteID_Conversion!$Q$2:$Q$745)</f>
        <v>663.31118679046494</v>
      </c>
      <c r="I19" s="2"/>
      <c r="K19" s="8">
        <v>35</v>
      </c>
      <c r="L19" s="8">
        <v>96.910438537600001</v>
      </c>
      <c r="M19" s="8">
        <v>56.560394287100003</v>
      </c>
      <c r="N19" s="2">
        <v>232.1</v>
      </c>
      <c r="O19" s="2">
        <v>3283.2</v>
      </c>
      <c r="P19" s="1"/>
      <c r="Q19" s="1"/>
      <c r="U19" s="1">
        <v>1022</v>
      </c>
      <c r="V19" s="1">
        <v>425.29983499999997</v>
      </c>
      <c r="W19" s="8">
        <v>1023</v>
      </c>
      <c r="X19" s="8">
        <v>1023</v>
      </c>
      <c r="Y19" s="8">
        <v>316.61981200000002</v>
      </c>
      <c r="Z19" s="8">
        <v>377.90029900000002</v>
      </c>
      <c r="AA19" s="8">
        <v>1023</v>
      </c>
      <c r="AB19" s="8">
        <v>281.05200200000002</v>
      </c>
      <c r="AD19" s="8">
        <v>280.59295700000001</v>
      </c>
      <c r="AF19" s="8">
        <v>1023</v>
      </c>
      <c r="AG19" s="8">
        <v>316.61981200000002</v>
      </c>
      <c r="AH19" s="8">
        <f t="shared" si="2"/>
        <v>0</v>
      </c>
      <c r="AK19" s="1">
        <v>1022</v>
      </c>
      <c r="AL19" s="1">
        <v>425.29983499999997</v>
      </c>
      <c r="AM19" s="8">
        <v>509.049713</v>
      </c>
    </row>
    <row r="20" spans="2:39" ht="15.75" x14ac:dyDescent="0.25">
      <c r="B20" s="8">
        <v>1022</v>
      </c>
      <c r="C20" s="8" t="s">
        <v>81</v>
      </c>
      <c r="D20" s="8">
        <v>1022</v>
      </c>
      <c r="E20" s="8" t="s">
        <v>82</v>
      </c>
      <c r="F20" s="8" t="str">
        <f t="shared" si="0"/>
        <v>MK</v>
      </c>
      <c r="G20" s="2">
        <v>827.3</v>
      </c>
      <c r="H20" s="2">
        <f>SUMIF(RouteID_Conversion!$P$2:$P$745,MD_BoardingByRoute!D20,RouteID_Conversion!$Q$2:$Q$745)</f>
        <v>774.83234786987225</v>
      </c>
      <c r="I20" s="2"/>
      <c r="K20" s="8">
        <v>36</v>
      </c>
      <c r="L20" s="8">
        <v>133.01385497999999</v>
      </c>
      <c r="M20" s="8">
        <v>45.736385345499997</v>
      </c>
      <c r="N20" s="2">
        <v>40.4</v>
      </c>
      <c r="O20" s="2">
        <v>1957</v>
      </c>
      <c r="P20" s="1"/>
      <c r="Q20" s="1"/>
      <c r="U20" s="1">
        <v>1023</v>
      </c>
      <c r="V20" s="1">
        <v>351.618561</v>
      </c>
      <c r="W20" s="8">
        <v>1024</v>
      </c>
      <c r="X20" s="8">
        <v>1024</v>
      </c>
      <c r="Y20" s="8">
        <v>541.302368</v>
      </c>
      <c r="Z20" s="8">
        <v>586.54540999999995</v>
      </c>
      <c r="AA20" s="8">
        <v>1024</v>
      </c>
      <c r="AB20" s="8">
        <v>475.33956899999998</v>
      </c>
      <c r="AD20" s="8">
        <v>476.95376599999997</v>
      </c>
      <c r="AF20" s="8">
        <v>1024</v>
      </c>
      <c r="AG20" s="8">
        <v>541.302368</v>
      </c>
      <c r="AH20" s="8">
        <f t="shared" si="2"/>
        <v>0</v>
      </c>
      <c r="AK20" s="1">
        <v>1023</v>
      </c>
      <c r="AL20" s="1">
        <v>351.618561</v>
      </c>
      <c r="AM20" s="8">
        <v>535.01702899999998</v>
      </c>
    </row>
    <row r="21" spans="2:39" ht="15.75" x14ac:dyDescent="0.25">
      <c r="B21" s="8">
        <v>1023</v>
      </c>
      <c r="C21" s="8" t="s">
        <v>83</v>
      </c>
      <c r="D21" s="8">
        <v>1023</v>
      </c>
      <c r="E21" s="8" t="s">
        <v>84</v>
      </c>
      <c r="F21" s="8" t="str">
        <f t="shared" si="0"/>
        <v>MK</v>
      </c>
      <c r="G21" s="2">
        <v>664.6</v>
      </c>
      <c r="H21" s="2">
        <f>SUMIF(RouteID_Conversion!$P$2:$P$745,MD_BoardingByRoute!D21,RouteID_Conversion!$Q$2:$Q$745)</f>
        <v>515.17954826354844</v>
      </c>
      <c r="I21" s="2"/>
      <c r="K21" s="8">
        <v>37</v>
      </c>
      <c r="L21" s="8">
        <v>47.626789092999999</v>
      </c>
      <c r="M21" s="8">
        <v>46.402496337899997</v>
      </c>
      <c r="N21" s="2">
        <v>127.1</v>
      </c>
      <c r="O21" s="2">
        <v>1747</v>
      </c>
      <c r="P21" s="1"/>
      <c r="Q21" s="1"/>
      <c r="U21" s="1">
        <v>1024</v>
      </c>
      <c r="V21" s="1">
        <v>781.85790999999995</v>
      </c>
      <c r="W21" s="8">
        <v>1025</v>
      </c>
      <c r="X21" s="8">
        <v>1025</v>
      </c>
      <c r="Y21" s="8">
        <v>194.752197</v>
      </c>
      <c r="Z21" s="8">
        <v>197.67967200000001</v>
      </c>
      <c r="AA21" s="8">
        <v>1025</v>
      </c>
      <c r="AB21" s="8">
        <v>172.41181900000001</v>
      </c>
      <c r="AD21" s="8">
        <v>172.882339</v>
      </c>
      <c r="AF21" s="8">
        <v>1025</v>
      </c>
      <c r="AG21" s="8">
        <v>194.752197</v>
      </c>
      <c r="AH21" s="8">
        <f t="shared" si="2"/>
        <v>0</v>
      </c>
      <c r="AK21" s="1">
        <v>1024</v>
      </c>
      <c r="AL21" s="1">
        <v>781.85790999999995</v>
      </c>
      <c r="AM21" s="8">
        <v>878.50024399999995</v>
      </c>
    </row>
    <row r="22" spans="2:39" ht="15.75" x14ac:dyDescent="0.25">
      <c r="B22" s="8">
        <v>1024</v>
      </c>
      <c r="C22" s="8" t="s">
        <v>85</v>
      </c>
      <c r="D22" s="8">
        <v>1024</v>
      </c>
      <c r="E22" s="8" t="s">
        <v>86</v>
      </c>
      <c r="F22" s="8" t="str">
        <f t="shared" si="0"/>
        <v>MK</v>
      </c>
      <c r="G22" s="2">
        <v>485.2</v>
      </c>
      <c r="H22" s="2">
        <f>SUMIF(RouteID_Conversion!$P$2:$P$745,MD_BoardingByRoute!D22,RouteID_Conversion!$Q$2:$Q$745)</f>
        <v>1035.3290252685529</v>
      </c>
      <c r="I22" s="2"/>
      <c r="K22" s="8">
        <v>38</v>
      </c>
      <c r="L22" s="8">
        <v>55.318210601799997</v>
      </c>
      <c r="M22" s="8">
        <v>28.1499176025</v>
      </c>
      <c r="N22" s="2">
        <v>101.2</v>
      </c>
      <c r="O22" s="2">
        <v>1688.7</v>
      </c>
      <c r="P22" s="1"/>
      <c r="Q22" s="1"/>
      <c r="U22" s="1">
        <v>1025</v>
      </c>
      <c r="V22" s="1">
        <v>344.435699</v>
      </c>
      <c r="W22" s="8">
        <v>1026</v>
      </c>
      <c r="X22" s="8">
        <v>1026</v>
      </c>
      <c r="Y22" s="8">
        <v>404.72631799999999</v>
      </c>
      <c r="Z22" s="8">
        <v>416.372253</v>
      </c>
      <c r="AA22" s="8">
        <v>1026</v>
      </c>
      <c r="AB22" s="8">
        <v>346.31518599999998</v>
      </c>
      <c r="AD22" s="8">
        <v>346.63198899999998</v>
      </c>
      <c r="AF22" s="8">
        <v>1026</v>
      </c>
      <c r="AG22" s="8">
        <v>404.72631799999999</v>
      </c>
      <c r="AH22" s="8">
        <f t="shared" si="2"/>
        <v>0</v>
      </c>
      <c r="AK22" s="1">
        <v>1025</v>
      </c>
      <c r="AL22" s="1">
        <v>344.435699</v>
      </c>
      <c r="AM22" s="8">
        <v>496.20257600000002</v>
      </c>
    </row>
    <row r="23" spans="2:39" ht="15.75" x14ac:dyDescent="0.25">
      <c r="B23" s="8">
        <v>1025</v>
      </c>
      <c r="C23" s="8" t="s">
        <v>87</v>
      </c>
      <c r="D23" s="8">
        <v>1025</v>
      </c>
      <c r="E23" s="8" t="s">
        <v>88</v>
      </c>
      <c r="F23" s="8" t="str">
        <f t="shared" si="0"/>
        <v>MK</v>
      </c>
      <c r="G23" s="2">
        <v>204</v>
      </c>
      <c r="H23" s="2">
        <f>SUMIF(RouteID_Conversion!$P$2:$P$745,MD_BoardingByRoute!D23,RouteID_Conversion!$Q$2:$Q$745)</f>
        <v>399.56677246093693</v>
      </c>
      <c r="I23" s="2"/>
      <c r="K23" s="8">
        <v>39</v>
      </c>
      <c r="L23" s="8">
        <v>28.434720992999999</v>
      </c>
      <c r="M23" s="8">
        <v>51.955711364700001</v>
      </c>
      <c r="N23" s="2">
        <v>11.2</v>
      </c>
      <c r="O23" s="2">
        <v>854.4</v>
      </c>
      <c r="P23" s="1"/>
      <c r="Q23" s="1"/>
      <c r="U23" s="1">
        <v>1026</v>
      </c>
      <c r="V23" s="1">
        <v>847.82446300000004</v>
      </c>
      <c r="W23" s="8">
        <v>1027</v>
      </c>
      <c r="X23" s="8">
        <v>1027</v>
      </c>
      <c r="Y23" s="8">
        <v>117.699478</v>
      </c>
      <c r="Z23" s="8">
        <v>124.821625</v>
      </c>
      <c r="AA23" s="8">
        <v>1027</v>
      </c>
      <c r="AB23" s="8">
        <v>112.19898999999999</v>
      </c>
      <c r="AD23" s="8">
        <v>112.416229</v>
      </c>
      <c r="AF23" s="8">
        <v>1027</v>
      </c>
      <c r="AG23" s="8">
        <v>117.699478</v>
      </c>
      <c r="AH23" s="8">
        <f t="shared" si="2"/>
        <v>0</v>
      </c>
      <c r="AK23" s="1">
        <v>1026</v>
      </c>
      <c r="AL23" s="1">
        <v>847.82446300000004</v>
      </c>
      <c r="AM23" s="8">
        <v>997.40545699999996</v>
      </c>
    </row>
    <row r="24" spans="2:39" ht="15.75" x14ac:dyDescent="0.25">
      <c r="B24" s="8">
        <v>1026</v>
      </c>
      <c r="C24" s="8" t="s">
        <v>89</v>
      </c>
      <c r="D24" s="8">
        <v>1026</v>
      </c>
      <c r="E24" s="8" t="s">
        <v>90</v>
      </c>
      <c r="F24" s="8" t="str">
        <f t="shared" si="0"/>
        <v>MK</v>
      </c>
      <c r="G24" s="2">
        <v>644.1</v>
      </c>
      <c r="H24" s="2">
        <f>SUMIF(RouteID_Conversion!$P$2:$P$745,MD_BoardingByRoute!D24,RouteID_Conversion!$Q$2:$Q$745)</f>
        <v>763.64374160766533</v>
      </c>
      <c r="I24" s="2"/>
      <c r="K24" s="8">
        <v>40</v>
      </c>
      <c r="L24" s="8">
        <v>279.00750732400002</v>
      </c>
      <c r="M24" s="8">
        <v>45.374500274699997</v>
      </c>
      <c r="N24" s="2">
        <v>162.9</v>
      </c>
      <c r="O24" s="2">
        <v>2678.4</v>
      </c>
      <c r="P24" s="1"/>
      <c r="Q24" s="1"/>
      <c r="U24" s="1">
        <v>1027</v>
      </c>
      <c r="V24" s="1">
        <v>79.813896</v>
      </c>
      <c r="W24" s="8">
        <v>1028</v>
      </c>
      <c r="X24" s="8">
        <v>1028</v>
      </c>
      <c r="Y24" s="8">
        <v>646.07116699999995</v>
      </c>
      <c r="Z24" s="8">
        <v>660.183044</v>
      </c>
      <c r="AA24" s="8">
        <v>1028</v>
      </c>
      <c r="AB24" s="8">
        <v>546.59234600000002</v>
      </c>
      <c r="AD24" s="8">
        <v>546.84258999999997</v>
      </c>
      <c r="AF24" s="8">
        <v>1028</v>
      </c>
      <c r="AG24" s="8">
        <v>646.07116699999995</v>
      </c>
      <c r="AH24" s="8">
        <f t="shared" si="2"/>
        <v>0</v>
      </c>
      <c r="AK24" s="1">
        <v>1027</v>
      </c>
      <c r="AL24" s="1">
        <v>79.813896</v>
      </c>
      <c r="AM24" s="8">
        <v>90.948218999999995</v>
      </c>
    </row>
    <row r="25" spans="2:39" ht="15.75" x14ac:dyDescent="0.25">
      <c r="B25" s="8">
        <v>1027</v>
      </c>
      <c r="C25" s="8" t="s">
        <v>91</v>
      </c>
      <c r="D25" s="8">
        <v>1027</v>
      </c>
      <c r="E25" s="8" t="s">
        <v>92</v>
      </c>
      <c r="F25" s="8" t="str">
        <f t="shared" si="0"/>
        <v>MK</v>
      </c>
      <c r="G25" s="2">
        <v>502.9</v>
      </c>
      <c r="H25" s="2">
        <f>SUMIF(RouteID_Conversion!$P$2:$P$745,MD_BoardingByRoute!D25,RouteID_Conversion!$Q$2:$Q$745)</f>
        <v>265.08858585357564</v>
      </c>
      <c r="I25" s="2"/>
      <c r="K25" s="8">
        <v>41</v>
      </c>
      <c r="L25" s="8">
        <v>33.222213745099999</v>
      </c>
      <c r="M25" s="8">
        <v>50.256500244100003</v>
      </c>
      <c r="N25" s="2">
        <v>22.5</v>
      </c>
      <c r="O25" s="2">
        <v>1404.3</v>
      </c>
      <c r="P25" s="1"/>
      <c r="Q25" s="1"/>
      <c r="U25" s="1">
        <v>1028</v>
      </c>
      <c r="V25" s="1">
        <v>1174.3895259999999</v>
      </c>
      <c r="W25" s="8">
        <v>1030</v>
      </c>
      <c r="X25" s="8">
        <v>1030</v>
      </c>
      <c r="Y25" s="8">
        <v>579.61511199999995</v>
      </c>
      <c r="Z25" s="8">
        <v>637.36718800000006</v>
      </c>
      <c r="AA25" s="8">
        <v>1030</v>
      </c>
      <c r="AB25" s="8">
        <v>561.15563999999995</v>
      </c>
      <c r="AD25" s="8">
        <v>562.77050799999995</v>
      </c>
      <c r="AF25" s="8">
        <v>1030</v>
      </c>
      <c r="AG25" s="8">
        <v>579.61511199999995</v>
      </c>
      <c r="AH25" s="8">
        <f t="shared" si="2"/>
        <v>0</v>
      </c>
      <c r="AK25" s="1">
        <v>1028</v>
      </c>
      <c r="AL25" s="1">
        <v>1174.3895259999999</v>
      </c>
      <c r="AM25" s="8">
        <v>1366.623047</v>
      </c>
    </row>
    <row r="26" spans="2:39" ht="15.75" x14ac:dyDescent="0.25">
      <c r="B26" s="8">
        <v>1028</v>
      </c>
      <c r="C26" s="8" t="s">
        <v>93</v>
      </c>
      <c r="D26" s="8">
        <v>1028</v>
      </c>
      <c r="E26" s="8" t="s">
        <v>94</v>
      </c>
      <c r="F26" s="8" t="str">
        <f t="shared" si="0"/>
        <v>MK</v>
      </c>
      <c r="G26" s="2">
        <v>845.8</v>
      </c>
      <c r="H26" s="2">
        <f>SUMIF(RouteID_Conversion!$P$2:$P$745,MD_BoardingByRoute!D26,RouteID_Conversion!$Q$2:$Q$745)</f>
        <v>871.27423858642419</v>
      </c>
      <c r="I26" s="2"/>
      <c r="K26" s="8">
        <v>42</v>
      </c>
      <c r="L26" s="8">
        <v>31.000831603999998</v>
      </c>
      <c r="M26" s="8">
        <v>45.374500274699997</v>
      </c>
      <c r="N26" s="2">
        <v>208.3</v>
      </c>
      <c r="O26" s="2">
        <v>3741</v>
      </c>
      <c r="P26" s="1"/>
      <c r="Q26" s="1"/>
      <c r="U26" s="1">
        <v>1030</v>
      </c>
      <c r="V26" s="1">
        <v>388.57751500000001</v>
      </c>
      <c r="W26" s="8">
        <v>1031</v>
      </c>
      <c r="X26" s="8">
        <v>1031</v>
      </c>
      <c r="Y26" s="8">
        <v>472.40823399999999</v>
      </c>
      <c r="Z26" s="8">
        <v>520.20904499999995</v>
      </c>
      <c r="AA26" s="8">
        <v>1031</v>
      </c>
      <c r="AB26" s="8">
        <v>443.94278000000003</v>
      </c>
      <c r="AD26" s="8">
        <v>444.026184</v>
      </c>
      <c r="AF26" s="8">
        <v>1031</v>
      </c>
      <c r="AG26" s="8">
        <v>472.40823399999999</v>
      </c>
      <c r="AH26" s="8">
        <f t="shared" si="2"/>
        <v>0</v>
      </c>
      <c r="AK26" s="1">
        <v>1030</v>
      </c>
      <c r="AL26" s="1">
        <v>388.57751500000001</v>
      </c>
      <c r="AM26" s="8">
        <v>440.950714</v>
      </c>
    </row>
    <row r="27" spans="2:39" ht="15.75" x14ac:dyDescent="0.25">
      <c r="B27" s="8">
        <v>1030</v>
      </c>
      <c r="C27" s="8" t="s">
        <v>95</v>
      </c>
      <c r="D27" s="8">
        <v>1030</v>
      </c>
      <c r="E27" s="8" t="s">
        <v>96</v>
      </c>
      <c r="F27" s="8" t="str">
        <f t="shared" si="0"/>
        <v>MK</v>
      </c>
      <c r="G27" s="2">
        <v>872</v>
      </c>
      <c r="H27" s="2">
        <f>SUMIF(RouteID_Conversion!$P$2:$P$745,MD_BoardingByRoute!D27,RouteID_Conversion!$Q$2:$Q$745)</f>
        <v>1054.3694076538061</v>
      </c>
      <c r="I27" s="2"/>
      <c r="K27" s="8">
        <v>43</v>
      </c>
      <c r="L27" s="8">
        <v>163.451263428</v>
      </c>
      <c r="M27" s="8">
        <v>38.269962310799997</v>
      </c>
      <c r="N27" s="2">
        <v>130.69999999999999</v>
      </c>
      <c r="O27" s="2">
        <v>2642.4</v>
      </c>
      <c r="P27" s="1"/>
      <c r="Q27" s="1"/>
      <c r="U27" s="1">
        <v>1031</v>
      </c>
      <c r="V27" s="1">
        <v>610.55242899999996</v>
      </c>
      <c r="W27" s="8">
        <v>1033</v>
      </c>
      <c r="X27" s="8">
        <v>1033</v>
      </c>
      <c r="Y27" s="8">
        <v>351.59787</v>
      </c>
      <c r="Z27" s="8">
        <v>372.877411</v>
      </c>
      <c r="AA27" s="8">
        <v>1033</v>
      </c>
      <c r="AB27" s="8">
        <v>310.94045999999997</v>
      </c>
      <c r="AD27" s="8">
        <v>311.95858800000002</v>
      </c>
      <c r="AF27" s="8">
        <v>1033</v>
      </c>
      <c r="AG27" s="8">
        <v>351.59787</v>
      </c>
      <c r="AH27" s="8">
        <f t="shared" si="2"/>
        <v>0</v>
      </c>
      <c r="AK27" s="1">
        <v>1031</v>
      </c>
      <c r="AL27" s="1">
        <v>610.55242899999996</v>
      </c>
      <c r="AM27" s="8">
        <v>739.60888699999998</v>
      </c>
    </row>
    <row r="28" spans="2:39" ht="15.75" x14ac:dyDescent="0.25">
      <c r="B28" s="8">
        <v>1031</v>
      </c>
      <c r="C28" s="8" t="s">
        <v>97</v>
      </c>
      <c r="D28" s="8">
        <v>1031</v>
      </c>
      <c r="E28" s="8" t="s">
        <v>98</v>
      </c>
      <c r="F28" s="8" t="str">
        <f t="shared" si="0"/>
        <v>MK</v>
      </c>
      <c r="G28" s="2">
        <v>453.5</v>
      </c>
      <c r="H28" s="2">
        <f>SUMIF(RouteID_Conversion!$P$2:$P$745,MD_BoardingByRoute!D28,RouteID_Conversion!$Q$2:$Q$745)</f>
        <v>835.86626529693444</v>
      </c>
      <c r="I28" s="2"/>
      <c r="K28" s="8">
        <v>44</v>
      </c>
      <c r="L28" s="8">
        <v>71.184036254899993</v>
      </c>
      <c r="M28" s="8">
        <v>53.670375823999997</v>
      </c>
      <c r="N28" s="2">
        <v>0</v>
      </c>
      <c r="O28" s="2">
        <v>1066.5999999999999</v>
      </c>
      <c r="P28" s="1"/>
      <c r="Q28" s="1"/>
      <c r="U28" s="1">
        <v>1033</v>
      </c>
      <c r="V28" s="1">
        <v>840.88293499999997</v>
      </c>
      <c r="W28" s="8">
        <v>1036</v>
      </c>
      <c r="X28" s="8">
        <v>1036</v>
      </c>
      <c r="Y28" s="8">
        <v>1937.494263</v>
      </c>
      <c r="Z28" s="8">
        <v>2251.1616210000002</v>
      </c>
      <c r="AA28" s="8">
        <v>1036</v>
      </c>
      <c r="AB28" s="8">
        <v>1990.98999</v>
      </c>
      <c r="AD28" s="8">
        <v>1993.341797</v>
      </c>
      <c r="AF28" s="8">
        <v>1036</v>
      </c>
      <c r="AG28" s="8">
        <v>1937.494263</v>
      </c>
      <c r="AH28" s="8">
        <f t="shared" si="2"/>
        <v>0</v>
      </c>
      <c r="AK28" s="1">
        <v>1033</v>
      </c>
      <c r="AL28" s="1">
        <v>840.88293499999997</v>
      </c>
      <c r="AM28" s="8">
        <v>954.39288299999998</v>
      </c>
    </row>
    <row r="29" spans="2:39" ht="15.75" x14ac:dyDescent="0.25">
      <c r="B29" s="8">
        <v>1033</v>
      </c>
      <c r="C29" s="8" t="s">
        <v>99</v>
      </c>
      <c r="D29" s="8">
        <v>1033</v>
      </c>
      <c r="E29" s="8" t="s">
        <v>100</v>
      </c>
      <c r="F29" s="8" t="str">
        <f t="shared" si="0"/>
        <v>MK</v>
      </c>
      <c r="G29" s="2">
        <v>318.5</v>
      </c>
      <c r="H29" s="2">
        <f>SUMIF(RouteID_Conversion!$P$2:$P$745,MD_BoardingByRoute!D29,RouteID_Conversion!$Q$2:$Q$745)</f>
        <v>614.49406433105332</v>
      </c>
      <c r="I29" s="2"/>
      <c r="K29" s="8">
        <v>45</v>
      </c>
      <c r="L29" s="8">
        <v>90.978828430199997</v>
      </c>
      <c r="M29" s="8">
        <v>69.371437072800006</v>
      </c>
      <c r="N29" s="2">
        <v>34.1</v>
      </c>
      <c r="O29" s="2">
        <v>1472</v>
      </c>
      <c r="P29" s="1"/>
      <c r="Q29" s="1"/>
      <c r="U29" s="1">
        <v>1034</v>
      </c>
      <c r="V29" s="1">
        <v>89.973388999999997</v>
      </c>
      <c r="W29" s="8">
        <v>1037</v>
      </c>
      <c r="X29" s="8">
        <v>1037</v>
      </c>
      <c r="Y29" s="8">
        <v>34.274658000000002</v>
      </c>
      <c r="Z29" s="8">
        <v>35.478316999999997</v>
      </c>
      <c r="AA29" s="8">
        <v>1037</v>
      </c>
      <c r="AB29" s="8">
        <v>28.570315999999998</v>
      </c>
      <c r="AD29" s="8">
        <v>28.643847999999998</v>
      </c>
      <c r="AF29" s="8">
        <v>1037</v>
      </c>
      <c r="AG29" s="8">
        <v>34.274658000000002</v>
      </c>
      <c r="AH29" s="8">
        <f t="shared" si="2"/>
        <v>0</v>
      </c>
      <c r="AK29" s="1">
        <v>1034</v>
      </c>
      <c r="AL29" s="1">
        <v>89.973388999999997</v>
      </c>
      <c r="AM29" s="8">
        <v>108.204109</v>
      </c>
    </row>
    <row r="30" spans="2:39" ht="15.75" x14ac:dyDescent="0.25">
      <c r="B30" s="8">
        <v>1036</v>
      </c>
      <c r="C30" s="8" t="s">
        <v>105</v>
      </c>
      <c r="D30" s="8">
        <v>1036</v>
      </c>
      <c r="E30" s="8" t="s">
        <v>106</v>
      </c>
      <c r="F30" s="8" t="str">
        <f t="shared" si="0"/>
        <v>MK</v>
      </c>
      <c r="G30" s="2">
        <v>4398.3000000000093</v>
      </c>
      <c r="H30" s="2">
        <f>SUMIF(RouteID_Conversion!$P$2:$P$745,MD_BoardingByRoute!D30,RouteID_Conversion!$Q$2:$Q$745)</f>
        <v>2917.0481433868345</v>
      </c>
      <c r="I30" s="2"/>
      <c r="K30" s="8">
        <v>48</v>
      </c>
      <c r="L30" s="8">
        <v>39.661720275900002</v>
      </c>
      <c r="M30" s="8">
        <v>40.516632080100003</v>
      </c>
      <c r="N30" s="2">
        <v>438</v>
      </c>
      <c r="O30" s="2">
        <v>10323.700000000001</v>
      </c>
      <c r="P30" s="1"/>
      <c r="Q30" s="1"/>
      <c r="U30" s="1">
        <v>1037</v>
      </c>
      <c r="V30" s="1">
        <v>270.36157200000002</v>
      </c>
      <c r="W30" s="8">
        <v>1041</v>
      </c>
      <c r="X30" s="8">
        <v>1041</v>
      </c>
      <c r="Y30" s="8">
        <v>1802.94751</v>
      </c>
      <c r="Z30" s="8">
        <v>2113.1560060000002</v>
      </c>
      <c r="AA30" s="8">
        <v>1041</v>
      </c>
      <c r="AB30" s="8">
        <v>1995.7935789999999</v>
      </c>
      <c r="AD30" s="8">
        <v>1989.5321039999999</v>
      </c>
      <c r="AF30" s="8">
        <v>1041</v>
      </c>
      <c r="AG30" s="8">
        <v>1802.94751</v>
      </c>
      <c r="AH30" s="8">
        <f t="shared" si="2"/>
        <v>0</v>
      </c>
      <c r="AK30" s="1">
        <v>1037</v>
      </c>
      <c r="AL30" s="1">
        <v>270.36157200000002</v>
      </c>
      <c r="AM30" s="8">
        <v>322.34375</v>
      </c>
    </row>
    <row r="31" spans="2:39" ht="15.75" x14ac:dyDescent="0.25">
      <c r="B31" s="8">
        <v>1037</v>
      </c>
      <c r="C31" s="8" t="s">
        <v>107</v>
      </c>
      <c r="D31" s="8">
        <v>1037</v>
      </c>
      <c r="E31" s="8" t="s">
        <v>108</v>
      </c>
      <c r="F31" s="8" t="str">
        <f t="shared" si="0"/>
        <v>MK</v>
      </c>
      <c r="G31" s="2">
        <v>20.5</v>
      </c>
      <c r="H31" s="2">
        <f>SUMIF(RouteID_Conversion!$P$2:$P$745,MD_BoardingByRoute!D31,RouteID_Conversion!$Q$2:$Q$745)</f>
        <v>28.756560802459642</v>
      </c>
      <c r="I31" s="2"/>
      <c r="K31" s="8">
        <v>49</v>
      </c>
      <c r="L31" s="8">
        <v>100.09426879900001</v>
      </c>
      <c r="M31" s="8">
        <v>15.692726135299999</v>
      </c>
      <c r="N31" s="2">
        <v>17.600000000000001</v>
      </c>
      <c r="O31" s="2">
        <v>346.5</v>
      </c>
      <c r="P31" s="1"/>
      <c r="Q31" s="1"/>
      <c r="U31" s="1">
        <v>1038</v>
      </c>
      <c r="V31" s="1">
        <v>4.6732019999999999</v>
      </c>
      <c r="W31" s="8">
        <v>1042</v>
      </c>
      <c r="X31" s="8">
        <v>1042</v>
      </c>
      <c r="Y31" s="8">
        <v>58.161144</v>
      </c>
      <c r="Z31" s="8">
        <v>60.335380999999998</v>
      </c>
      <c r="AA31" s="8">
        <v>1042</v>
      </c>
      <c r="AB31" s="8">
        <v>52.179271999999997</v>
      </c>
      <c r="AD31" s="8">
        <v>52.349612999999998</v>
      </c>
      <c r="AF31" s="8">
        <v>1042</v>
      </c>
      <c r="AG31" s="8">
        <v>58.161144</v>
      </c>
      <c r="AH31" s="8">
        <f t="shared" si="2"/>
        <v>0</v>
      </c>
      <c r="AK31" s="1">
        <v>1038</v>
      </c>
      <c r="AL31" s="1">
        <v>4.6732019999999999</v>
      </c>
      <c r="AM31" s="8">
        <v>5.363111</v>
      </c>
    </row>
    <row r="32" spans="2:39" ht="15.75" x14ac:dyDescent="0.25">
      <c r="B32" s="8">
        <v>1038</v>
      </c>
      <c r="C32" s="8" t="s">
        <v>109</v>
      </c>
      <c r="D32" s="8">
        <v>1038</v>
      </c>
      <c r="E32" s="8" t="s">
        <v>110</v>
      </c>
      <c r="F32" s="8" t="str">
        <f t="shared" si="0"/>
        <v>MK</v>
      </c>
      <c r="G32" s="2">
        <v>64</v>
      </c>
      <c r="H32" s="2">
        <f>SUMIF(RouteID_Conversion!$P$2:$P$745,MD_BoardingByRoute!D32,RouteID_Conversion!$Q$2:$Q$745)</f>
        <v>18.317683696746812</v>
      </c>
      <c r="I32" s="2"/>
      <c r="K32" s="8">
        <v>50</v>
      </c>
      <c r="L32" s="8">
        <v>15.3503408432</v>
      </c>
      <c r="M32" s="8">
        <v>25.907318115199999</v>
      </c>
      <c r="N32" s="2">
        <v>0</v>
      </c>
      <c r="O32" s="2">
        <v>82.4</v>
      </c>
      <c r="P32" s="1"/>
      <c r="Q32" s="1"/>
      <c r="U32" s="1">
        <v>1039</v>
      </c>
      <c r="V32" s="1">
        <v>429.08477800000003</v>
      </c>
      <c r="W32" s="8">
        <v>1043</v>
      </c>
      <c r="X32" s="8">
        <v>1043</v>
      </c>
      <c r="Y32" s="8">
        <v>1134.5489500000001</v>
      </c>
      <c r="Z32" s="8">
        <v>1118.705078</v>
      </c>
      <c r="AA32" s="8">
        <v>1043</v>
      </c>
      <c r="AB32" s="8">
        <v>977.78979500000003</v>
      </c>
      <c r="AD32" s="8">
        <v>980.04443400000002</v>
      </c>
      <c r="AF32" s="8">
        <v>1043</v>
      </c>
      <c r="AG32" s="8">
        <v>1134.5489500000001</v>
      </c>
      <c r="AH32" s="8">
        <f t="shared" si="2"/>
        <v>0</v>
      </c>
      <c r="AK32" s="1">
        <v>1039</v>
      </c>
      <c r="AL32" s="1">
        <v>429.08477800000003</v>
      </c>
      <c r="AM32" s="8">
        <v>551.253601</v>
      </c>
    </row>
    <row r="33" spans="2:39" ht="15.75" x14ac:dyDescent="0.25">
      <c r="B33" s="8">
        <v>1039</v>
      </c>
      <c r="C33" s="8" t="s">
        <v>111</v>
      </c>
      <c r="D33" s="8">
        <v>1039</v>
      </c>
      <c r="E33" s="8" t="s">
        <v>112</v>
      </c>
      <c r="F33" s="8" t="str">
        <f t="shared" si="0"/>
        <v>MK</v>
      </c>
      <c r="G33" s="2">
        <v>416.6</v>
      </c>
      <c r="H33" s="2">
        <f>SUMIF(RouteID_Conversion!$P$2:$P$745,MD_BoardingByRoute!D33,RouteID_Conversion!$Q$2:$Q$745)</f>
        <v>235.71871280670152</v>
      </c>
      <c r="I33" s="2"/>
      <c r="K33" s="8">
        <v>51</v>
      </c>
      <c r="L33" s="8">
        <v>85.466445922899993</v>
      </c>
      <c r="M33" s="8">
        <v>16.795511245699998</v>
      </c>
      <c r="N33" s="2">
        <v>35.200000000000003</v>
      </c>
      <c r="O33" s="2">
        <v>1309.8</v>
      </c>
      <c r="P33" s="1"/>
      <c r="Q33" s="1"/>
      <c r="U33" s="1">
        <v>1041</v>
      </c>
      <c r="V33" s="1">
        <v>2636.968018</v>
      </c>
      <c r="W33" s="8">
        <v>1044</v>
      </c>
      <c r="X33" s="8">
        <v>1044</v>
      </c>
      <c r="Y33" s="8">
        <v>1526.5460210000001</v>
      </c>
      <c r="Z33" s="8">
        <v>1324.3439940000001</v>
      </c>
      <c r="AA33" s="8">
        <v>1044</v>
      </c>
      <c r="AB33" s="8">
        <v>1205.2578120000001</v>
      </c>
      <c r="AD33" s="8">
        <v>1211.0306399999999</v>
      </c>
      <c r="AF33" s="8">
        <v>1044</v>
      </c>
      <c r="AG33" s="8">
        <v>1526.5460210000001</v>
      </c>
      <c r="AH33" s="8">
        <f t="shared" si="2"/>
        <v>0</v>
      </c>
      <c r="AK33" s="1">
        <v>1041</v>
      </c>
      <c r="AL33" s="1">
        <v>2636.968018</v>
      </c>
      <c r="AM33" s="8">
        <v>2589.6560060000002</v>
      </c>
    </row>
    <row r="34" spans="2:39" ht="15.75" x14ac:dyDescent="0.25">
      <c r="B34" s="8">
        <v>1041</v>
      </c>
      <c r="C34" s="8" t="s">
        <v>113</v>
      </c>
      <c r="D34" s="8">
        <v>1041</v>
      </c>
      <c r="E34" s="8" t="s">
        <v>114</v>
      </c>
      <c r="F34" s="8" t="str">
        <f t="shared" si="0"/>
        <v>MK</v>
      </c>
      <c r="G34" s="2">
        <v>3038.2</v>
      </c>
      <c r="H34" s="2">
        <f>SUMIF(RouteID_Conversion!$P$2:$P$745,MD_BoardingByRoute!D34,RouteID_Conversion!$Q$2:$Q$745)</f>
        <v>4069.0633115768374</v>
      </c>
      <c r="I34" s="2"/>
      <c r="K34" s="8">
        <v>52</v>
      </c>
      <c r="L34" s="8">
        <v>0</v>
      </c>
      <c r="M34" s="8">
        <v>5.7053508758499998</v>
      </c>
      <c r="N34" s="2">
        <v>373.1</v>
      </c>
      <c r="O34" s="2">
        <v>9427.5</v>
      </c>
      <c r="P34" s="1"/>
      <c r="Q34" s="1"/>
      <c r="U34" s="1">
        <v>1042</v>
      </c>
      <c r="V34" s="1">
        <v>27.419167999999999</v>
      </c>
      <c r="W34" s="8">
        <v>1046</v>
      </c>
      <c r="X34" s="8">
        <v>1046</v>
      </c>
      <c r="Y34" s="8">
        <v>93.837119999999999</v>
      </c>
      <c r="Z34" s="8">
        <v>97.136932000000002</v>
      </c>
      <c r="AA34" s="8">
        <v>1046</v>
      </c>
      <c r="AB34" s="8">
        <v>84.572661999999994</v>
      </c>
      <c r="AD34" s="8">
        <v>84.447295999999994</v>
      </c>
      <c r="AF34" s="8">
        <v>1046</v>
      </c>
      <c r="AG34" s="8">
        <v>93.837119999999999</v>
      </c>
      <c r="AH34" s="8">
        <f t="shared" si="2"/>
        <v>0</v>
      </c>
      <c r="AK34" s="1">
        <v>1042</v>
      </c>
      <c r="AL34" s="1">
        <v>27.419167999999999</v>
      </c>
      <c r="AM34" s="8">
        <v>31.064644000000001</v>
      </c>
    </row>
    <row r="35" spans="2:39" ht="15.75" x14ac:dyDescent="0.25">
      <c r="B35" s="8">
        <v>1042</v>
      </c>
      <c r="C35" s="8" t="s">
        <v>115</v>
      </c>
      <c r="D35" s="8">
        <v>1042</v>
      </c>
      <c r="E35" s="8" t="s">
        <v>116</v>
      </c>
      <c r="F35" s="8" t="str">
        <f t="shared" si="0"/>
        <v>MK</v>
      </c>
      <c r="G35" s="2">
        <v>62</v>
      </c>
      <c r="H35" s="2">
        <f>SUMIF(RouteID_Conversion!$P$2:$P$745,MD_BoardingByRoute!D35,RouteID_Conversion!$Q$2:$Q$745)</f>
        <v>79.94650840759266</v>
      </c>
      <c r="I35" s="2"/>
      <c r="K35" s="8">
        <v>53</v>
      </c>
      <c r="L35" s="8">
        <v>117.951477051</v>
      </c>
      <c r="M35" s="8">
        <v>23.020988464399998</v>
      </c>
      <c r="N35" s="2">
        <v>0</v>
      </c>
      <c r="O35" s="2">
        <v>137.1</v>
      </c>
      <c r="P35" s="1"/>
      <c r="Q35" s="1"/>
      <c r="U35" s="1">
        <v>1043</v>
      </c>
      <c r="V35" s="1">
        <v>1100.3876949999999</v>
      </c>
      <c r="W35" s="8">
        <v>1048</v>
      </c>
      <c r="X35" s="8">
        <v>1048</v>
      </c>
      <c r="Y35" s="8">
        <v>2006.152466</v>
      </c>
      <c r="Z35" s="8">
        <v>1910.266357</v>
      </c>
      <c r="AA35" s="8">
        <v>1048</v>
      </c>
      <c r="AB35" s="8">
        <v>1694.0550539999999</v>
      </c>
      <c r="AD35" s="8">
        <v>1699.2421879999999</v>
      </c>
      <c r="AF35" s="8">
        <v>1048</v>
      </c>
      <c r="AG35" s="8">
        <v>2006.152466</v>
      </c>
      <c r="AH35" s="8">
        <f t="shared" si="2"/>
        <v>0</v>
      </c>
      <c r="AK35" s="1">
        <v>1043</v>
      </c>
      <c r="AL35" s="1">
        <v>1100.3876949999999</v>
      </c>
      <c r="AM35" s="8">
        <v>1446.6385499999999</v>
      </c>
    </row>
    <row r="36" spans="2:39" ht="15.75" x14ac:dyDescent="0.25">
      <c r="B36" s="8">
        <v>1043</v>
      </c>
      <c r="C36" s="8" t="s">
        <v>117</v>
      </c>
      <c r="D36" s="8">
        <v>1043</v>
      </c>
      <c r="E36" s="8" t="s">
        <v>118</v>
      </c>
      <c r="F36" s="8" t="str">
        <f t="shared" si="0"/>
        <v>MK</v>
      </c>
      <c r="G36" s="2">
        <v>2158.4</v>
      </c>
      <c r="H36" s="2">
        <f>SUMIF(RouteID_Conversion!$P$2:$P$745,MD_BoardingByRoute!D36,RouteID_Conversion!$Q$2:$Q$745)</f>
        <v>3058.9254455566333</v>
      </c>
      <c r="I36" s="2"/>
      <c r="K36" s="8">
        <v>54</v>
      </c>
      <c r="L36" s="8">
        <v>7.9473886489899996</v>
      </c>
      <c r="M36" s="8">
        <v>30.842226028399999</v>
      </c>
      <c r="N36" s="2">
        <v>380</v>
      </c>
      <c r="O36" s="2">
        <v>6223.4</v>
      </c>
      <c r="P36" s="1"/>
      <c r="Q36" s="1"/>
      <c r="U36" s="1">
        <v>1044</v>
      </c>
      <c r="V36" s="1">
        <v>1471.9892580000001</v>
      </c>
      <c r="W36" s="8">
        <v>1049</v>
      </c>
      <c r="X36" s="8">
        <v>1049</v>
      </c>
      <c r="Y36" s="8">
        <v>1095.428101</v>
      </c>
      <c r="Z36" s="8">
        <v>1143.142578</v>
      </c>
      <c r="AA36" s="8">
        <v>1049</v>
      </c>
      <c r="AB36" s="8">
        <v>1023.082703</v>
      </c>
      <c r="AD36" s="8">
        <v>1025.8210449999999</v>
      </c>
      <c r="AF36" s="8">
        <v>1049</v>
      </c>
      <c r="AG36" s="8">
        <v>1095.428101</v>
      </c>
      <c r="AH36" s="8">
        <f t="shared" si="2"/>
        <v>0</v>
      </c>
      <c r="AK36" s="1">
        <v>1044</v>
      </c>
      <c r="AL36" s="1">
        <v>1471.9892580000001</v>
      </c>
      <c r="AM36" s="8">
        <v>1564.5249020000001</v>
      </c>
    </row>
    <row r="37" spans="2:39" ht="15.75" x14ac:dyDescent="0.25">
      <c r="B37" s="8">
        <v>1044</v>
      </c>
      <c r="C37" s="8" t="s">
        <v>119</v>
      </c>
      <c r="D37" s="8">
        <v>1044</v>
      </c>
      <c r="E37" s="8" t="s">
        <v>120</v>
      </c>
      <c r="F37" s="8" t="str">
        <f t="shared" si="0"/>
        <v>MK</v>
      </c>
      <c r="G37" s="2">
        <v>2002.1</v>
      </c>
      <c r="H37" s="2">
        <f>SUMIF(RouteID_Conversion!$P$2:$P$745,MD_BoardingByRoute!D37,RouteID_Conversion!$Q$2:$Q$745)</f>
        <v>2340.4867029190045</v>
      </c>
      <c r="I37" s="2"/>
      <c r="K37" s="8">
        <v>55</v>
      </c>
      <c r="L37" s="8">
        <v>23.006179809599999</v>
      </c>
      <c r="M37" s="8">
        <v>30.974311828600001</v>
      </c>
      <c r="N37" s="2">
        <v>306.5</v>
      </c>
      <c r="O37" s="2">
        <v>5478.6</v>
      </c>
      <c r="P37" s="1"/>
      <c r="Q37" s="1"/>
      <c r="U37" s="1">
        <v>1045</v>
      </c>
      <c r="V37" s="1">
        <v>41.871119999999998</v>
      </c>
      <c r="W37" s="8">
        <v>1051</v>
      </c>
      <c r="X37" s="8">
        <v>1051</v>
      </c>
      <c r="Y37" s="8">
        <v>114.904678</v>
      </c>
      <c r="Z37" s="8">
        <v>119.16617599999999</v>
      </c>
      <c r="AA37" s="8">
        <v>1051</v>
      </c>
      <c r="AB37" s="8">
        <v>88.362815999999995</v>
      </c>
      <c r="AD37" s="8">
        <v>88.579018000000005</v>
      </c>
      <c r="AF37" s="8">
        <v>1051</v>
      </c>
      <c r="AG37" s="8">
        <v>114.904678</v>
      </c>
      <c r="AH37" s="8">
        <f t="shared" si="2"/>
        <v>0</v>
      </c>
      <c r="AK37" s="1">
        <v>1045</v>
      </c>
      <c r="AL37" s="1">
        <v>41.871119999999998</v>
      </c>
      <c r="AM37" s="8">
        <v>40.723278000000001</v>
      </c>
    </row>
    <row r="38" spans="2:39" ht="15.75" x14ac:dyDescent="0.25">
      <c r="B38" s="8">
        <v>1046</v>
      </c>
      <c r="C38" s="8" t="s">
        <v>123</v>
      </c>
      <c r="D38" s="8">
        <v>1046</v>
      </c>
      <c r="E38" s="8" t="s">
        <v>124</v>
      </c>
      <c r="F38" s="8" t="str">
        <f t="shared" si="0"/>
        <v>MK</v>
      </c>
      <c r="G38" s="2">
        <v>53.9</v>
      </c>
      <c r="H38" s="2">
        <f>SUMIF(RouteID_Conversion!$P$2:$P$745,MD_BoardingByRoute!D38,RouteID_Conversion!$Q$2:$Q$745)</f>
        <v>84.023920059203846</v>
      </c>
      <c r="I38" s="2"/>
      <c r="K38" s="8">
        <v>57</v>
      </c>
      <c r="L38" s="8">
        <v>15.6680774689</v>
      </c>
      <c r="M38" s="8">
        <v>21.812131881700001</v>
      </c>
      <c r="N38" s="2">
        <v>0</v>
      </c>
      <c r="O38" s="2">
        <v>290.10000000000002</v>
      </c>
      <c r="P38" s="1"/>
      <c r="Q38" s="1"/>
      <c r="U38" s="1">
        <v>1048</v>
      </c>
      <c r="V38" s="1">
        <v>1944.279663</v>
      </c>
      <c r="W38" s="8">
        <v>1054</v>
      </c>
      <c r="X38" s="8">
        <v>1054</v>
      </c>
      <c r="Y38" s="8">
        <v>1003.898071</v>
      </c>
      <c r="Z38" s="8">
        <v>1022.20575</v>
      </c>
      <c r="AA38" s="8">
        <v>1054</v>
      </c>
      <c r="AB38" s="8">
        <v>917.78594999999996</v>
      </c>
      <c r="AD38" s="8">
        <v>920.99682600000006</v>
      </c>
      <c r="AF38" s="8">
        <v>1054</v>
      </c>
      <c r="AG38" s="8">
        <v>1003.898071</v>
      </c>
      <c r="AH38" s="8">
        <f t="shared" si="2"/>
        <v>0</v>
      </c>
      <c r="AK38" s="1">
        <v>1048</v>
      </c>
      <c r="AL38" s="1">
        <v>1944.279663</v>
      </c>
      <c r="AM38" s="8">
        <v>2367.5351559999999</v>
      </c>
    </row>
    <row r="39" spans="2:39" ht="15.75" x14ac:dyDescent="0.25">
      <c r="B39" s="8">
        <v>1048</v>
      </c>
      <c r="C39" s="8" t="s">
        <v>125</v>
      </c>
      <c r="D39" s="8">
        <v>1048</v>
      </c>
      <c r="E39" s="8" t="s">
        <v>126</v>
      </c>
      <c r="F39" s="8" t="str">
        <f t="shared" si="0"/>
        <v>MK</v>
      </c>
      <c r="G39" s="2">
        <v>3386.1000000000058</v>
      </c>
      <c r="H39" s="2">
        <f>SUMIF(RouteID_Conversion!$P$2:$P$745,MD_BoardingByRoute!D39,RouteID_Conversion!$Q$2:$Q$745)</f>
        <v>3900.1579679250681</v>
      </c>
      <c r="I39" s="2"/>
      <c r="K39" s="8">
        <v>58</v>
      </c>
      <c r="L39" s="8">
        <v>6.1234726905799999</v>
      </c>
      <c r="M39" s="8">
        <v>16.6241950989</v>
      </c>
      <c r="N39" s="2">
        <v>272.5</v>
      </c>
      <c r="O39" s="2">
        <v>9675.5000000000055</v>
      </c>
      <c r="P39" s="1"/>
      <c r="Q39" s="1"/>
      <c r="U39" s="1">
        <v>1049</v>
      </c>
      <c r="V39" s="1">
        <v>876.07293700000002</v>
      </c>
      <c r="W39" s="8">
        <v>1055</v>
      </c>
      <c r="X39" s="8">
        <v>1055</v>
      </c>
      <c r="Y39" s="8">
        <v>613.92681900000002</v>
      </c>
      <c r="Z39" s="8">
        <v>623.85601799999995</v>
      </c>
      <c r="AA39" s="8">
        <v>1055</v>
      </c>
      <c r="AB39" s="8">
        <v>568.23168899999996</v>
      </c>
      <c r="AD39" s="8">
        <v>570.05737299999998</v>
      </c>
      <c r="AF39" s="8">
        <v>1055</v>
      </c>
      <c r="AG39" s="8">
        <v>613.92681900000002</v>
      </c>
      <c r="AH39" s="8">
        <f t="shared" si="2"/>
        <v>0</v>
      </c>
      <c r="AK39" s="1">
        <v>1049</v>
      </c>
      <c r="AL39" s="1">
        <v>876.07293700000002</v>
      </c>
      <c r="AM39" s="8">
        <v>987.42260699999997</v>
      </c>
    </row>
    <row r="40" spans="2:39" ht="15.75" x14ac:dyDescent="0.25">
      <c r="B40" s="8">
        <v>1049</v>
      </c>
      <c r="C40" s="8" t="s">
        <v>127</v>
      </c>
      <c r="D40" s="8">
        <v>1049</v>
      </c>
      <c r="E40" s="8" t="s">
        <v>128</v>
      </c>
      <c r="F40" s="8" t="str">
        <f t="shared" si="0"/>
        <v>MK</v>
      </c>
      <c r="G40" s="2">
        <v>2489.3000000000002</v>
      </c>
      <c r="H40" s="2">
        <f>SUMIF(RouteID_Conversion!$P$2:$P$745,MD_BoardingByRoute!D40,RouteID_Conversion!$Q$2:$Q$745)</f>
        <v>2895.4901123046811</v>
      </c>
      <c r="I40" s="2"/>
      <c r="K40" s="8">
        <v>59</v>
      </c>
      <c r="L40" s="8">
        <v>5.74316072464</v>
      </c>
      <c r="M40" s="8">
        <v>22.655389785800001</v>
      </c>
      <c r="N40" s="2">
        <v>375.8</v>
      </c>
      <c r="O40" s="2">
        <v>6509</v>
      </c>
      <c r="P40" s="1"/>
      <c r="Q40" s="1"/>
      <c r="U40" s="1">
        <v>1051</v>
      </c>
      <c r="V40" s="1">
        <v>79.344170000000005</v>
      </c>
      <c r="W40" s="8">
        <v>1056</v>
      </c>
      <c r="X40" s="8">
        <v>1056</v>
      </c>
      <c r="Y40" s="8">
        <v>435.233093</v>
      </c>
      <c r="Z40" s="8">
        <v>479.75152600000001</v>
      </c>
      <c r="AA40" s="8">
        <v>1056</v>
      </c>
      <c r="AB40" s="8">
        <v>406.70236199999999</v>
      </c>
      <c r="AD40" s="8">
        <v>408.20980800000001</v>
      </c>
      <c r="AF40" s="8">
        <v>1056</v>
      </c>
      <c r="AG40" s="8">
        <v>435.233093</v>
      </c>
      <c r="AH40" s="8">
        <f t="shared" si="2"/>
        <v>0</v>
      </c>
      <c r="AK40" s="1">
        <v>1051</v>
      </c>
      <c r="AL40" s="1">
        <v>79.344170000000005</v>
      </c>
      <c r="AM40" s="8">
        <v>85.490921</v>
      </c>
    </row>
    <row r="41" spans="2:39" ht="15.75" x14ac:dyDescent="0.25">
      <c r="B41" s="8">
        <v>1051</v>
      </c>
      <c r="C41" s="8" t="s">
        <v>129</v>
      </c>
      <c r="D41" s="8">
        <v>1051</v>
      </c>
      <c r="E41" s="8" t="s">
        <v>130</v>
      </c>
      <c r="F41" s="8" t="str">
        <f t="shared" si="0"/>
        <v>MK</v>
      </c>
      <c r="G41" s="2">
        <v>67.400000000000006</v>
      </c>
      <c r="H41" s="2">
        <f>SUMIF(RouteID_Conversion!$P$2:$P$745,MD_BoardingByRoute!D41,RouteID_Conversion!$Q$2:$Q$745)</f>
        <v>28.941140770912131</v>
      </c>
      <c r="I41" s="2"/>
      <c r="K41" s="8">
        <v>60</v>
      </c>
      <c r="L41" s="8">
        <v>7.1428567171099994E-2</v>
      </c>
      <c r="M41" s="8">
        <v>15.253198623699999</v>
      </c>
      <c r="N41" s="2">
        <v>0</v>
      </c>
      <c r="O41" s="2">
        <v>166.3</v>
      </c>
      <c r="P41" s="1"/>
      <c r="Q41" s="1"/>
      <c r="U41" s="1">
        <v>1053</v>
      </c>
      <c r="V41" s="1">
        <v>36.595683999999999</v>
      </c>
      <c r="W41" s="8">
        <v>1060</v>
      </c>
      <c r="X41" s="8">
        <v>1060</v>
      </c>
      <c r="Y41" s="8">
        <v>1142.771606</v>
      </c>
      <c r="Z41" s="8">
        <v>1353.8054199999999</v>
      </c>
      <c r="AA41" s="8">
        <v>1060</v>
      </c>
      <c r="AB41" s="8">
        <v>1140.321289</v>
      </c>
      <c r="AD41" s="8">
        <v>1141.950562</v>
      </c>
      <c r="AF41" s="8">
        <v>1060</v>
      </c>
      <c r="AG41" s="8">
        <v>1142.771606</v>
      </c>
      <c r="AH41" s="8">
        <f t="shared" si="2"/>
        <v>0</v>
      </c>
      <c r="AK41" s="1">
        <v>1053</v>
      </c>
      <c r="AL41" s="1">
        <v>36.595683999999999</v>
      </c>
      <c r="AM41" s="8">
        <v>42.900879000000003</v>
      </c>
    </row>
    <row r="42" spans="2:39" ht="15.75" x14ac:dyDescent="0.25">
      <c r="B42" s="8">
        <v>1053</v>
      </c>
      <c r="C42" s="8" t="s">
        <v>131</v>
      </c>
      <c r="D42" s="8">
        <v>1053</v>
      </c>
      <c r="E42" s="8" t="s">
        <v>132</v>
      </c>
      <c r="F42" s="8" t="str">
        <f t="shared" si="0"/>
        <v>MK</v>
      </c>
      <c r="G42" s="2">
        <v>56.2</v>
      </c>
      <c r="H42" s="2">
        <f>SUMIF(RouteID_Conversion!$P$2:$P$745,MD_BoardingByRoute!D42,RouteID_Conversion!$Q$2:$Q$745)</f>
        <v>54.922820165753187</v>
      </c>
      <c r="I42" s="2"/>
      <c r="K42" s="8">
        <v>61</v>
      </c>
      <c r="L42" s="8">
        <v>3.1336152553600001</v>
      </c>
      <c r="M42" s="8">
        <v>21.812131881700001</v>
      </c>
      <c r="N42" s="2">
        <v>0</v>
      </c>
      <c r="O42" s="2">
        <v>82.5</v>
      </c>
      <c r="P42" s="1"/>
      <c r="Q42" s="1"/>
      <c r="U42" s="1">
        <v>1054</v>
      </c>
      <c r="V42" s="1">
        <v>1396.732544</v>
      </c>
      <c r="W42" s="8">
        <v>1065</v>
      </c>
      <c r="X42" s="8">
        <v>1065</v>
      </c>
      <c r="Y42" s="8">
        <v>549.10205099999996</v>
      </c>
      <c r="Z42" s="8">
        <v>586.44341999999995</v>
      </c>
      <c r="AA42" s="8">
        <v>1065</v>
      </c>
      <c r="AB42" s="8">
        <v>484.03945900000002</v>
      </c>
      <c r="AD42" s="8">
        <v>485.13485700000001</v>
      </c>
      <c r="AF42" s="8">
        <v>1065</v>
      </c>
      <c r="AG42" s="8">
        <v>549.10205099999996</v>
      </c>
      <c r="AH42" s="8">
        <f t="shared" si="2"/>
        <v>0</v>
      </c>
      <c r="AK42" s="1">
        <v>1054</v>
      </c>
      <c r="AL42" s="1">
        <v>1396.732544</v>
      </c>
      <c r="AM42" s="8">
        <v>1541.655518</v>
      </c>
    </row>
    <row r="43" spans="2:39" ht="15.75" x14ac:dyDescent="0.25">
      <c r="B43" s="8">
        <v>1054</v>
      </c>
      <c r="C43" s="8" t="s">
        <v>133</v>
      </c>
      <c r="D43" s="8">
        <v>1054</v>
      </c>
      <c r="E43" s="8" t="s">
        <v>134</v>
      </c>
      <c r="F43" s="8" t="str">
        <f t="shared" si="0"/>
        <v>MK</v>
      </c>
      <c r="G43" s="2">
        <v>885.7</v>
      </c>
      <c r="H43" s="2">
        <f>SUMIF(RouteID_Conversion!$P$2:$P$745,MD_BoardingByRoute!D43,RouteID_Conversion!$Q$2:$Q$745)</f>
        <v>1045.9075546264628</v>
      </c>
      <c r="I43" s="2"/>
      <c r="K43" s="8">
        <v>62</v>
      </c>
      <c r="L43" s="8">
        <v>2.4493889808699998</v>
      </c>
      <c r="M43" s="8">
        <v>16.6241950989</v>
      </c>
      <c r="N43" s="2">
        <v>226</v>
      </c>
      <c r="O43" s="2">
        <v>3661.1</v>
      </c>
      <c r="P43" s="1"/>
      <c r="Q43" s="1"/>
      <c r="U43" s="1">
        <v>1055</v>
      </c>
      <c r="V43" s="1">
        <v>673.600281</v>
      </c>
      <c r="W43" s="8">
        <v>1066</v>
      </c>
      <c r="X43" s="8">
        <v>1066</v>
      </c>
      <c r="Y43" s="8">
        <v>572.50317399999994</v>
      </c>
      <c r="Z43" s="8">
        <v>644.15612799999997</v>
      </c>
      <c r="AA43" s="8">
        <v>1066</v>
      </c>
      <c r="AB43" s="8">
        <v>524.86425799999995</v>
      </c>
      <c r="AD43" s="8">
        <v>528.23468000000003</v>
      </c>
      <c r="AF43" s="8">
        <v>1066</v>
      </c>
      <c r="AG43" s="8">
        <v>572.50317399999994</v>
      </c>
      <c r="AH43" s="8">
        <f t="shared" si="2"/>
        <v>0</v>
      </c>
      <c r="AK43" s="1">
        <v>1055</v>
      </c>
      <c r="AL43" s="1">
        <v>673.600281</v>
      </c>
      <c r="AM43" s="8">
        <v>748.81970200000001</v>
      </c>
    </row>
    <row r="44" spans="2:39" ht="15.75" x14ac:dyDescent="0.25">
      <c r="B44" s="8">
        <v>1055</v>
      </c>
      <c r="C44" s="8" t="s">
        <v>135</v>
      </c>
      <c r="D44" s="8">
        <v>1055</v>
      </c>
      <c r="E44" s="8" t="s">
        <v>136</v>
      </c>
      <c r="F44" s="8" t="str">
        <f t="shared" si="0"/>
        <v>MK</v>
      </c>
      <c r="G44" s="2">
        <v>578.70000000000005</v>
      </c>
      <c r="H44" s="2">
        <f>SUMIF(RouteID_Conversion!$P$2:$P$745,MD_BoardingByRoute!D44,RouteID_Conversion!$Q$2:$Q$745)</f>
        <v>714.12568664550645</v>
      </c>
      <c r="I44" s="2"/>
      <c r="K44" s="8">
        <v>63</v>
      </c>
      <c r="L44" s="8">
        <v>24.046161651599999</v>
      </c>
      <c r="M44" s="8">
        <v>32.8907432556</v>
      </c>
      <c r="N44" s="2">
        <v>66.7</v>
      </c>
      <c r="O44" s="2">
        <v>1953.8</v>
      </c>
      <c r="P44" s="1"/>
      <c r="Q44" s="1"/>
      <c r="U44" s="1">
        <v>1056</v>
      </c>
      <c r="V44" s="1">
        <v>599.959656</v>
      </c>
      <c r="W44" s="8">
        <v>1067</v>
      </c>
      <c r="X44" s="8">
        <v>1067</v>
      </c>
      <c r="Y44" s="8">
        <v>298.87982199999999</v>
      </c>
      <c r="Z44" s="8">
        <v>341.97451799999999</v>
      </c>
      <c r="AA44" s="8">
        <v>1067</v>
      </c>
      <c r="AB44" s="8">
        <v>289.76364100000001</v>
      </c>
      <c r="AD44" s="8">
        <v>291.89874300000002</v>
      </c>
      <c r="AF44" s="8">
        <v>1067</v>
      </c>
      <c r="AG44" s="8">
        <v>298.87982199999999</v>
      </c>
      <c r="AH44" s="8">
        <f t="shared" si="2"/>
        <v>0</v>
      </c>
      <c r="AK44" s="1">
        <v>1056</v>
      </c>
      <c r="AL44" s="1">
        <v>599.959656</v>
      </c>
      <c r="AM44" s="8">
        <v>707.92858899999999</v>
      </c>
    </row>
    <row r="45" spans="2:39" ht="15.75" x14ac:dyDescent="0.25">
      <c r="B45" s="8">
        <v>1056</v>
      </c>
      <c r="C45" s="8" t="s">
        <v>137</v>
      </c>
      <c r="D45" s="8">
        <v>1056</v>
      </c>
      <c r="E45" s="8" t="s">
        <v>138</v>
      </c>
      <c r="F45" s="8" t="str">
        <f t="shared" si="0"/>
        <v>MK</v>
      </c>
      <c r="G45" s="2">
        <v>644.79999999999995</v>
      </c>
      <c r="H45" s="2">
        <f>SUMIF(RouteID_Conversion!$P$2:$P$745,MD_BoardingByRoute!D45,RouteID_Conversion!$Q$2:$Q$745)</f>
        <v>616.74208831787053</v>
      </c>
      <c r="I45" s="2"/>
      <c r="K45" s="8">
        <v>64</v>
      </c>
      <c r="L45" s="8">
        <v>15.7647838593</v>
      </c>
      <c r="M45" s="8">
        <v>24.1736564636</v>
      </c>
      <c r="N45" s="2">
        <v>98.4</v>
      </c>
      <c r="O45" s="2">
        <v>2084</v>
      </c>
      <c r="P45" s="1"/>
      <c r="Q45" s="1"/>
      <c r="U45" s="1">
        <v>1057</v>
      </c>
      <c r="V45" s="1">
        <v>227.54298399999999</v>
      </c>
      <c r="W45" s="8">
        <v>1068</v>
      </c>
      <c r="X45" s="8">
        <v>1068</v>
      </c>
      <c r="Y45" s="8">
        <v>565.71386700000005</v>
      </c>
      <c r="Z45" s="8">
        <v>515.01824999999997</v>
      </c>
      <c r="AA45" s="8">
        <v>1068</v>
      </c>
      <c r="AB45" s="8">
        <v>425.65295400000002</v>
      </c>
      <c r="AD45" s="8">
        <v>426.88107300000001</v>
      </c>
      <c r="AF45" s="8">
        <v>1068</v>
      </c>
      <c r="AG45" s="8">
        <v>565.71386700000005</v>
      </c>
      <c r="AH45" s="8">
        <f t="shared" si="2"/>
        <v>0</v>
      </c>
      <c r="AK45" s="1">
        <v>1057</v>
      </c>
      <c r="AL45" s="1">
        <v>227.54298399999999</v>
      </c>
      <c r="AM45" s="8">
        <v>268.392853</v>
      </c>
    </row>
    <row r="46" spans="2:39" ht="15.75" x14ac:dyDescent="0.25">
      <c r="B46" s="8">
        <v>1060</v>
      </c>
      <c r="C46" s="8" t="s">
        <v>141</v>
      </c>
      <c r="D46" s="8">
        <v>1060</v>
      </c>
      <c r="E46" s="8" t="s">
        <v>142</v>
      </c>
      <c r="F46" s="8" t="str">
        <f t="shared" si="0"/>
        <v>MK</v>
      </c>
      <c r="G46" s="2">
        <v>1757.5</v>
      </c>
      <c r="H46" s="2">
        <f>SUMIF(RouteID_Conversion!$P$2:$P$745,MD_BoardingByRoute!D46,RouteID_Conversion!$Q$2:$Q$745)</f>
        <v>1553.6210794448816</v>
      </c>
      <c r="I46" s="2"/>
      <c r="K46" s="8">
        <v>66</v>
      </c>
      <c r="L46" s="8">
        <v>29.2689990997</v>
      </c>
      <c r="M46" s="8">
        <v>25.539152145399999</v>
      </c>
      <c r="N46" s="2">
        <v>47.6</v>
      </c>
      <c r="O46" s="2">
        <v>3874.3</v>
      </c>
      <c r="P46" s="1"/>
      <c r="Q46" s="1"/>
      <c r="U46" s="1">
        <v>1064</v>
      </c>
      <c r="V46" s="1">
        <v>621.98040800000001</v>
      </c>
      <c r="W46" s="8">
        <v>1071</v>
      </c>
      <c r="X46" s="8">
        <v>1071</v>
      </c>
      <c r="Y46" s="8">
        <v>970.962219</v>
      </c>
      <c r="Z46" s="8">
        <v>1018.879272</v>
      </c>
      <c r="AA46" s="8">
        <v>1071</v>
      </c>
      <c r="AB46" s="8">
        <v>978.63311799999997</v>
      </c>
      <c r="AD46" s="8">
        <v>978.527466</v>
      </c>
      <c r="AF46" s="8">
        <v>1071</v>
      </c>
      <c r="AG46" s="8">
        <v>970.962219</v>
      </c>
      <c r="AH46" s="8">
        <f t="shared" si="2"/>
        <v>0</v>
      </c>
      <c r="AK46" s="1">
        <v>1064</v>
      </c>
      <c r="AL46" s="1">
        <v>621.98040800000001</v>
      </c>
      <c r="AM46" s="8">
        <v>681.064392</v>
      </c>
    </row>
    <row r="47" spans="2:39" ht="15.75" x14ac:dyDescent="0.25">
      <c r="B47" s="8">
        <v>1065</v>
      </c>
      <c r="C47" s="8" t="s">
        <v>145</v>
      </c>
      <c r="D47" s="8">
        <v>1065</v>
      </c>
      <c r="E47" s="8" t="s">
        <v>146</v>
      </c>
      <c r="F47" s="8" t="str">
        <f t="shared" si="0"/>
        <v>MK</v>
      </c>
      <c r="G47" s="2">
        <v>979.2</v>
      </c>
      <c r="H47" s="2">
        <f>SUMIF(RouteID_Conversion!$P$2:$P$745,MD_BoardingByRoute!D47,RouteID_Conversion!$Q$2:$Q$745)</f>
        <v>621.12892532348496</v>
      </c>
      <c r="I47" s="2"/>
      <c r="K47" s="8">
        <v>68</v>
      </c>
      <c r="L47" s="8">
        <v>30.053928375200002</v>
      </c>
      <c r="M47" s="8">
        <v>9.8141613006600004</v>
      </c>
      <c r="N47" s="2">
        <v>70</v>
      </c>
      <c r="O47" s="2">
        <v>2802.3</v>
      </c>
      <c r="P47" s="1"/>
      <c r="Q47" s="1"/>
      <c r="U47" s="1">
        <v>1066</v>
      </c>
      <c r="V47" s="1">
        <v>675.95599400000003</v>
      </c>
      <c r="W47" s="8">
        <v>1073</v>
      </c>
      <c r="X47" s="8">
        <v>1073</v>
      </c>
      <c r="Y47" s="8">
        <v>1665.5371090000001</v>
      </c>
      <c r="Z47" s="8">
        <v>1749.0938719999999</v>
      </c>
      <c r="AA47" s="8">
        <v>1073</v>
      </c>
      <c r="AB47" s="8">
        <v>1690.0511469999999</v>
      </c>
      <c r="AD47" s="8">
        <v>1685.7631839999999</v>
      </c>
      <c r="AF47" s="8">
        <v>1073</v>
      </c>
      <c r="AG47" s="8">
        <v>1665.5371090000001</v>
      </c>
      <c r="AH47" s="8">
        <f t="shared" si="2"/>
        <v>0</v>
      </c>
      <c r="AK47" s="1">
        <v>1066</v>
      </c>
      <c r="AL47" s="1">
        <v>675.95599400000003</v>
      </c>
      <c r="AM47" s="8">
        <v>1456.2094729999999</v>
      </c>
    </row>
    <row r="48" spans="2:39" ht="15.75" x14ac:dyDescent="0.25">
      <c r="B48" s="8">
        <v>1066</v>
      </c>
      <c r="C48" s="8" t="s">
        <v>147</v>
      </c>
      <c r="D48" s="8">
        <v>1066</v>
      </c>
      <c r="E48" s="8" t="s">
        <v>148</v>
      </c>
      <c r="F48" s="8" t="str">
        <f t="shared" si="0"/>
        <v>MK</v>
      </c>
      <c r="G48" s="2">
        <v>872.79999999999882</v>
      </c>
      <c r="H48" s="2">
        <f>SUMIF(RouteID_Conversion!$P$2:$P$745,MD_BoardingByRoute!D48,RouteID_Conversion!$Q$2:$Q$745)</f>
        <v>1214.8419036865207</v>
      </c>
      <c r="I48" s="2"/>
      <c r="K48" s="8">
        <v>69</v>
      </c>
      <c r="L48" s="8">
        <v>5.6553759574900004</v>
      </c>
      <c r="M48" s="8">
        <v>10.827403068500001</v>
      </c>
      <c r="N48" s="2">
        <v>123.6</v>
      </c>
      <c r="O48" s="2">
        <v>2655.7</v>
      </c>
      <c r="P48" s="1"/>
      <c r="Q48" s="1"/>
      <c r="U48" s="1">
        <v>1067</v>
      </c>
      <c r="V48" s="1">
        <v>321.644745</v>
      </c>
      <c r="W48" s="8">
        <v>1074</v>
      </c>
      <c r="X48" s="8">
        <v>1074</v>
      </c>
      <c r="Y48" s="8">
        <v>139.549744</v>
      </c>
      <c r="Z48" s="8">
        <v>147.125687</v>
      </c>
      <c r="AA48" s="8">
        <v>1074</v>
      </c>
      <c r="AB48" s="8">
        <v>143.481628</v>
      </c>
      <c r="AD48" s="8">
        <v>143.70199600000001</v>
      </c>
      <c r="AF48" s="8">
        <v>1074</v>
      </c>
      <c r="AG48" s="8">
        <v>139.549744</v>
      </c>
      <c r="AH48" s="8">
        <f t="shared" si="2"/>
        <v>0</v>
      </c>
      <c r="AK48" s="1">
        <v>1067</v>
      </c>
      <c r="AL48" s="1">
        <v>321.644745</v>
      </c>
      <c r="AM48" s="8">
        <v>629.40936299999998</v>
      </c>
    </row>
    <row r="49" spans="2:39" ht="15.75" x14ac:dyDescent="0.25">
      <c r="B49" s="8">
        <v>1067</v>
      </c>
      <c r="C49" s="8" t="s">
        <v>149</v>
      </c>
      <c r="D49" s="8">
        <v>1067</v>
      </c>
      <c r="E49" s="8" t="s">
        <v>150</v>
      </c>
      <c r="F49" s="8" t="str">
        <f t="shared" si="0"/>
        <v>MK</v>
      </c>
      <c r="G49" s="2">
        <v>529.20000000000005</v>
      </c>
      <c r="H49" s="2">
        <f>SUMIF(RouteID_Conversion!$P$2:$P$745,MD_BoardingByRoute!D49,RouteID_Conversion!$Q$2:$Q$745)</f>
        <v>565.23587036132744</v>
      </c>
      <c r="I49" s="2"/>
      <c r="K49" s="8">
        <v>70</v>
      </c>
      <c r="L49" s="8">
        <v>0</v>
      </c>
      <c r="M49" s="8">
        <v>8.2681322097799992</v>
      </c>
      <c r="N49" s="2">
        <v>0.4</v>
      </c>
      <c r="O49" s="2">
        <v>1418.8</v>
      </c>
      <c r="P49" s="1"/>
      <c r="Q49" s="1"/>
      <c r="U49" s="1">
        <v>1068</v>
      </c>
      <c r="V49" s="1">
        <v>491.30770899999999</v>
      </c>
      <c r="W49" s="8">
        <v>1075</v>
      </c>
      <c r="X49" s="8">
        <v>1075</v>
      </c>
      <c r="Y49" s="8">
        <v>1488.4415280000001</v>
      </c>
      <c r="Z49" s="8">
        <v>1572.6385499999999</v>
      </c>
      <c r="AA49" s="8">
        <v>1075</v>
      </c>
      <c r="AB49" s="8">
        <v>1328.2998050000001</v>
      </c>
      <c r="AD49" s="8">
        <v>1332.2825929999999</v>
      </c>
      <c r="AF49" s="8">
        <v>1075</v>
      </c>
      <c r="AG49" s="8">
        <v>1488.4415280000001</v>
      </c>
      <c r="AH49" s="8">
        <f t="shared" si="2"/>
        <v>0</v>
      </c>
      <c r="AK49" s="1">
        <v>1068</v>
      </c>
      <c r="AL49" s="1">
        <v>491.30770899999999</v>
      </c>
      <c r="AM49" s="8">
        <v>363.80831899999998</v>
      </c>
    </row>
    <row r="50" spans="2:39" ht="15.75" x14ac:dyDescent="0.25">
      <c r="B50" s="8">
        <v>1068</v>
      </c>
      <c r="C50" s="8" t="s">
        <v>151</v>
      </c>
      <c r="D50" s="8">
        <v>1068</v>
      </c>
      <c r="E50" s="8" t="s">
        <v>152</v>
      </c>
      <c r="F50" s="8" t="str">
        <f t="shared" si="0"/>
        <v>MK</v>
      </c>
      <c r="G50" s="2">
        <v>1081.0999999999999</v>
      </c>
      <c r="H50" s="2">
        <f>SUMIF(RouteID_Conversion!$P$2:$P$745,MD_BoardingByRoute!D50,RouteID_Conversion!$Q$2:$Q$745)</f>
        <v>659.39297866821244</v>
      </c>
      <c r="I50" s="2"/>
      <c r="K50" s="8">
        <v>71</v>
      </c>
      <c r="L50" s="8">
        <v>3.68517303467</v>
      </c>
      <c r="M50" s="8">
        <v>35.5836105347</v>
      </c>
      <c r="N50" s="2">
        <v>3.1</v>
      </c>
      <c r="O50" s="2">
        <v>2176.3000000000002</v>
      </c>
      <c r="P50" s="1"/>
      <c r="Q50" s="1"/>
      <c r="U50" s="1">
        <v>1070</v>
      </c>
      <c r="V50" s="1">
        <v>1068.1054690000001</v>
      </c>
      <c r="W50" s="8">
        <v>1099</v>
      </c>
      <c r="X50" s="8">
        <v>1099</v>
      </c>
      <c r="Y50" s="8">
        <v>15.389049999999999</v>
      </c>
      <c r="Z50" s="8">
        <v>17.114998</v>
      </c>
      <c r="AA50" s="8">
        <v>1099</v>
      </c>
      <c r="AB50" s="8">
        <v>14.823162</v>
      </c>
      <c r="AD50" s="8">
        <v>14.86628</v>
      </c>
      <c r="AF50" s="8">
        <v>1099</v>
      </c>
      <c r="AG50" s="8">
        <v>15.389049999999999</v>
      </c>
      <c r="AH50" s="8">
        <f t="shared" si="2"/>
        <v>0</v>
      </c>
      <c r="AK50" s="1">
        <v>1070</v>
      </c>
      <c r="AL50" s="1">
        <v>1068.1054690000001</v>
      </c>
      <c r="AM50" s="8">
        <v>2182.1064449999999</v>
      </c>
    </row>
    <row r="51" spans="2:39" ht="15.75" x14ac:dyDescent="0.25">
      <c r="B51" s="8">
        <v>1070</v>
      </c>
      <c r="C51" s="8" t="s">
        <v>153</v>
      </c>
      <c r="D51" s="8">
        <v>1070</v>
      </c>
      <c r="E51" s="8" t="s">
        <v>154</v>
      </c>
      <c r="F51" s="8" t="str">
        <f t="shared" si="0"/>
        <v>MK</v>
      </c>
      <c r="G51" s="2">
        <v>1409.2</v>
      </c>
      <c r="H51" s="2">
        <f>SUMIF(RouteID_Conversion!$P$2:$P$745,MD_BoardingByRoute!D51,RouteID_Conversion!$Q$2:$Q$745)</f>
        <v>2268.6404275894129</v>
      </c>
      <c r="I51" s="2"/>
      <c r="K51" s="8">
        <v>72</v>
      </c>
      <c r="L51" s="8">
        <v>36.851734161400003</v>
      </c>
      <c r="M51" s="8">
        <v>35.134651184100001</v>
      </c>
      <c r="N51" s="2">
        <v>13.6</v>
      </c>
      <c r="O51" s="2">
        <v>3848.2</v>
      </c>
      <c r="P51" s="1"/>
      <c r="Q51" s="1"/>
      <c r="U51" s="1">
        <v>1071</v>
      </c>
      <c r="V51" s="1">
        <v>1047.320068</v>
      </c>
      <c r="W51" s="8">
        <v>1101</v>
      </c>
      <c r="X51" s="8">
        <v>1101</v>
      </c>
      <c r="Y51" s="8">
        <v>810.28021200000001</v>
      </c>
      <c r="Z51" s="8">
        <v>909.94171100000005</v>
      </c>
      <c r="AA51" s="8">
        <v>1101</v>
      </c>
      <c r="AB51" s="8">
        <v>827.50012200000003</v>
      </c>
      <c r="AD51" s="8">
        <v>828.70666500000004</v>
      </c>
      <c r="AF51" s="8">
        <v>1101</v>
      </c>
      <c r="AG51" s="8">
        <v>810.28021200000001</v>
      </c>
      <c r="AH51" s="8">
        <f t="shared" si="2"/>
        <v>0</v>
      </c>
      <c r="AK51" s="1">
        <v>1071</v>
      </c>
      <c r="AL51" s="1">
        <v>1047.320068</v>
      </c>
      <c r="AM51" s="8">
        <v>649.93988000000002</v>
      </c>
    </row>
    <row r="52" spans="2:39" ht="15.75" x14ac:dyDescent="0.25">
      <c r="B52" s="8">
        <v>1071</v>
      </c>
      <c r="C52" s="8" t="s">
        <v>155</v>
      </c>
      <c r="D52" s="8">
        <v>1071</v>
      </c>
      <c r="E52" s="8" t="s">
        <v>156</v>
      </c>
      <c r="F52" s="8" t="str">
        <f t="shared" si="0"/>
        <v>MK</v>
      </c>
      <c r="G52" s="2">
        <v>1493.8</v>
      </c>
      <c r="H52" s="2">
        <f>SUMIF(RouteID_Conversion!$P$2:$P$745,MD_BoardingByRoute!D52,RouteID_Conversion!$Q$2:$Q$745)</f>
        <v>1488.1626853942839</v>
      </c>
      <c r="I52" s="2"/>
      <c r="K52" s="8">
        <v>73</v>
      </c>
      <c r="L52" s="8">
        <v>41.5681037903</v>
      </c>
      <c r="M52" s="8">
        <v>31.681484222400002</v>
      </c>
      <c r="N52" s="2">
        <v>377.3</v>
      </c>
      <c r="O52" s="2">
        <v>4384.8</v>
      </c>
      <c r="P52" s="1"/>
      <c r="Q52" s="1"/>
      <c r="U52" s="1">
        <v>1072</v>
      </c>
      <c r="V52" s="1">
        <v>1042.2310789999999</v>
      </c>
      <c r="W52" s="8">
        <v>1105</v>
      </c>
      <c r="X52" s="8">
        <v>1105</v>
      </c>
      <c r="Y52" s="8">
        <v>411.44998199999998</v>
      </c>
      <c r="Z52" s="8">
        <v>458.11248799999998</v>
      </c>
      <c r="AA52" s="8">
        <v>1105</v>
      </c>
      <c r="AB52" s="8">
        <v>357.27590900000001</v>
      </c>
      <c r="AD52" s="8">
        <v>358.65390000000002</v>
      </c>
      <c r="AF52" s="8">
        <v>1105</v>
      </c>
      <c r="AG52" s="8">
        <v>411.44998199999998</v>
      </c>
      <c r="AH52" s="8">
        <f t="shared" si="2"/>
        <v>0</v>
      </c>
      <c r="AK52" s="1">
        <v>1072</v>
      </c>
      <c r="AL52" s="1">
        <v>1042.2310789999999</v>
      </c>
      <c r="AM52" s="8">
        <v>585.96478300000001</v>
      </c>
    </row>
    <row r="53" spans="2:39" ht="15.75" x14ac:dyDescent="0.25">
      <c r="B53" s="8">
        <v>1072</v>
      </c>
      <c r="C53" s="8" t="s">
        <v>157</v>
      </c>
      <c r="D53" s="8">
        <v>1072</v>
      </c>
      <c r="E53" s="8" t="s">
        <v>158</v>
      </c>
      <c r="F53" s="8" t="str">
        <f t="shared" si="0"/>
        <v>MK</v>
      </c>
      <c r="G53" s="2">
        <v>1784.7</v>
      </c>
      <c r="H53" s="2">
        <f>SUMIF(RouteID_Conversion!$P$2:$P$745,MD_BoardingByRoute!D53,RouteID_Conversion!$Q$2:$Q$745)</f>
        <v>1557.0359077453593</v>
      </c>
      <c r="I53" s="2"/>
      <c r="K53" s="8">
        <v>74</v>
      </c>
      <c r="L53" s="8">
        <v>9.8582258224500006</v>
      </c>
      <c r="M53" s="8">
        <v>24.402420043900001</v>
      </c>
      <c r="N53" s="2">
        <v>358.9</v>
      </c>
      <c r="O53" s="2">
        <v>4631.7</v>
      </c>
      <c r="P53" s="1"/>
      <c r="Q53" s="1"/>
      <c r="U53" s="1">
        <v>1073</v>
      </c>
      <c r="V53" s="1">
        <v>1373.7977289999999</v>
      </c>
      <c r="W53" s="8">
        <v>1106</v>
      </c>
      <c r="X53" s="8">
        <v>1106</v>
      </c>
      <c r="Y53" s="8">
        <v>876.65478499999995</v>
      </c>
      <c r="Z53" s="8">
        <v>964.98449700000003</v>
      </c>
      <c r="AA53" s="8">
        <v>1106</v>
      </c>
      <c r="AB53" s="8">
        <v>836.67089799999997</v>
      </c>
      <c r="AD53" s="8">
        <v>836.33593800000006</v>
      </c>
      <c r="AF53" s="8">
        <v>1106</v>
      </c>
      <c r="AG53" s="8">
        <v>876.65478499999995</v>
      </c>
      <c r="AH53" s="8">
        <f t="shared" si="2"/>
        <v>0</v>
      </c>
      <c r="AK53" s="1">
        <v>1073</v>
      </c>
      <c r="AL53" s="1">
        <v>1373.7977289999999</v>
      </c>
      <c r="AM53" s="8">
        <v>768.74823000000004</v>
      </c>
    </row>
    <row r="54" spans="2:39" ht="15.75" x14ac:dyDescent="0.25">
      <c r="B54" s="8">
        <v>1073</v>
      </c>
      <c r="C54" s="8" t="s">
        <v>159</v>
      </c>
      <c r="D54" s="8">
        <v>1073</v>
      </c>
      <c r="E54" s="8" t="s">
        <v>160</v>
      </c>
      <c r="F54" s="8" t="str">
        <f t="shared" si="0"/>
        <v>MK</v>
      </c>
      <c r="G54" s="2">
        <v>2542.1</v>
      </c>
      <c r="H54" s="2">
        <f>SUMIF(RouteID_Conversion!$P$2:$P$745,MD_BoardingByRoute!D54,RouteID_Conversion!$Q$2:$Q$745)</f>
        <v>2411.7657785415586</v>
      </c>
      <c r="I54" s="2"/>
      <c r="K54" s="8">
        <v>75</v>
      </c>
      <c r="L54" s="8">
        <v>2.8276879787400002</v>
      </c>
      <c r="M54" s="8">
        <v>18.1064682007</v>
      </c>
      <c r="N54" s="2">
        <v>280</v>
      </c>
      <c r="O54" s="2">
        <v>5639.6</v>
      </c>
      <c r="P54" s="1"/>
      <c r="Q54" s="1"/>
      <c r="U54" s="1">
        <v>1074</v>
      </c>
      <c r="V54" s="1">
        <v>417.34866299999999</v>
      </c>
      <c r="W54" s="8">
        <v>1107</v>
      </c>
      <c r="X54" s="8">
        <v>1107</v>
      </c>
      <c r="Y54" s="8">
        <v>397.50997899999999</v>
      </c>
      <c r="Z54" s="8">
        <v>434.77572600000002</v>
      </c>
      <c r="AA54" s="8">
        <v>1107</v>
      </c>
      <c r="AB54" s="8">
        <v>333.60601800000001</v>
      </c>
      <c r="AD54" s="8">
        <v>336.08059700000001</v>
      </c>
      <c r="AF54" s="8">
        <v>1107</v>
      </c>
      <c r="AG54" s="8">
        <v>397.50997899999999</v>
      </c>
      <c r="AH54" s="8">
        <f t="shared" si="2"/>
        <v>0</v>
      </c>
      <c r="AK54" s="1">
        <v>1074</v>
      </c>
      <c r="AL54" s="1">
        <v>417.34866299999999</v>
      </c>
      <c r="AM54" s="8">
        <v>442.18637100000001</v>
      </c>
    </row>
    <row r="55" spans="2:39" ht="15.75" x14ac:dyDescent="0.25">
      <c r="B55" s="8">
        <v>1074</v>
      </c>
      <c r="C55" s="8" t="s">
        <v>161</v>
      </c>
      <c r="D55" s="8">
        <v>1074</v>
      </c>
      <c r="E55" s="8" t="s">
        <v>162</v>
      </c>
      <c r="F55" s="8" t="str">
        <f t="shared" si="0"/>
        <v>MK</v>
      </c>
      <c r="G55" s="2">
        <v>124.1</v>
      </c>
      <c r="H55" s="2">
        <f>SUMIF(RouteID_Conversion!$P$2:$P$745,MD_BoardingByRoute!D55,RouteID_Conversion!$Q$2:$Q$745)</f>
        <v>180.36989879608137</v>
      </c>
      <c r="I55" s="2"/>
      <c r="K55" s="8">
        <v>76</v>
      </c>
      <c r="L55" s="8">
        <v>53.929832458500002</v>
      </c>
      <c r="M55" s="8">
        <v>38.598663330100003</v>
      </c>
      <c r="N55" s="2">
        <v>0</v>
      </c>
      <c r="O55" s="2">
        <v>1021.5</v>
      </c>
      <c r="P55" s="1"/>
      <c r="Q55" s="1"/>
      <c r="U55" s="1">
        <v>1075</v>
      </c>
      <c r="V55" s="1">
        <v>1491.6789550000001</v>
      </c>
      <c r="W55" s="8">
        <v>1110</v>
      </c>
      <c r="X55" s="8">
        <v>1110</v>
      </c>
      <c r="Y55" s="8">
        <v>14.137938</v>
      </c>
      <c r="Z55" s="8">
        <v>24.227122999999999</v>
      </c>
      <c r="AA55" s="8">
        <v>1110</v>
      </c>
      <c r="AB55" s="8">
        <v>18.426338000000001</v>
      </c>
      <c r="AD55" s="8">
        <v>20.166798</v>
      </c>
      <c r="AF55" s="8">
        <v>1110</v>
      </c>
      <c r="AG55" s="8">
        <v>14.137938</v>
      </c>
      <c r="AH55" s="8">
        <f t="shared" si="2"/>
        <v>0</v>
      </c>
      <c r="AK55" s="1">
        <v>1075</v>
      </c>
      <c r="AL55" s="1">
        <v>1491.6789550000001</v>
      </c>
      <c r="AM55" s="8">
        <v>1723.255981</v>
      </c>
    </row>
    <row r="56" spans="2:39" ht="15.75" x14ac:dyDescent="0.25">
      <c r="B56" s="8">
        <v>1075</v>
      </c>
      <c r="C56" s="8" t="s">
        <v>163</v>
      </c>
      <c r="D56" s="8">
        <v>1075</v>
      </c>
      <c r="E56" s="8" t="s">
        <v>164</v>
      </c>
      <c r="F56" s="8" t="str">
        <f t="shared" si="0"/>
        <v>MK</v>
      </c>
      <c r="G56" s="2">
        <v>1715.9</v>
      </c>
      <c r="H56" s="2">
        <f>SUMIF(RouteID_Conversion!$P$2:$P$745,MD_BoardingByRoute!D56,RouteID_Conversion!$Q$2:$Q$745)</f>
        <v>1620.470541477202</v>
      </c>
      <c r="I56" s="2"/>
      <c r="K56" s="8">
        <v>77</v>
      </c>
      <c r="L56" s="8">
        <v>110.65877533</v>
      </c>
      <c r="M56" s="8">
        <v>46.285213470499997</v>
      </c>
      <c r="N56" s="2">
        <v>156</v>
      </c>
      <c r="O56" s="2">
        <v>5030.8</v>
      </c>
      <c r="P56" s="1"/>
      <c r="Q56" s="1"/>
      <c r="U56" s="1">
        <v>1076</v>
      </c>
      <c r="V56" s="1">
        <v>654.78234899999995</v>
      </c>
      <c r="W56" s="8">
        <v>1118</v>
      </c>
      <c r="X56" s="8">
        <v>1118</v>
      </c>
      <c r="Y56" s="8">
        <v>145.36570699999999</v>
      </c>
      <c r="Z56" s="8">
        <v>152.590012</v>
      </c>
      <c r="AA56" s="8">
        <v>1118</v>
      </c>
      <c r="AB56" s="8">
        <v>131.90623500000001</v>
      </c>
      <c r="AD56" s="8">
        <v>132.74408</v>
      </c>
      <c r="AF56" s="8">
        <v>1118</v>
      </c>
      <c r="AG56" s="8">
        <v>145.36570699999999</v>
      </c>
      <c r="AH56" s="8">
        <f t="shared" si="2"/>
        <v>0</v>
      </c>
      <c r="AK56" s="1">
        <v>1076</v>
      </c>
      <c r="AL56" s="1">
        <v>654.78234899999995</v>
      </c>
      <c r="AM56" s="8">
        <v>731.78918499999997</v>
      </c>
    </row>
    <row r="57" spans="2:39" ht="15.75" x14ac:dyDescent="0.25">
      <c r="B57" s="8">
        <v>1101</v>
      </c>
      <c r="C57" s="8" t="s">
        <v>173</v>
      </c>
      <c r="D57" s="8">
        <v>1101</v>
      </c>
      <c r="E57" s="8" t="s">
        <v>174</v>
      </c>
      <c r="F57" s="8" t="str">
        <f t="shared" si="0"/>
        <v>MK</v>
      </c>
      <c r="G57" s="2">
        <v>1385</v>
      </c>
      <c r="H57" s="2">
        <f>SUMIF(RouteID_Conversion!$P$2:$P$745,MD_BoardingByRoute!D57,RouteID_Conversion!$Q$2:$Q$745)</f>
        <v>1247.1904983520483</v>
      </c>
      <c r="I57" s="2"/>
      <c r="K57" s="8">
        <v>82</v>
      </c>
      <c r="L57" s="8">
        <v>81.178916931200007</v>
      </c>
      <c r="M57" s="8">
        <v>59.855850219700002</v>
      </c>
      <c r="N57" s="2">
        <v>150.19999999999999</v>
      </c>
      <c r="O57" s="2">
        <v>4341.5</v>
      </c>
      <c r="P57" s="1"/>
      <c r="Q57" s="1"/>
      <c r="U57" s="1">
        <v>1102</v>
      </c>
      <c r="V57" s="1">
        <v>413.14627100000001</v>
      </c>
      <c r="W57" s="8">
        <v>1124</v>
      </c>
      <c r="X57" s="8">
        <v>1124</v>
      </c>
      <c r="Y57" s="8">
        <v>451.38531499999999</v>
      </c>
      <c r="Z57" s="8">
        <v>591.69628899999998</v>
      </c>
      <c r="AA57" s="8">
        <v>1124</v>
      </c>
      <c r="AB57" s="8">
        <v>448.54415899999998</v>
      </c>
      <c r="AD57" s="8">
        <v>448.60855099999998</v>
      </c>
      <c r="AF57" s="8">
        <v>1124</v>
      </c>
      <c r="AG57" s="8">
        <v>451.38531499999999</v>
      </c>
      <c r="AH57" s="8">
        <f t="shared" si="2"/>
        <v>0</v>
      </c>
      <c r="AK57" s="1">
        <v>1102</v>
      </c>
      <c r="AL57" s="1">
        <v>413.14627100000001</v>
      </c>
      <c r="AM57" s="8">
        <v>480.11639400000001</v>
      </c>
    </row>
    <row r="58" spans="2:39" ht="15.75" x14ac:dyDescent="0.25">
      <c r="B58" s="8">
        <v>1105</v>
      </c>
      <c r="C58" s="8" t="s">
        <v>177</v>
      </c>
      <c r="D58" s="8">
        <v>1105</v>
      </c>
      <c r="E58" s="8" t="s">
        <v>178</v>
      </c>
      <c r="F58" s="8" t="str">
        <f t="shared" si="0"/>
        <v>MK</v>
      </c>
      <c r="G58" s="2">
        <v>410.9</v>
      </c>
      <c r="H58" s="2">
        <f>SUMIF(RouteID_Conversion!$P$2:$P$745,MD_BoardingByRoute!D58,RouteID_Conversion!$Q$2:$Q$745)</f>
        <v>319.16817283630326</v>
      </c>
      <c r="I58" s="2"/>
      <c r="K58" s="8">
        <v>84</v>
      </c>
      <c r="L58" s="8">
        <v>49.052112579300001</v>
      </c>
      <c r="M58" s="8">
        <v>41.3503723145</v>
      </c>
      <c r="N58" s="2">
        <v>53.7</v>
      </c>
      <c r="O58" s="2">
        <v>1111.5999999999999</v>
      </c>
      <c r="P58" s="1"/>
      <c r="Q58" s="1"/>
      <c r="U58" s="1">
        <v>1106</v>
      </c>
      <c r="V58" s="1">
        <v>1011.101318</v>
      </c>
      <c r="W58" s="8">
        <v>1128</v>
      </c>
      <c r="X58" s="8">
        <v>1128</v>
      </c>
      <c r="Y58" s="8">
        <v>1175.0938719999999</v>
      </c>
      <c r="Z58" s="8">
        <v>1236.7578120000001</v>
      </c>
      <c r="AA58" s="8">
        <v>1128</v>
      </c>
      <c r="AB58" s="8">
        <v>1014.417297</v>
      </c>
      <c r="AD58" s="8">
        <v>1016.19873</v>
      </c>
      <c r="AF58" s="8">
        <v>1128</v>
      </c>
      <c r="AG58" s="8">
        <v>1175.0938719999999</v>
      </c>
      <c r="AH58" s="8">
        <f t="shared" si="2"/>
        <v>0</v>
      </c>
      <c r="AK58" s="1">
        <v>1106</v>
      </c>
      <c r="AL58" s="1">
        <v>1011.101318</v>
      </c>
      <c r="AM58" s="8">
        <v>1321.6644289999999</v>
      </c>
    </row>
    <row r="59" spans="2:39" ht="15.75" x14ac:dyDescent="0.25">
      <c r="B59" s="8">
        <v>1106</v>
      </c>
      <c r="C59" s="8" t="s">
        <v>179</v>
      </c>
      <c r="D59" s="8">
        <v>1106</v>
      </c>
      <c r="E59" s="8" t="s">
        <v>180</v>
      </c>
      <c r="F59" s="8" t="str">
        <f t="shared" si="0"/>
        <v>MK</v>
      </c>
      <c r="G59" s="2">
        <v>1701</v>
      </c>
      <c r="H59" s="2">
        <f>SUMIF(RouteID_Conversion!$P$2:$P$745,MD_BoardingByRoute!D59,RouteID_Conversion!$Q$2:$Q$745)</f>
        <v>960.41687774658067</v>
      </c>
      <c r="I59" s="2"/>
      <c r="K59" s="8">
        <v>85</v>
      </c>
      <c r="L59" s="8">
        <v>28.7603816986</v>
      </c>
      <c r="M59" s="8">
        <v>50.703548431400002</v>
      </c>
      <c r="N59" s="2">
        <v>277.60000000000002</v>
      </c>
      <c r="O59" s="2">
        <v>4692.5</v>
      </c>
      <c r="P59" s="1"/>
      <c r="Q59" s="1"/>
      <c r="U59" s="1">
        <v>1107</v>
      </c>
      <c r="V59" s="1">
        <v>372.72052000000002</v>
      </c>
      <c r="W59" s="8">
        <v>1131</v>
      </c>
      <c r="X59" s="8">
        <v>1131</v>
      </c>
      <c r="Y59" s="8">
        <v>552.83837900000003</v>
      </c>
      <c r="Z59" s="8">
        <v>576.94744900000001</v>
      </c>
      <c r="AA59" s="8">
        <v>1131</v>
      </c>
      <c r="AB59" s="8">
        <v>384.000854</v>
      </c>
      <c r="AD59" s="8">
        <v>384.44409200000001</v>
      </c>
      <c r="AF59" s="8">
        <v>1131</v>
      </c>
      <c r="AG59" s="8">
        <v>552.83837900000003</v>
      </c>
      <c r="AH59" s="8">
        <f t="shared" ref="AH59:AH103" si="6">AA59-AF59</f>
        <v>0</v>
      </c>
      <c r="AK59" s="1">
        <v>1107</v>
      </c>
      <c r="AL59" s="1">
        <v>372.72052000000002</v>
      </c>
      <c r="AM59" s="8">
        <v>462.68515000000002</v>
      </c>
    </row>
    <row r="60" spans="2:39" ht="15.75" x14ac:dyDescent="0.25">
      <c r="B60" s="8">
        <v>1107</v>
      </c>
      <c r="C60" s="8" t="s">
        <v>181</v>
      </c>
      <c r="D60" s="8">
        <v>1107</v>
      </c>
      <c r="E60" s="8" t="s">
        <v>182</v>
      </c>
      <c r="F60" s="8" t="str">
        <f t="shared" si="0"/>
        <v>MK</v>
      </c>
      <c r="G60" s="2">
        <v>465.3</v>
      </c>
      <c r="H60" s="2">
        <f>SUMIF(RouteID_Conversion!$P$2:$P$745,MD_BoardingByRoute!D60,RouteID_Conversion!$Q$2:$Q$745)</f>
        <v>258.43059158325161</v>
      </c>
      <c r="I60" s="2"/>
      <c r="K60" s="8">
        <v>86</v>
      </c>
      <c r="L60" s="8">
        <v>56.486061096199997</v>
      </c>
      <c r="M60" s="8">
        <v>44.838314056400002</v>
      </c>
      <c r="N60" s="2">
        <v>67.900000000000006</v>
      </c>
      <c r="O60" s="2">
        <v>1428.1</v>
      </c>
      <c r="P60" s="1"/>
      <c r="Q60" s="1"/>
      <c r="U60" s="1">
        <v>1110</v>
      </c>
      <c r="V60" s="1">
        <v>164.74037200000001</v>
      </c>
      <c r="W60" s="8">
        <v>1132</v>
      </c>
      <c r="X60" s="8">
        <v>1132</v>
      </c>
      <c r="Y60" s="8">
        <v>534.74438499999997</v>
      </c>
      <c r="Z60" s="8">
        <v>577.51452600000005</v>
      </c>
      <c r="AA60" s="8">
        <v>1132</v>
      </c>
      <c r="AB60" s="8">
        <v>426.25817899999998</v>
      </c>
      <c r="AD60" s="8">
        <v>425.82397500000002</v>
      </c>
      <c r="AF60" s="8">
        <v>1132</v>
      </c>
      <c r="AG60" s="8">
        <v>534.74438499999997</v>
      </c>
      <c r="AH60" s="8">
        <f t="shared" si="6"/>
        <v>0</v>
      </c>
      <c r="AK60" s="1">
        <v>1110</v>
      </c>
      <c r="AL60" s="1">
        <v>164.74037200000001</v>
      </c>
      <c r="AM60" s="8">
        <v>188.44291699999999</v>
      </c>
    </row>
    <row r="61" spans="2:39" ht="15.75" x14ac:dyDescent="0.25">
      <c r="B61" s="8">
        <v>1118</v>
      </c>
      <c r="C61" s="8" t="s">
        <v>193</v>
      </c>
      <c r="D61" s="8">
        <v>1118</v>
      </c>
      <c r="E61" s="8" t="s">
        <v>194</v>
      </c>
      <c r="F61" s="8" t="str">
        <f t="shared" si="0"/>
        <v>MK</v>
      </c>
      <c r="G61" s="2">
        <v>53.8</v>
      </c>
      <c r="H61" s="2">
        <f>SUMIF(RouteID_Conversion!$P$2:$P$745,MD_BoardingByRoute!D61,RouteID_Conversion!$Q$2:$Q$745)</f>
        <v>48.360118746757394</v>
      </c>
      <c r="I61" s="2"/>
      <c r="K61" s="8">
        <v>92</v>
      </c>
      <c r="L61" s="8">
        <v>41.1940574646</v>
      </c>
      <c r="M61" s="8">
        <v>47.933074951199998</v>
      </c>
      <c r="N61" s="2">
        <v>43</v>
      </c>
      <c r="O61" s="2">
        <v>339.3</v>
      </c>
      <c r="P61" s="1"/>
      <c r="Q61" s="1"/>
      <c r="U61" s="1">
        <v>1119</v>
      </c>
      <c r="V61" s="1">
        <v>195.89952099999999</v>
      </c>
      <c r="W61" s="8">
        <v>1150</v>
      </c>
      <c r="X61" s="8">
        <v>1150</v>
      </c>
      <c r="Y61" s="8">
        <v>2208.8442380000001</v>
      </c>
      <c r="Z61" s="8">
        <v>2604.1477049999999</v>
      </c>
      <c r="AA61" s="8">
        <v>1150</v>
      </c>
      <c r="AB61" s="8">
        <v>2011.116211</v>
      </c>
      <c r="AD61" s="8">
        <v>2010.7535399999999</v>
      </c>
      <c r="AF61" s="8">
        <v>1150</v>
      </c>
      <c r="AG61" s="8">
        <v>2208.8442380000001</v>
      </c>
      <c r="AH61" s="8">
        <f t="shared" si="6"/>
        <v>0</v>
      </c>
      <c r="AK61" s="1">
        <v>1119</v>
      </c>
      <c r="AL61" s="1">
        <v>195.89952099999999</v>
      </c>
      <c r="AM61" s="8">
        <v>223.146118</v>
      </c>
    </row>
    <row r="62" spans="2:39" ht="15.75" x14ac:dyDescent="0.25">
      <c r="B62" s="8">
        <v>1119</v>
      </c>
      <c r="C62" s="8" t="s">
        <v>195</v>
      </c>
      <c r="D62" s="8">
        <v>1119</v>
      </c>
      <c r="E62" s="8" t="s">
        <v>196</v>
      </c>
      <c r="F62" s="8" t="str">
        <f t="shared" si="0"/>
        <v>MK</v>
      </c>
      <c r="G62" s="2">
        <v>23.1</v>
      </c>
      <c r="H62" s="2">
        <f>SUMIF(RouteID_Conversion!$P$2:$P$745,MD_BoardingByRoute!D62,RouteID_Conversion!$Q$2:$Q$745)</f>
        <v>5.22713632136582</v>
      </c>
      <c r="I62" s="2"/>
      <c r="K62" s="8">
        <v>93</v>
      </c>
      <c r="L62" s="8">
        <v>7.3377919197099999</v>
      </c>
      <c r="M62" s="8">
        <v>48.109184265099998</v>
      </c>
      <c r="N62" s="2">
        <v>4.5999999999999996</v>
      </c>
      <c r="O62" s="2">
        <v>109.5</v>
      </c>
      <c r="P62" s="1"/>
      <c r="Q62" s="1"/>
      <c r="U62" s="1">
        <v>1120</v>
      </c>
      <c r="V62" s="1">
        <v>1843.161621</v>
      </c>
      <c r="W62" s="8">
        <v>1153</v>
      </c>
      <c r="X62" s="8">
        <v>1153</v>
      </c>
      <c r="Y62" s="8">
        <v>148.935013</v>
      </c>
      <c r="Z62" s="8">
        <v>209.54843099999999</v>
      </c>
      <c r="AA62" s="8">
        <v>1153</v>
      </c>
      <c r="AB62" s="8">
        <v>153.883926</v>
      </c>
      <c r="AD62" s="8">
        <v>153.75212099999999</v>
      </c>
      <c r="AF62" s="8">
        <v>1153</v>
      </c>
      <c r="AG62" s="8">
        <v>148.935013</v>
      </c>
      <c r="AH62" s="8">
        <f t="shared" si="6"/>
        <v>0</v>
      </c>
      <c r="AK62" s="1">
        <v>1120</v>
      </c>
      <c r="AL62" s="1">
        <v>1843.161621</v>
      </c>
      <c r="AM62" s="8">
        <v>2001.798828</v>
      </c>
    </row>
    <row r="63" spans="2:39" ht="15.75" x14ac:dyDescent="0.25">
      <c r="B63" s="8">
        <v>1120</v>
      </c>
      <c r="C63" s="8" t="s">
        <v>197</v>
      </c>
      <c r="D63" s="8">
        <v>1120</v>
      </c>
      <c r="E63" s="8" t="s">
        <v>198</v>
      </c>
      <c r="F63" s="8" t="str">
        <f t="shared" si="0"/>
        <v>MK</v>
      </c>
      <c r="G63" s="2">
        <v>2872.9</v>
      </c>
      <c r="H63" s="2">
        <f>SUMIF(RouteID_Conversion!$P$2:$P$745,MD_BoardingByRoute!D63,RouteID_Conversion!$Q$2:$Q$745)</f>
        <v>2293.3032760620108</v>
      </c>
      <c r="I63" s="2"/>
      <c r="K63" s="8">
        <v>94</v>
      </c>
      <c r="L63" s="8">
        <v>38.7164955139</v>
      </c>
      <c r="M63" s="8">
        <v>41.459617614700001</v>
      </c>
      <c r="N63" s="2">
        <v>407</v>
      </c>
      <c r="O63" s="2">
        <v>7503.1</v>
      </c>
      <c r="P63" s="1"/>
      <c r="Q63" s="1"/>
      <c r="U63" s="1">
        <v>1121</v>
      </c>
      <c r="V63" s="1">
        <v>1176.3280030000001</v>
      </c>
      <c r="W63" s="8">
        <v>1154</v>
      </c>
      <c r="X63" s="8">
        <v>1154</v>
      </c>
      <c r="Y63" s="8">
        <v>5.6687709999999996</v>
      </c>
      <c r="Z63" s="8">
        <v>8.7103900000000003</v>
      </c>
      <c r="AA63" s="8">
        <v>1154</v>
      </c>
      <c r="AB63" s="8">
        <v>6.9187560000000001</v>
      </c>
      <c r="AD63" s="8">
        <v>6.9060379999999997</v>
      </c>
      <c r="AF63" s="8">
        <v>1154</v>
      </c>
      <c r="AG63" s="8">
        <v>5.6687709999999996</v>
      </c>
      <c r="AH63" s="8">
        <f t="shared" si="6"/>
        <v>0</v>
      </c>
      <c r="AK63" s="1">
        <v>1121</v>
      </c>
      <c r="AL63" s="1">
        <v>1176.3280030000001</v>
      </c>
      <c r="AM63" s="8">
        <v>1225.4998780000001</v>
      </c>
    </row>
    <row r="64" spans="2:39" ht="15.75" x14ac:dyDescent="0.25">
      <c r="B64" s="8">
        <v>1121</v>
      </c>
      <c r="C64" s="8" t="s">
        <v>199</v>
      </c>
      <c r="D64" s="8">
        <v>1121</v>
      </c>
      <c r="E64" s="8" t="s">
        <v>200</v>
      </c>
      <c r="F64" s="8" t="str">
        <f t="shared" si="0"/>
        <v>MK</v>
      </c>
      <c r="G64" s="2">
        <v>76</v>
      </c>
      <c r="H64" s="2">
        <f>SUMIF(RouteID_Conversion!$P$2:$P$745,MD_BoardingByRoute!D64,RouteID_Conversion!$Q$2:$Q$745)</f>
        <v>87.014267921447541</v>
      </c>
      <c r="I64" s="2"/>
      <c r="K64" s="8">
        <v>95</v>
      </c>
      <c r="L64" s="8">
        <v>19.694778442400001</v>
      </c>
      <c r="M64" s="8">
        <v>28.685214996300001</v>
      </c>
      <c r="N64" s="2">
        <v>80.3</v>
      </c>
      <c r="O64" s="2">
        <v>1032.5999999999999</v>
      </c>
      <c r="P64" s="1"/>
      <c r="Q64" s="1"/>
      <c r="U64" s="1">
        <v>1122</v>
      </c>
      <c r="V64" s="1">
        <v>554.85266100000001</v>
      </c>
      <c r="W64" s="8">
        <v>1155</v>
      </c>
      <c r="X64" s="8">
        <v>1155</v>
      </c>
      <c r="Y64" s="8">
        <v>204.164749</v>
      </c>
      <c r="Z64" s="8">
        <v>238.19798299999999</v>
      </c>
      <c r="AA64" s="8">
        <v>1155</v>
      </c>
      <c r="AB64" s="8">
        <v>189.59333799999999</v>
      </c>
      <c r="AD64" s="8">
        <v>189.714157</v>
      </c>
      <c r="AF64" s="8">
        <v>1155</v>
      </c>
      <c r="AG64" s="8">
        <v>204.164749</v>
      </c>
      <c r="AH64" s="8">
        <f t="shared" si="6"/>
        <v>0</v>
      </c>
      <c r="AK64" s="1">
        <v>1122</v>
      </c>
      <c r="AL64" s="1">
        <v>554.85266100000001</v>
      </c>
      <c r="AM64" s="8">
        <v>524.01214600000003</v>
      </c>
    </row>
    <row r="65" spans="2:39" ht="15.75" x14ac:dyDescent="0.25">
      <c r="B65" s="8">
        <v>1122</v>
      </c>
      <c r="C65" s="8" t="s">
        <v>201</v>
      </c>
      <c r="D65" s="8">
        <v>1122</v>
      </c>
      <c r="E65" s="8" t="s">
        <v>202</v>
      </c>
      <c r="F65" s="8" t="str">
        <f t="shared" si="0"/>
        <v>MK</v>
      </c>
      <c r="G65" s="2">
        <v>98.1</v>
      </c>
      <c r="H65" s="2">
        <f>SUMIF(RouteID_Conversion!$P$2:$P$745,MD_BoardingByRoute!D65,RouteID_Conversion!$Q$2:$Q$745)</f>
        <v>41.21672534942622</v>
      </c>
      <c r="I65" s="2"/>
      <c r="K65" s="8">
        <v>96</v>
      </c>
      <c r="L65" s="8">
        <v>20.3521175385</v>
      </c>
      <c r="M65" s="8">
        <v>32.666996002200001</v>
      </c>
      <c r="N65" s="2">
        <v>0</v>
      </c>
      <c r="O65" s="2">
        <v>602.9</v>
      </c>
      <c r="P65" s="1"/>
      <c r="Q65" s="1"/>
      <c r="U65" s="1">
        <v>1123</v>
      </c>
      <c r="V65" s="1">
        <v>304.73770100000002</v>
      </c>
      <c r="W65" s="8">
        <v>1156</v>
      </c>
      <c r="X65" s="8">
        <v>1156</v>
      </c>
      <c r="Y65" s="8">
        <v>153.72648599999999</v>
      </c>
      <c r="Z65" s="8">
        <v>172.00855999999999</v>
      </c>
      <c r="AA65" s="8">
        <v>1156</v>
      </c>
      <c r="AB65" s="8">
        <v>133.17988600000001</v>
      </c>
      <c r="AD65" s="8">
        <v>133.35311899999999</v>
      </c>
      <c r="AF65" s="8">
        <v>1156</v>
      </c>
      <c r="AG65" s="8">
        <v>153.72648599999999</v>
      </c>
      <c r="AH65" s="8">
        <f t="shared" si="6"/>
        <v>0</v>
      </c>
      <c r="AK65" s="1">
        <v>1123</v>
      </c>
      <c r="AL65" s="1">
        <v>304.73770100000002</v>
      </c>
      <c r="AM65" s="8">
        <v>277.559845</v>
      </c>
    </row>
    <row r="66" spans="2:39" ht="15.75" x14ac:dyDescent="0.25">
      <c r="B66" s="8">
        <v>1124</v>
      </c>
      <c r="C66" s="8" t="s">
        <v>205</v>
      </c>
      <c r="D66" s="8">
        <v>1124</v>
      </c>
      <c r="E66" s="8" t="s">
        <v>206</v>
      </c>
      <c r="F66" s="8" t="str">
        <f t="shared" ref="F66:F129" si="7">MID(C66,1,2)</f>
        <v>MK</v>
      </c>
      <c r="G66" s="2">
        <v>1054.7</v>
      </c>
      <c r="H66" s="2">
        <f>SUMIF(RouteID_Conversion!$P$2:$P$745,MD_BoardingByRoute!D66,RouteID_Conversion!$Q$2:$Q$745)</f>
        <v>668.02243566512959</v>
      </c>
      <c r="I66" s="2"/>
      <c r="K66" s="8">
        <v>98</v>
      </c>
      <c r="L66" s="8">
        <v>44.708976745599998</v>
      </c>
      <c r="M66" s="8">
        <v>37.1132354736</v>
      </c>
      <c r="N66" s="2">
        <v>375.9</v>
      </c>
      <c r="O66" s="2">
        <v>3126.6</v>
      </c>
      <c r="P66" s="1"/>
      <c r="Q66" s="1"/>
      <c r="U66" s="1">
        <v>1125</v>
      </c>
      <c r="V66" s="1">
        <v>666.65033000000005</v>
      </c>
      <c r="W66" s="8">
        <v>1166</v>
      </c>
      <c r="X66" s="8">
        <v>1166</v>
      </c>
      <c r="Y66" s="8">
        <v>786.18194600000004</v>
      </c>
      <c r="Z66" s="8">
        <v>811.54193099999998</v>
      </c>
      <c r="AA66" s="8">
        <v>1166</v>
      </c>
      <c r="AB66" s="8">
        <v>663.26818800000001</v>
      </c>
      <c r="AD66" s="8">
        <v>665.18737799999997</v>
      </c>
      <c r="AF66" s="8">
        <v>1166</v>
      </c>
      <c r="AG66" s="8">
        <v>786.18194600000004</v>
      </c>
      <c r="AH66" s="8">
        <f t="shared" si="6"/>
        <v>0</v>
      </c>
      <c r="AK66" s="1">
        <v>1125</v>
      </c>
      <c r="AL66" s="1">
        <v>666.65033000000005</v>
      </c>
      <c r="AM66" s="8">
        <v>769.90234399999997</v>
      </c>
    </row>
    <row r="67" spans="2:39" ht="15.75" x14ac:dyDescent="0.25">
      <c r="B67" s="8">
        <v>1125</v>
      </c>
      <c r="C67" s="8" t="s">
        <v>207</v>
      </c>
      <c r="D67" s="8">
        <v>1125</v>
      </c>
      <c r="E67" s="8" t="s">
        <v>208</v>
      </c>
      <c r="F67" s="8" t="str">
        <f t="shared" si="7"/>
        <v>MK</v>
      </c>
      <c r="G67" s="2">
        <v>758.8</v>
      </c>
      <c r="H67" s="2">
        <f>SUMIF(RouteID_Conversion!$P$2:$P$745,MD_BoardingByRoute!D67,RouteID_Conversion!$Q$2:$Q$745)</f>
        <v>413.17450523376391</v>
      </c>
      <c r="I67" s="2"/>
      <c r="K67" s="8">
        <v>99</v>
      </c>
      <c r="L67" s="8">
        <v>150.697097778</v>
      </c>
      <c r="M67" s="8">
        <v>56.630054473900003</v>
      </c>
      <c r="N67" s="2">
        <v>75.3</v>
      </c>
      <c r="O67" s="2">
        <v>2183.6999999999998</v>
      </c>
      <c r="P67" s="1"/>
      <c r="Q67" s="1"/>
      <c r="U67" s="1">
        <v>1128</v>
      </c>
      <c r="V67" s="1">
        <v>773.74005099999999</v>
      </c>
      <c r="W67" s="8">
        <v>1167</v>
      </c>
      <c r="X67" s="8">
        <v>1167</v>
      </c>
      <c r="Y67" s="8">
        <v>29.165662999999999</v>
      </c>
      <c r="Z67" s="8">
        <v>39.795887</v>
      </c>
      <c r="AA67" s="8">
        <v>1167</v>
      </c>
      <c r="AB67" s="8">
        <v>34.984130999999998</v>
      </c>
      <c r="AD67" s="8">
        <v>35.143185000000003</v>
      </c>
      <c r="AF67" s="8">
        <v>1167</v>
      </c>
      <c r="AG67" s="8">
        <v>29.165662999999999</v>
      </c>
      <c r="AH67" s="8">
        <f t="shared" si="6"/>
        <v>0</v>
      </c>
      <c r="AK67" s="1">
        <v>1128</v>
      </c>
      <c r="AL67" s="1">
        <v>773.74005099999999</v>
      </c>
      <c r="AM67" s="8">
        <v>840.01946999999996</v>
      </c>
    </row>
    <row r="68" spans="2:39" ht="15.75" x14ac:dyDescent="0.25">
      <c r="B68" s="8">
        <v>1128</v>
      </c>
      <c r="C68" s="8" t="s">
        <v>209</v>
      </c>
      <c r="D68" s="8">
        <v>1128</v>
      </c>
      <c r="E68" s="8" t="s">
        <v>210</v>
      </c>
      <c r="F68" s="8" t="str">
        <f t="shared" si="7"/>
        <v>MK</v>
      </c>
      <c r="G68" s="2">
        <v>1195</v>
      </c>
      <c r="H68" s="2">
        <f>SUMIF(RouteID_Conversion!$P$2:$P$745,MD_BoardingByRoute!D68,RouteID_Conversion!$Q$2:$Q$745)</f>
        <v>481.59474372863679</v>
      </c>
      <c r="I68" s="2"/>
      <c r="K68" s="8">
        <v>100</v>
      </c>
      <c r="L68" s="8">
        <v>42.472976684599999</v>
      </c>
      <c r="M68" s="8">
        <v>55.924713134800001</v>
      </c>
      <c r="N68" s="2">
        <v>58.1</v>
      </c>
      <c r="O68" s="2">
        <v>2927.8</v>
      </c>
      <c r="P68" s="1"/>
      <c r="Q68" s="1"/>
      <c r="U68" s="1">
        <v>1129</v>
      </c>
      <c r="V68" s="1">
        <v>8.0868640000000003</v>
      </c>
      <c r="W68" s="8">
        <v>1168</v>
      </c>
      <c r="X68" s="8">
        <v>1168</v>
      </c>
      <c r="Y68" s="8">
        <v>519.34661900000003</v>
      </c>
      <c r="Z68" s="8">
        <v>551.35461399999997</v>
      </c>
      <c r="AA68" s="8">
        <v>1168</v>
      </c>
      <c r="AB68" s="8">
        <v>425.75192299999998</v>
      </c>
      <c r="AD68" s="8">
        <v>426.61526500000002</v>
      </c>
      <c r="AF68" s="8">
        <v>1168</v>
      </c>
      <c r="AG68" s="8">
        <v>519.34661900000003</v>
      </c>
      <c r="AH68" s="8">
        <f t="shared" si="6"/>
        <v>0</v>
      </c>
      <c r="AK68" s="1">
        <v>1129</v>
      </c>
      <c r="AL68" s="1">
        <v>8.0868640000000003</v>
      </c>
      <c r="AM68" s="8">
        <v>8.4679289999999998</v>
      </c>
    </row>
    <row r="69" spans="2:39" ht="15.75" x14ac:dyDescent="0.25">
      <c r="B69" s="8">
        <v>1131</v>
      </c>
      <c r="C69" s="8" t="s">
        <v>213</v>
      </c>
      <c r="D69" s="8">
        <v>1131</v>
      </c>
      <c r="E69" s="8" t="s">
        <v>214</v>
      </c>
      <c r="F69" s="8" t="str">
        <f t="shared" si="7"/>
        <v>MK</v>
      </c>
      <c r="G69" s="2">
        <v>644.5</v>
      </c>
      <c r="H69" s="2">
        <f>SUMIF(RouteID_Conversion!$P$2:$P$745,MD_BoardingByRoute!D69,RouteID_Conversion!$Q$2:$Q$745)</f>
        <v>435.46743917465176</v>
      </c>
      <c r="I69" s="2"/>
      <c r="K69" s="8">
        <v>102</v>
      </c>
      <c r="L69" s="8">
        <v>27.923032760600002</v>
      </c>
      <c r="M69" s="8">
        <v>49.499862670900001</v>
      </c>
      <c r="N69" s="2">
        <v>112.8</v>
      </c>
      <c r="O69" s="2">
        <v>1544.1</v>
      </c>
      <c r="P69" s="1"/>
      <c r="Q69" s="1"/>
      <c r="U69" s="1">
        <v>1132</v>
      </c>
      <c r="V69" s="1">
        <v>434.97924799999998</v>
      </c>
      <c r="W69" s="8">
        <v>1174</v>
      </c>
      <c r="X69" s="8">
        <v>1174</v>
      </c>
      <c r="Y69" s="8">
        <v>1247.525879</v>
      </c>
      <c r="Z69" s="8">
        <v>1096.4803469999999</v>
      </c>
      <c r="AA69" s="8">
        <v>1174</v>
      </c>
      <c r="AB69" s="8">
        <v>911.15606700000001</v>
      </c>
      <c r="AD69" s="8">
        <v>909.56475799999998</v>
      </c>
      <c r="AF69" s="8">
        <v>1174</v>
      </c>
      <c r="AG69" s="8">
        <v>1247.525879</v>
      </c>
      <c r="AH69" s="8">
        <f t="shared" si="6"/>
        <v>0</v>
      </c>
      <c r="AK69" s="1">
        <v>1132</v>
      </c>
      <c r="AL69" s="1">
        <v>434.97924799999998</v>
      </c>
      <c r="AM69" s="8">
        <v>519.87493900000004</v>
      </c>
    </row>
    <row r="70" spans="2:39" ht="15.75" x14ac:dyDescent="0.25">
      <c r="B70" s="8">
        <v>1132</v>
      </c>
      <c r="C70" s="8" t="s">
        <v>215</v>
      </c>
      <c r="D70" s="8">
        <v>1132</v>
      </c>
      <c r="E70" s="8" t="s">
        <v>216</v>
      </c>
      <c r="F70" s="8" t="str">
        <f t="shared" si="7"/>
        <v>MK</v>
      </c>
      <c r="G70" s="2">
        <v>762.7</v>
      </c>
      <c r="H70" s="2">
        <f>SUMIF(RouteID_Conversion!$P$2:$P$745,MD_BoardingByRoute!D70,RouteID_Conversion!$Q$2:$Q$745)</f>
        <v>394.06197547912564</v>
      </c>
      <c r="I70" s="2"/>
      <c r="K70" s="8">
        <v>103</v>
      </c>
      <c r="L70" s="8">
        <v>84.067268371599994</v>
      </c>
      <c r="M70" s="8">
        <v>39.4856071472</v>
      </c>
      <c r="N70" s="2">
        <v>184.1</v>
      </c>
      <c r="O70" s="2">
        <v>2290.9</v>
      </c>
      <c r="P70" s="1"/>
      <c r="Q70" s="1"/>
      <c r="U70" s="1">
        <v>1133</v>
      </c>
      <c r="V70" s="1">
        <v>181.04663099999999</v>
      </c>
      <c r="W70" s="8">
        <v>1180</v>
      </c>
      <c r="X70" s="8">
        <v>1180</v>
      </c>
      <c r="Y70" s="8">
        <v>1164.9079589999999</v>
      </c>
      <c r="Z70" s="8">
        <v>1263.1026609999999</v>
      </c>
      <c r="AA70" s="8">
        <v>1180</v>
      </c>
      <c r="AB70" s="8">
        <v>1002.4085690000001</v>
      </c>
      <c r="AD70" s="8">
        <v>1001.866638</v>
      </c>
      <c r="AF70" s="8">
        <v>1180</v>
      </c>
      <c r="AG70" s="8">
        <v>1164.9079589999999</v>
      </c>
      <c r="AH70" s="8">
        <f t="shared" si="6"/>
        <v>0</v>
      </c>
      <c r="AK70" s="1">
        <v>1133</v>
      </c>
      <c r="AL70" s="1">
        <v>181.04663099999999</v>
      </c>
      <c r="AM70" s="8">
        <v>239.94477800000001</v>
      </c>
    </row>
    <row r="71" spans="2:39" ht="15.75" x14ac:dyDescent="0.25">
      <c r="B71" s="8">
        <v>1134</v>
      </c>
      <c r="C71" s="8" t="s">
        <v>219</v>
      </c>
      <c r="D71" s="8">
        <v>1134</v>
      </c>
      <c r="E71" s="8" t="s">
        <v>220</v>
      </c>
      <c r="F71" s="8" t="str">
        <f t="shared" si="7"/>
        <v>MK</v>
      </c>
      <c r="G71" s="2">
        <v>110.2</v>
      </c>
      <c r="H71" s="2">
        <f>SUMIF(RouteID_Conversion!$P$2:$P$745,MD_BoardingByRoute!D71,RouteID_Conversion!$Q$2:$Q$745)</f>
        <v>90.453702926635657</v>
      </c>
      <c r="I71" s="2"/>
      <c r="K71" s="8">
        <v>105</v>
      </c>
      <c r="L71" s="8">
        <v>28.0587177277</v>
      </c>
      <c r="M71" s="8">
        <v>40.489456176799997</v>
      </c>
      <c r="N71" s="2">
        <v>0</v>
      </c>
      <c r="O71" s="2">
        <v>336.9</v>
      </c>
      <c r="P71" s="1"/>
      <c r="Q71" s="1"/>
      <c r="U71" s="1">
        <v>1139</v>
      </c>
      <c r="V71" s="1">
        <v>105.031357</v>
      </c>
      <c r="W71" s="8">
        <v>1182</v>
      </c>
      <c r="X71" s="8">
        <v>1182</v>
      </c>
      <c r="Y71" s="8">
        <v>126.810478</v>
      </c>
      <c r="Z71" s="8">
        <v>118.122688</v>
      </c>
      <c r="AA71" s="8">
        <v>1182</v>
      </c>
      <c r="AB71" s="8">
        <v>86.600493999999998</v>
      </c>
      <c r="AD71" s="8">
        <v>86.514899999999997</v>
      </c>
      <c r="AF71" s="8">
        <v>1182</v>
      </c>
      <c r="AG71" s="8">
        <v>126.810478</v>
      </c>
      <c r="AH71" s="8">
        <f t="shared" si="6"/>
        <v>0</v>
      </c>
      <c r="AK71" s="1">
        <v>1139</v>
      </c>
      <c r="AL71" s="1">
        <v>105.031357</v>
      </c>
      <c r="AM71" s="8">
        <v>116.49324799999999</v>
      </c>
    </row>
    <row r="72" spans="2:39" ht="15.75" x14ac:dyDescent="0.25">
      <c r="B72" s="8">
        <v>1139</v>
      </c>
      <c r="C72" s="8" t="s">
        <v>221</v>
      </c>
      <c r="D72" s="8">
        <v>1139</v>
      </c>
      <c r="E72" s="8" t="s">
        <v>222</v>
      </c>
      <c r="F72" s="8" t="str">
        <f t="shared" si="7"/>
        <v>MK</v>
      </c>
      <c r="G72" s="2">
        <v>99.5</v>
      </c>
      <c r="H72" s="2">
        <f>SUMIF(RouteID_Conversion!$P$2:$P$745,MD_BoardingByRoute!D72,RouteID_Conversion!$Q$2:$Q$745)</f>
        <v>43.572022914886389</v>
      </c>
      <c r="I72" s="2"/>
      <c r="K72" s="8">
        <v>106</v>
      </c>
      <c r="L72" s="8">
        <v>39.877769470200001</v>
      </c>
      <c r="M72" s="8">
        <v>36.507690429699998</v>
      </c>
      <c r="N72" s="2">
        <v>3.8</v>
      </c>
      <c r="O72" s="2">
        <v>228</v>
      </c>
      <c r="P72" s="1"/>
      <c r="Q72" s="1"/>
      <c r="U72" s="1">
        <v>1140</v>
      </c>
      <c r="V72" s="1">
        <v>1010.826965</v>
      </c>
      <c r="W72" s="8">
        <v>1183</v>
      </c>
      <c r="X72" s="8">
        <v>1183</v>
      </c>
      <c r="Y72" s="8">
        <v>310.28237899999999</v>
      </c>
      <c r="Z72" s="8">
        <v>326.87298600000003</v>
      </c>
      <c r="AA72" s="8">
        <v>1183</v>
      </c>
      <c r="AB72" s="8">
        <v>244.86758399999999</v>
      </c>
      <c r="AD72" s="8">
        <v>245.315506</v>
      </c>
      <c r="AF72" s="8">
        <v>1183</v>
      </c>
      <c r="AG72" s="8">
        <v>310.28237899999999</v>
      </c>
      <c r="AH72" s="8">
        <f t="shared" si="6"/>
        <v>0</v>
      </c>
      <c r="AK72" s="1">
        <v>1140</v>
      </c>
      <c r="AL72" s="1">
        <v>1010.826965</v>
      </c>
      <c r="AM72" s="8">
        <v>1318.2301030000001</v>
      </c>
    </row>
    <row r="73" spans="2:39" ht="15.75" x14ac:dyDescent="0.25">
      <c r="B73" s="8">
        <v>1140</v>
      </c>
      <c r="C73" s="8" t="s">
        <v>223</v>
      </c>
      <c r="D73" s="8">
        <v>1140</v>
      </c>
      <c r="E73" s="8" t="s">
        <v>224</v>
      </c>
      <c r="F73" s="8" t="str">
        <f t="shared" si="7"/>
        <v>MK</v>
      </c>
      <c r="G73" s="2">
        <v>1029</v>
      </c>
      <c r="H73" s="2">
        <f>SUMIF(RouteID_Conversion!$P$2:$P$745,MD_BoardingByRoute!D73,RouteID_Conversion!$Q$2:$Q$745)</f>
        <v>765.16819810867128</v>
      </c>
      <c r="I73" s="2"/>
      <c r="K73" s="8">
        <v>107</v>
      </c>
      <c r="L73" s="8">
        <v>33.3851852417</v>
      </c>
      <c r="M73" s="8">
        <v>42.422321319600002</v>
      </c>
      <c r="N73" s="2">
        <v>47.3</v>
      </c>
      <c r="O73" s="2">
        <v>2459</v>
      </c>
      <c r="P73" s="1"/>
      <c r="Q73" s="1"/>
      <c r="U73" s="1">
        <v>1143</v>
      </c>
      <c r="V73" s="1">
        <v>391.73928799999999</v>
      </c>
      <c r="W73" s="8">
        <v>1187</v>
      </c>
      <c r="X73" s="8">
        <v>1187</v>
      </c>
      <c r="Y73" s="8">
        <v>163.58644100000001</v>
      </c>
      <c r="Z73" s="8">
        <v>165.37492399999999</v>
      </c>
      <c r="AA73" s="8">
        <v>1187</v>
      </c>
      <c r="AB73" s="8">
        <v>125.96672100000001</v>
      </c>
      <c r="AD73" s="8">
        <v>125.969734</v>
      </c>
      <c r="AF73" s="8">
        <v>1187</v>
      </c>
      <c r="AG73" s="8">
        <v>163.58644100000001</v>
      </c>
      <c r="AH73" s="8">
        <f t="shared" si="6"/>
        <v>0</v>
      </c>
      <c r="AK73" s="1">
        <v>1143</v>
      </c>
      <c r="AL73" s="1">
        <v>391.73928799999999</v>
      </c>
      <c r="AM73" s="8">
        <v>476.67016599999999</v>
      </c>
    </row>
    <row r="74" spans="2:39" ht="15.75" x14ac:dyDescent="0.25">
      <c r="B74" s="8">
        <v>1148</v>
      </c>
      <c r="C74" s="8" t="s">
        <v>227</v>
      </c>
      <c r="D74" s="8">
        <v>1148</v>
      </c>
      <c r="E74" s="8" t="s">
        <v>228</v>
      </c>
      <c r="F74" s="8" t="str">
        <f t="shared" si="7"/>
        <v>MK</v>
      </c>
      <c r="G74" s="2">
        <v>280.39999999999998</v>
      </c>
      <c r="H74" s="2">
        <f>SUMIF(RouteID_Conversion!$P$2:$P$745,MD_BoardingByRoute!D74,RouteID_Conversion!$Q$2:$Q$745)</f>
        <v>288.11187076568513</v>
      </c>
      <c r="I74" s="2"/>
      <c r="K74" s="8">
        <v>109</v>
      </c>
      <c r="L74" s="8">
        <v>32.319503784200002</v>
      </c>
      <c r="M74" s="8">
        <v>37.941421508799998</v>
      </c>
      <c r="N74" s="2">
        <v>11.3</v>
      </c>
      <c r="O74" s="2">
        <v>675</v>
      </c>
      <c r="P74" s="1"/>
      <c r="Q74" s="1"/>
      <c r="U74" s="1">
        <v>1149</v>
      </c>
      <c r="V74" s="1">
        <v>209.339279</v>
      </c>
      <c r="W74" s="8">
        <v>1200</v>
      </c>
      <c r="X74" s="8">
        <v>1200</v>
      </c>
      <c r="Y74" s="8">
        <v>249.64463799999999</v>
      </c>
      <c r="Z74" s="8">
        <v>296.56423999999998</v>
      </c>
      <c r="AA74" s="8">
        <v>1200</v>
      </c>
      <c r="AB74" s="8">
        <v>218.43240399999999</v>
      </c>
      <c r="AD74" s="8">
        <v>219.18873600000001</v>
      </c>
      <c r="AF74" s="8">
        <v>1200</v>
      </c>
      <c r="AG74" s="8">
        <v>249.64463799999999</v>
      </c>
      <c r="AH74" s="8">
        <f t="shared" si="6"/>
        <v>0</v>
      </c>
      <c r="AK74" s="1">
        <v>1149</v>
      </c>
      <c r="AL74" s="1">
        <v>209.339279</v>
      </c>
      <c r="AM74" s="8">
        <v>302.02865600000001</v>
      </c>
    </row>
    <row r="75" spans="2:39" ht="15.75" x14ac:dyDescent="0.25">
      <c r="B75" s="8">
        <v>1149</v>
      </c>
      <c r="C75" s="8" t="s">
        <v>229</v>
      </c>
      <c r="D75" s="8">
        <v>1149</v>
      </c>
      <c r="E75" s="8" t="s">
        <v>230</v>
      </c>
      <c r="F75" s="8" t="str">
        <f t="shared" si="7"/>
        <v>MK</v>
      </c>
      <c r="G75" s="2">
        <v>54.2</v>
      </c>
      <c r="H75" s="2">
        <f>SUMIF(RouteID_Conversion!$P$2:$P$745,MD_BoardingByRoute!D75,RouteID_Conversion!$Q$2:$Q$745)</f>
        <v>20.755187004804597</v>
      </c>
      <c r="I75" s="2"/>
      <c r="K75" s="8">
        <v>110</v>
      </c>
      <c r="L75" s="8">
        <v>41.560794830299997</v>
      </c>
      <c r="M75" s="8">
        <v>41.365806579599997</v>
      </c>
      <c r="N75" s="2">
        <v>2.5</v>
      </c>
      <c r="O75" s="2">
        <v>87.3</v>
      </c>
      <c r="P75" s="1"/>
      <c r="Q75" s="1"/>
      <c r="U75" s="1">
        <v>1150</v>
      </c>
      <c r="V75" s="1">
        <v>2529.422607</v>
      </c>
      <c r="W75" s="8">
        <v>1203</v>
      </c>
      <c r="X75" s="8">
        <v>1203</v>
      </c>
      <c r="Y75" s="8">
        <v>22.380538999999999</v>
      </c>
      <c r="Z75" s="8">
        <v>24.902325000000001</v>
      </c>
      <c r="AA75" s="8">
        <v>1203</v>
      </c>
      <c r="AB75" s="8">
        <v>21.514458000000001</v>
      </c>
      <c r="AD75" s="8">
        <v>21.655505999999999</v>
      </c>
      <c r="AF75" s="8">
        <v>1203</v>
      </c>
      <c r="AG75" s="8">
        <v>22.380538999999999</v>
      </c>
      <c r="AH75" s="8">
        <f t="shared" si="6"/>
        <v>0</v>
      </c>
      <c r="AK75" s="1">
        <v>1150</v>
      </c>
      <c r="AL75" s="1">
        <v>2529.422607</v>
      </c>
      <c r="AM75" s="8">
        <v>3415.9165039999998</v>
      </c>
    </row>
    <row r="76" spans="2:39" ht="15.75" x14ac:dyDescent="0.25">
      <c r="B76" s="8">
        <v>1150</v>
      </c>
      <c r="C76" s="8" t="s">
        <v>231</v>
      </c>
      <c r="D76" s="8">
        <v>1150</v>
      </c>
      <c r="E76" s="8" t="s">
        <v>232</v>
      </c>
      <c r="F76" s="8" t="str">
        <f t="shared" si="7"/>
        <v>MK</v>
      </c>
      <c r="G76" s="2">
        <v>2672.6</v>
      </c>
      <c r="H76" s="2">
        <f>SUMIF(RouteID_Conversion!$P$2:$P$745,MD_BoardingByRoute!D76,RouteID_Conversion!$Q$2:$Q$745)</f>
        <v>3439.5324192047065</v>
      </c>
      <c r="I76" s="2"/>
      <c r="K76" s="8">
        <v>111</v>
      </c>
      <c r="L76" s="8">
        <v>18.298759460399999</v>
      </c>
      <c r="M76" s="8">
        <v>50.925418853799997</v>
      </c>
      <c r="N76" s="2">
        <v>359.1</v>
      </c>
      <c r="O76" s="2">
        <v>6332.1</v>
      </c>
      <c r="P76" s="1"/>
      <c r="Q76" s="1"/>
      <c r="U76" s="1">
        <v>1152</v>
      </c>
      <c r="V76" s="1">
        <v>261.29766799999999</v>
      </c>
      <c r="W76" s="8">
        <v>1204</v>
      </c>
      <c r="X76" s="8">
        <v>1204</v>
      </c>
      <c r="Y76" s="8">
        <v>259.99594100000002</v>
      </c>
      <c r="Z76" s="8">
        <v>279.055206</v>
      </c>
      <c r="AA76" s="8">
        <v>1204</v>
      </c>
      <c r="AB76" s="8">
        <v>217.180984</v>
      </c>
      <c r="AD76" s="8">
        <v>218.41261299999999</v>
      </c>
      <c r="AF76" s="8">
        <v>1204</v>
      </c>
      <c r="AG76" s="8">
        <v>259.99594100000002</v>
      </c>
      <c r="AH76" s="8">
        <f t="shared" si="6"/>
        <v>0</v>
      </c>
      <c r="AK76" s="1">
        <v>1152</v>
      </c>
      <c r="AL76" s="1">
        <v>261.29766799999999</v>
      </c>
      <c r="AM76" s="8">
        <v>329.63992300000001</v>
      </c>
    </row>
    <row r="77" spans="2:39" ht="15.75" x14ac:dyDescent="0.25">
      <c r="B77" s="8">
        <v>1153</v>
      </c>
      <c r="C77" s="8" t="s">
        <v>235</v>
      </c>
      <c r="D77" s="8">
        <v>1153</v>
      </c>
      <c r="E77" s="8" t="s">
        <v>236</v>
      </c>
      <c r="F77" s="8" t="str">
        <f t="shared" si="7"/>
        <v>MK</v>
      </c>
      <c r="G77" s="2">
        <v>144.4</v>
      </c>
      <c r="H77" s="2">
        <f>SUMIF(RouteID_Conversion!$P$2:$P$745,MD_BoardingByRoute!D77,RouteID_Conversion!$Q$2:$Q$745)</f>
        <v>55.980801343917747</v>
      </c>
      <c r="I77" s="2"/>
      <c r="K77" s="8">
        <v>113</v>
      </c>
      <c r="L77" s="8">
        <v>31.958433151200001</v>
      </c>
      <c r="M77" s="8">
        <v>39.519287109399997</v>
      </c>
      <c r="N77" s="2">
        <v>0</v>
      </c>
      <c r="O77" s="2">
        <v>518.5</v>
      </c>
      <c r="P77" s="1"/>
      <c r="Q77" s="1"/>
      <c r="U77" s="1">
        <v>1154</v>
      </c>
      <c r="V77" s="1">
        <v>11.525444999999999</v>
      </c>
      <c r="W77" s="8">
        <v>1206</v>
      </c>
      <c r="X77" s="8">
        <v>1206</v>
      </c>
      <c r="Y77" s="8">
        <v>12.554867</v>
      </c>
      <c r="Z77" s="8">
        <v>13.639794</v>
      </c>
      <c r="AA77" s="8">
        <v>1206</v>
      </c>
      <c r="AB77" s="8">
        <v>10.911674</v>
      </c>
      <c r="AD77" s="8">
        <v>10.969253999999999</v>
      </c>
      <c r="AF77" s="8">
        <v>1206</v>
      </c>
      <c r="AG77" s="8">
        <v>12.554867</v>
      </c>
      <c r="AH77" s="8">
        <f t="shared" si="6"/>
        <v>0</v>
      </c>
      <c r="AK77" s="1">
        <v>1154</v>
      </c>
      <c r="AL77" s="1">
        <v>11.525444999999999</v>
      </c>
      <c r="AM77" s="8">
        <v>17.790710000000001</v>
      </c>
    </row>
    <row r="78" spans="2:39" ht="15.75" x14ac:dyDescent="0.25">
      <c r="B78" s="8">
        <v>1154</v>
      </c>
      <c r="C78" s="8" t="s">
        <v>237</v>
      </c>
      <c r="D78" s="8">
        <v>1154</v>
      </c>
      <c r="E78" s="8" t="s">
        <v>238</v>
      </c>
      <c r="F78" s="8" t="str">
        <f t="shared" si="7"/>
        <v>MK</v>
      </c>
      <c r="G78" s="2">
        <v>5.7</v>
      </c>
      <c r="H78" s="2">
        <f>SUMIF(RouteID_Conversion!$P$2:$P$745,MD_BoardingByRoute!D78,RouteID_Conversion!$Q$2:$Q$745)</f>
        <v>6.5252050161361606</v>
      </c>
      <c r="I78" s="2"/>
      <c r="K78" s="8">
        <v>114</v>
      </c>
      <c r="L78" s="8">
        <v>57.738845825200002</v>
      </c>
      <c r="M78" s="8">
        <v>38.228057861300002</v>
      </c>
      <c r="N78" s="2">
        <v>19.5</v>
      </c>
      <c r="O78" s="2">
        <v>96.9</v>
      </c>
      <c r="P78" s="1"/>
      <c r="Q78" s="1"/>
      <c r="U78" s="1">
        <v>1155</v>
      </c>
      <c r="V78" s="1">
        <v>209.359116</v>
      </c>
      <c r="W78" s="8">
        <v>1207</v>
      </c>
      <c r="X78" s="8">
        <v>1207</v>
      </c>
      <c r="Y78" s="8">
        <v>21.084208</v>
      </c>
      <c r="Z78" s="8">
        <v>22.124206999999998</v>
      </c>
      <c r="AA78" s="8">
        <v>1207</v>
      </c>
      <c r="AB78" s="8">
        <v>16.925588999999999</v>
      </c>
      <c r="AD78" s="8">
        <v>16.983355</v>
      </c>
      <c r="AF78" s="8">
        <v>1207</v>
      </c>
      <c r="AG78" s="8">
        <v>21.084208</v>
      </c>
      <c r="AH78" s="8">
        <f t="shared" si="6"/>
        <v>0</v>
      </c>
      <c r="AK78" s="1">
        <v>1155</v>
      </c>
      <c r="AL78" s="1">
        <v>209.359116</v>
      </c>
      <c r="AM78" s="8">
        <v>258.52813700000002</v>
      </c>
    </row>
    <row r="79" spans="2:39" ht="15.75" x14ac:dyDescent="0.25">
      <c r="B79" s="8">
        <v>1155</v>
      </c>
      <c r="C79" s="8" t="s">
        <v>239</v>
      </c>
      <c r="D79" s="8">
        <v>1155</v>
      </c>
      <c r="E79" s="8" t="s">
        <v>240</v>
      </c>
      <c r="F79" s="8" t="str">
        <f t="shared" si="7"/>
        <v>MK</v>
      </c>
      <c r="G79" s="2">
        <v>212</v>
      </c>
      <c r="H79" s="2">
        <f>SUMIF(RouteID_Conversion!$P$2:$P$745,MD_BoardingByRoute!D79,RouteID_Conversion!$Q$2:$Q$745)</f>
        <v>108.60578775405854</v>
      </c>
      <c r="I79" s="2"/>
      <c r="K79" s="8">
        <v>115</v>
      </c>
      <c r="L79" s="8">
        <v>53.982990264900003</v>
      </c>
      <c r="M79" s="8">
        <v>35.001888275100001</v>
      </c>
      <c r="N79" s="2">
        <v>9.4</v>
      </c>
      <c r="O79" s="2">
        <v>452.1</v>
      </c>
      <c r="P79" s="1"/>
      <c r="Q79" s="1"/>
      <c r="U79" s="1">
        <v>1156</v>
      </c>
      <c r="V79" s="1">
        <v>106.631607</v>
      </c>
      <c r="W79" s="8">
        <v>1209</v>
      </c>
      <c r="X79" s="8">
        <v>1209</v>
      </c>
      <c r="Y79" s="8">
        <v>353.43151899999998</v>
      </c>
      <c r="Z79" s="8">
        <v>445.92962599999998</v>
      </c>
      <c r="AA79" s="8">
        <v>1209</v>
      </c>
      <c r="AB79" s="8">
        <v>360.53195199999999</v>
      </c>
      <c r="AD79" s="8">
        <v>361.76455700000002</v>
      </c>
      <c r="AF79" s="8">
        <v>1209</v>
      </c>
      <c r="AG79" s="8">
        <v>353.43151899999998</v>
      </c>
      <c r="AH79" s="8">
        <f t="shared" si="6"/>
        <v>0</v>
      </c>
      <c r="AK79" s="1">
        <v>1156</v>
      </c>
      <c r="AL79" s="1">
        <v>106.631607</v>
      </c>
      <c r="AM79" s="8">
        <v>125.28338599999999</v>
      </c>
    </row>
    <row r="80" spans="2:39" ht="15.75" x14ac:dyDescent="0.25">
      <c r="B80" s="8">
        <v>1156</v>
      </c>
      <c r="C80" s="8" t="s">
        <v>241</v>
      </c>
      <c r="D80" s="8">
        <v>1156</v>
      </c>
      <c r="E80" s="8" t="s">
        <v>242</v>
      </c>
      <c r="F80" s="8" t="str">
        <f t="shared" si="7"/>
        <v>MK</v>
      </c>
      <c r="G80" s="2">
        <v>152.19999999999999</v>
      </c>
      <c r="H80" s="2">
        <f>SUMIF(RouteID_Conversion!$P$2:$P$745,MD_BoardingByRoute!D80,RouteID_Conversion!$Q$2:$Q$745)</f>
        <v>74.319247484206954</v>
      </c>
      <c r="I80" s="2"/>
      <c r="K80" s="8">
        <v>116</v>
      </c>
      <c r="L80" s="8">
        <v>4.6331381797800004</v>
      </c>
      <c r="M80" s="8">
        <v>45.415630340600003</v>
      </c>
      <c r="N80" s="2">
        <v>9.8000000000000007</v>
      </c>
      <c r="O80" s="2">
        <v>390.4</v>
      </c>
      <c r="P80" s="1"/>
      <c r="Q80" s="1"/>
      <c r="U80" s="1">
        <v>1157</v>
      </c>
      <c r="V80" s="1">
        <v>205.21675099999999</v>
      </c>
      <c r="W80" s="8">
        <v>1212</v>
      </c>
      <c r="X80" s="8">
        <v>1212</v>
      </c>
      <c r="Y80" s="8">
        <v>22.999894999999999</v>
      </c>
      <c r="Z80" s="8">
        <v>28.873798000000001</v>
      </c>
      <c r="AA80" s="8">
        <v>1212</v>
      </c>
      <c r="AB80" s="8">
        <v>25.821831</v>
      </c>
      <c r="AD80" s="8">
        <v>25.802251999999999</v>
      </c>
      <c r="AF80" s="8">
        <v>1212</v>
      </c>
      <c r="AG80" s="8">
        <v>22.999894999999999</v>
      </c>
      <c r="AH80" s="8">
        <f t="shared" si="6"/>
        <v>0</v>
      </c>
      <c r="AK80" s="1">
        <v>1157</v>
      </c>
      <c r="AL80" s="1">
        <v>205.21675099999999</v>
      </c>
      <c r="AM80" s="8">
        <v>222.73353599999999</v>
      </c>
    </row>
    <row r="81" spans="2:39" ht="15.75" x14ac:dyDescent="0.25">
      <c r="B81" s="8">
        <v>1157</v>
      </c>
      <c r="C81" s="8" t="s">
        <v>243</v>
      </c>
      <c r="D81" s="8">
        <v>1157</v>
      </c>
      <c r="E81" s="8" t="s">
        <v>244</v>
      </c>
      <c r="F81" s="8" t="str">
        <f t="shared" si="7"/>
        <v>MK</v>
      </c>
      <c r="G81" s="2">
        <v>0</v>
      </c>
      <c r="H81" s="2">
        <f>SUMIF(RouteID_Conversion!$P$2:$P$745,MD_BoardingByRoute!D81,RouteID_Conversion!$Q$2:$Q$745)</f>
        <v>0</v>
      </c>
      <c r="I81" s="2"/>
      <c r="K81" s="8">
        <v>117</v>
      </c>
      <c r="L81" s="8">
        <v>2.3177044391599999</v>
      </c>
      <c r="M81" s="8">
        <v>28.613449096699998</v>
      </c>
      <c r="N81" s="2">
        <v>23.3</v>
      </c>
      <c r="O81" s="2">
        <v>170.1</v>
      </c>
      <c r="P81" s="1"/>
      <c r="Q81" s="1"/>
      <c r="U81" s="1">
        <v>1158</v>
      </c>
      <c r="V81" s="1">
        <v>348.97854599999999</v>
      </c>
      <c r="W81" s="8">
        <v>1213</v>
      </c>
      <c r="X81" s="8">
        <v>1213</v>
      </c>
      <c r="Y81" s="8">
        <v>6.4424530000000004</v>
      </c>
      <c r="Z81" s="8">
        <v>7.9100809999999999</v>
      </c>
      <c r="AA81" s="8">
        <v>1213</v>
      </c>
      <c r="AB81" s="8">
        <v>6.4776749999999996</v>
      </c>
      <c r="AD81" s="8">
        <v>6.5202939999999998</v>
      </c>
      <c r="AF81" s="8">
        <v>1213</v>
      </c>
      <c r="AG81" s="8">
        <v>6.4424530000000004</v>
      </c>
      <c r="AH81" s="8">
        <f t="shared" si="6"/>
        <v>0</v>
      </c>
      <c r="AK81" s="1">
        <v>1158</v>
      </c>
      <c r="AL81" s="1">
        <v>348.97854599999999</v>
      </c>
      <c r="AM81" s="8">
        <v>377.97766100000001</v>
      </c>
    </row>
    <row r="82" spans="2:39" ht="15.75" x14ac:dyDescent="0.25">
      <c r="B82" s="8">
        <v>1158</v>
      </c>
      <c r="C82" s="8" t="s">
        <v>245</v>
      </c>
      <c r="D82" s="8">
        <v>1158</v>
      </c>
      <c r="E82" s="8" t="s">
        <v>246</v>
      </c>
      <c r="F82" s="8" t="str">
        <f t="shared" si="7"/>
        <v>MK</v>
      </c>
      <c r="G82" s="2">
        <v>0</v>
      </c>
      <c r="H82" s="2">
        <f>SUMIF(RouteID_Conversion!$P$2:$P$745,MD_BoardingByRoute!D82,RouteID_Conversion!$Q$2:$Q$745)</f>
        <v>0</v>
      </c>
      <c r="I82" s="2"/>
      <c r="K82" s="8">
        <v>118</v>
      </c>
      <c r="L82" s="8">
        <v>11.503918647800001</v>
      </c>
      <c r="M82" s="8">
        <v>24.008953094500001</v>
      </c>
      <c r="N82" s="2">
        <v>86.7</v>
      </c>
      <c r="O82" s="2">
        <v>530.1</v>
      </c>
      <c r="P82" s="1"/>
      <c r="Q82" s="1"/>
      <c r="U82" s="1">
        <v>1159</v>
      </c>
      <c r="V82" s="1">
        <v>378.14810199999999</v>
      </c>
      <c r="W82" s="8">
        <v>1219</v>
      </c>
      <c r="X82" s="8">
        <v>1219</v>
      </c>
      <c r="Y82" s="8">
        <v>10.320902</v>
      </c>
      <c r="Z82" s="8">
        <v>11.041816000000001</v>
      </c>
      <c r="AA82" s="8">
        <v>1219</v>
      </c>
      <c r="AB82" s="8">
        <v>6.9512600000000004</v>
      </c>
      <c r="AD82" s="8">
        <v>6.9818499999999997</v>
      </c>
      <c r="AF82" s="8">
        <v>1219</v>
      </c>
      <c r="AG82" s="8">
        <v>10.320902</v>
      </c>
      <c r="AH82" s="8">
        <f t="shared" si="6"/>
        <v>0</v>
      </c>
      <c r="AK82" s="1">
        <v>1159</v>
      </c>
      <c r="AL82" s="1">
        <v>378.14810199999999</v>
      </c>
      <c r="AM82" s="8">
        <v>401.02093500000001</v>
      </c>
    </row>
    <row r="83" spans="2:39" ht="15.75" x14ac:dyDescent="0.25">
      <c r="B83" s="8">
        <v>1159</v>
      </c>
      <c r="C83" s="8" t="s">
        <v>247</v>
      </c>
      <c r="D83" s="8">
        <v>1159</v>
      </c>
      <c r="E83" s="8" t="s">
        <v>248</v>
      </c>
      <c r="F83" s="8" t="str">
        <f t="shared" si="7"/>
        <v>MK</v>
      </c>
      <c r="G83" s="2">
        <v>0</v>
      </c>
      <c r="H83" s="2">
        <f>SUMIF(RouteID_Conversion!$P$2:$P$745,MD_BoardingByRoute!D83,RouteID_Conversion!$Q$2:$Q$745)</f>
        <v>0</v>
      </c>
      <c r="I83" s="2"/>
      <c r="K83" s="8">
        <v>119</v>
      </c>
      <c r="L83" s="8">
        <v>2.3366603851300001</v>
      </c>
      <c r="M83" s="8">
        <v>26.494865417500002</v>
      </c>
      <c r="N83" s="2">
        <v>78.099999999999994</v>
      </c>
      <c r="O83" s="2">
        <v>465.3</v>
      </c>
      <c r="P83" s="1"/>
      <c r="Q83" s="1"/>
      <c r="U83" s="1">
        <v>1161</v>
      </c>
      <c r="V83" s="1">
        <v>702.77520800000002</v>
      </c>
      <c r="W83" s="8">
        <v>1221</v>
      </c>
      <c r="X83" s="8">
        <v>1221</v>
      </c>
      <c r="Y83" s="8">
        <v>648.29162599999995</v>
      </c>
      <c r="Z83" s="8">
        <v>720.43792699999995</v>
      </c>
      <c r="AA83" s="8">
        <v>1221</v>
      </c>
      <c r="AB83" s="8">
        <v>573.89343299999996</v>
      </c>
      <c r="AD83" s="8">
        <v>575.396118</v>
      </c>
      <c r="AF83" s="8">
        <v>1221</v>
      </c>
      <c r="AG83" s="8">
        <v>648.29162599999995</v>
      </c>
      <c r="AH83" s="8">
        <f t="shared" si="6"/>
        <v>0</v>
      </c>
      <c r="AK83" s="1">
        <v>1161</v>
      </c>
      <c r="AL83" s="1">
        <v>702.77520800000002</v>
      </c>
      <c r="AM83" s="8">
        <v>738.17163100000005</v>
      </c>
    </row>
    <row r="84" spans="2:39" ht="15.75" x14ac:dyDescent="0.25">
      <c r="B84" s="8">
        <v>1161</v>
      </c>
      <c r="C84" s="8" t="s">
        <v>249</v>
      </c>
      <c r="D84" s="8">
        <v>1161</v>
      </c>
      <c r="E84" s="8" t="s">
        <v>250</v>
      </c>
      <c r="F84" s="8" t="str">
        <f t="shared" si="7"/>
        <v>MK</v>
      </c>
      <c r="G84" s="2">
        <v>0</v>
      </c>
      <c r="H84" s="2">
        <f>SUMIF(RouteID_Conversion!$P$2:$P$745,MD_BoardingByRoute!D84,RouteID_Conversion!$Q$2:$Q$745)</f>
        <v>0</v>
      </c>
      <c r="I84" s="2"/>
      <c r="K84" s="8">
        <v>120</v>
      </c>
      <c r="L84" s="8">
        <v>44.850002288799999</v>
      </c>
      <c r="M84" s="8">
        <v>37.2101745605</v>
      </c>
      <c r="N84" s="2">
        <v>25.8</v>
      </c>
      <c r="O84" s="2">
        <v>316.39999999999998</v>
      </c>
      <c r="P84" s="1"/>
      <c r="Q84" s="1"/>
      <c r="U84" s="1">
        <v>1162</v>
      </c>
      <c r="V84" s="1">
        <v>382.46337899999997</v>
      </c>
      <c r="W84" s="8">
        <v>1222</v>
      </c>
      <c r="X84" s="8">
        <v>1222</v>
      </c>
      <c r="Y84" s="8">
        <v>437.83123799999998</v>
      </c>
      <c r="Z84" s="8">
        <v>463.61242700000003</v>
      </c>
      <c r="AA84" s="8">
        <v>1222</v>
      </c>
      <c r="AB84" s="8">
        <v>375.68591300000003</v>
      </c>
      <c r="AD84" s="8">
        <v>376.57458500000001</v>
      </c>
      <c r="AF84" s="8">
        <v>1222</v>
      </c>
      <c r="AG84" s="8">
        <v>437.83123799999998</v>
      </c>
      <c r="AH84" s="8">
        <f t="shared" si="6"/>
        <v>0</v>
      </c>
      <c r="AK84" s="1">
        <v>1162</v>
      </c>
      <c r="AL84" s="1">
        <v>382.46337899999997</v>
      </c>
      <c r="AM84" s="8">
        <v>372.88485700000001</v>
      </c>
    </row>
    <row r="85" spans="2:39" ht="15.75" x14ac:dyDescent="0.25">
      <c r="B85" s="8">
        <v>1162</v>
      </c>
      <c r="C85" s="8" t="s">
        <v>251</v>
      </c>
      <c r="D85" s="8">
        <v>1162</v>
      </c>
      <c r="E85" s="8" t="s">
        <v>252</v>
      </c>
      <c r="F85" s="8" t="str">
        <f t="shared" si="7"/>
        <v>MK</v>
      </c>
      <c r="G85" s="2">
        <v>0.3</v>
      </c>
      <c r="H85" s="2">
        <f>SUMIF(RouteID_Conversion!$P$2:$P$745,MD_BoardingByRoute!D85,RouteID_Conversion!$Q$2:$Q$745)</f>
        <v>0</v>
      </c>
      <c r="I85" s="2"/>
      <c r="K85" s="8">
        <v>121</v>
      </c>
      <c r="L85" s="8">
        <v>28.959758758500001</v>
      </c>
      <c r="M85" s="8">
        <v>56.265541076700003</v>
      </c>
      <c r="N85" s="2">
        <v>0</v>
      </c>
      <c r="O85" s="2">
        <v>176.4</v>
      </c>
      <c r="P85" s="1"/>
      <c r="Q85" s="1"/>
      <c r="U85" s="1">
        <v>1164</v>
      </c>
      <c r="V85" s="1">
        <v>448.77539100000001</v>
      </c>
      <c r="W85" s="8">
        <v>1230</v>
      </c>
      <c r="X85" s="8">
        <v>1230</v>
      </c>
      <c r="Y85" s="8">
        <v>1718.81665</v>
      </c>
      <c r="Z85" s="8">
        <v>1779.878418</v>
      </c>
      <c r="AA85" s="8">
        <v>1230</v>
      </c>
      <c r="AB85" s="8">
        <v>1452.299683</v>
      </c>
      <c r="AD85" s="8">
        <v>1454.1839600000001</v>
      </c>
      <c r="AF85" s="8">
        <v>1230</v>
      </c>
      <c r="AG85" s="8">
        <v>1718.81665</v>
      </c>
      <c r="AH85" s="8">
        <f t="shared" si="6"/>
        <v>0</v>
      </c>
      <c r="AK85" s="1">
        <v>1164</v>
      </c>
      <c r="AL85" s="1">
        <v>448.77539100000001</v>
      </c>
      <c r="AM85" s="8">
        <v>563.10992399999998</v>
      </c>
    </row>
    <row r="86" spans="2:39" ht="15.75" x14ac:dyDescent="0.25">
      <c r="B86" s="8">
        <v>1164</v>
      </c>
      <c r="C86" s="8" t="s">
        <v>253</v>
      </c>
      <c r="D86" s="8">
        <v>1164</v>
      </c>
      <c r="E86" s="8" t="s">
        <v>254</v>
      </c>
      <c r="F86" s="8" t="str">
        <f t="shared" si="7"/>
        <v>MK</v>
      </c>
      <c r="G86" s="2">
        <v>519.29999999999995</v>
      </c>
      <c r="H86" s="2">
        <f>SUMIF(RouteID_Conversion!$P$2:$P$745,MD_BoardingByRoute!D86,RouteID_Conversion!$Q$2:$Q$745)</f>
        <v>146.88743352889989</v>
      </c>
      <c r="I86" s="2"/>
      <c r="K86" s="8">
        <v>122</v>
      </c>
      <c r="L86" s="8">
        <v>31.034397125200002</v>
      </c>
      <c r="M86" s="8">
        <v>51.7382583618</v>
      </c>
      <c r="N86" s="2">
        <v>11.5</v>
      </c>
      <c r="O86" s="2">
        <v>1214.2</v>
      </c>
      <c r="P86" s="1"/>
      <c r="Q86" s="1"/>
      <c r="U86" s="1">
        <v>1166</v>
      </c>
      <c r="V86" s="1">
        <v>594.87957800000004</v>
      </c>
      <c r="W86" s="8">
        <v>1232</v>
      </c>
      <c r="X86" s="8">
        <v>1232</v>
      </c>
      <c r="Y86" s="8">
        <v>14.051815</v>
      </c>
      <c r="Z86" s="8">
        <v>15.558310000000001</v>
      </c>
      <c r="AA86" s="8">
        <v>1232</v>
      </c>
      <c r="AB86" s="8">
        <v>14.208734</v>
      </c>
      <c r="AD86" s="8">
        <v>14.429655</v>
      </c>
      <c r="AF86" s="8">
        <v>1232</v>
      </c>
      <c r="AG86" s="8">
        <v>14.051815</v>
      </c>
      <c r="AH86" s="8">
        <f t="shared" si="6"/>
        <v>0</v>
      </c>
      <c r="AK86" s="1">
        <v>1166</v>
      </c>
      <c r="AL86" s="1">
        <v>594.87957800000004</v>
      </c>
      <c r="AM86" s="8">
        <v>661.00116000000003</v>
      </c>
    </row>
    <row r="87" spans="2:39" ht="15.75" x14ac:dyDescent="0.25">
      <c r="B87" s="8">
        <v>1166</v>
      </c>
      <c r="C87" s="8" t="s">
        <v>255</v>
      </c>
      <c r="D87" s="8">
        <v>1166</v>
      </c>
      <c r="E87" s="8" t="s">
        <v>256</v>
      </c>
      <c r="F87" s="8" t="str">
        <f t="shared" si="7"/>
        <v>MK</v>
      </c>
      <c r="G87" s="2">
        <v>650.20000000000005</v>
      </c>
      <c r="H87" s="2">
        <f>SUMIF(RouteID_Conversion!$P$2:$P$745,MD_BoardingByRoute!D87,RouteID_Conversion!$Q$2:$Q$745)</f>
        <v>367.92745780944654</v>
      </c>
      <c r="I87" s="2"/>
      <c r="K87" s="8">
        <v>123</v>
      </c>
      <c r="L87" s="8">
        <v>19.357051849400001</v>
      </c>
      <c r="M87" s="8">
        <v>57.145214080800002</v>
      </c>
      <c r="N87" s="2">
        <v>62.2</v>
      </c>
      <c r="O87" s="2">
        <v>1573.8</v>
      </c>
      <c r="P87" s="1"/>
      <c r="Q87" s="1"/>
      <c r="U87" s="1">
        <v>1167</v>
      </c>
      <c r="V87" s="1">
        <v>242.16644299999999</v>
      </c>
      <c r="W87" s="8">
        <v>1233</v>
      </c>
      <c r="X87" s="8">
        <v>1233</v>
      </c>
      <c r="Y87" s="8">
        <v>646.26355000000001</v>
      </c>
      <c r="Z87" s="8">
        <v>729.52502400000003</v>
      </c>
      <c r="AA87" s="8">
        <v>1233</v>
      </c>
      <c r="AB87" s="8">
        <v>579.33007799999996</v>
      </c>
      <c r="AD87" s="8">
        <v>581.22503700000004</v>
      </c>
      <c r="AF87" s="8">
        <v>1233</v>
      </c>
      <c r="AG87" s="8">
        <v>646.26355000000001</v>
      </c>
      <c r="AH87" s="8">
        <f t="shared" si="6"/>
        <v>0</v>
      </c>
      <c r="AK87" s="1">
        <v>1167</v>
      </c>
      <c r="AL87" s="1">
        <v>242.16644299999999</v>
      </c>
      <c r="AM87" s="8">
        <v>153.83180200000001</v>
      </c>
    </row>
    <row r="88" spans="2:39" ht="15.75" x14ac:dyDescent="0.25">
      <c r="B88" s="8">
        <v>1167</v>
      </c>
      <c r="C88" s="8" t="s">
        <v>257</v>
      </c>
      <c r="D88" s="8">
        <v>1167</v>
      </c>
      <c r="E88" s="8" t="s">
        <v>258</v>
      </c>
      <c r="F88" s="8" t="str">
        <f t="shared" si="7"/>
        <v>MK</v>
      </c>
      <c r="G88" s="2">
        <v>20.6</v>
      </c>
      <c r="H88" s="2">
        <f>SUMIF(RouteID_Conversion!$P$2:$P$745,MD_BoardingByRoute!D88,RouteID_Conversion!$Q$2:$Q$745)</f>
        <v>26.973771333694401</v>
      </c>
      <c r="I88" s="2"/>
      <c r="K88" s="8">
        <v>124</v>
      </c>
      <c r="L88" s="8">
        <v>22.458843231199999</v>
      </c>
      <c r="M88" s="8">
        <v>43.1065177917</v>
      </c>
      <c r="N88" s="2">
        <v>0</v>
      </c>
      <c r="O88" s="2">
        <v>320.7</v>
      </c>
      <c r="P88" s="1"/>
      <c r="Q88" s="1"/>
      <c r="U88" s="1">
        <v>1168</v>
      </c>
      <c r="V88" s="1">
        <v>427.42962599999998</v>
      </c>
      <c r="W88" s="8">
        <v>1234</v>
      </c>
      <c r="X88" s="8">
        <v>1234</v>
      </c>
      <c r="Y88" s="8">
        <v>1252.201294</v>
      </c>
      <c r="Z88" s="8">
        <v>1360.411987</v>
      </c>
      <c r="AA88" s="8">
        <v>1234</v>
      </c>
      <c r="AB88" s="8">
        <v>1114.071655</v>
      </c>
      <c r="AD88" s="8">
        <v>1113.551025</v>
      </c>
      <c r="AF88" s="8">
        <v>1234</v>
      </c>
      <c r="AG88" s="8">
        <v>1252.201294</v>
      </c>
      <c r="AH88" s="8">
        <f t="shared" si="6"/>
        <v>0</v>
      </c>
      <c r="AK88" s="1">
        <v>1168</v>
      </c>
      <c r="AL88" s="1">
        <v>427.42962599999998</v>
      </c>
      <c r="AM88" s="8">
        <v>561.04663100000005</v>
      </c>
    </row>
    <row r="89" spans="2:39" ht="15.75" x14ac:dyDescent="0.25">
      <c r="B89" s="8">
        <v>1168</v>
      </c>
      <c r="C89" s="8" t="s">
        <v>259</v>
      </c>
      <c r="D89" s="8">
        <v>1168</v>
      </c>
      <c r="E89" s="8" t="s">
        <v>260</v>
      </c>
      <c r="F89" s="8" t="str">
        <f t="shared" si="7"/>
        <v>MK</v>
      </c>
      <c r="G89" s="2">
        <v>397.4</v>
      </c>
      <c r="H89" s="2">
        <f>SUMIF(RouteID_Conversion!$P$2:$P$745,MD_BoardingByRoute!D89,RouteID_Conversion!$Q$2:$Q$745)</f>
        <v>201.7131524085996</v>
      </c>
      <c r="I89" s="2"/>
      <c r="K89" s="8">
        <v>125</v>
      </c>
      <c r="L89" s="8">
        <v>9.3422594070400002</v>
      </c>
      <c r="M89" s="8">
        <v>31.080881118800001</v>
      </c>
      <c r="N89" s="2">
        <v>65.599999999999994</v>
      </c>
      <c r="O89" s="2">
        <v>1025.4000000000001</v>
      </c>
      <c r="P89" s="1"/>
      <c r="Q89" s="1"/>
      <c r="U89" s="1">
        <v>1169</v>
      </c>
      <c r="V89" s="1">
        <v>1070.7633060000001</v>
      </c>
      <c r="W89" s="8">
        <v>1236</v>
      </c>
      <c r="X89" s="8">
        <v>1236</v>
      </c>
      <c r="Y89" s="8">
        <v>596.81195100000002</v>
      </c>
      <c r="Z89" s="8">
        <v>676.386169</v>
      </c>
      <c r="AA89" s="8">
        <v>1236</v>
      </c>
      <c r="AB89" s="8">
        <v>522.55145300000004</v>
      </c>
      <c r="AD89" s="8">
        <v>526.34381099999996</v>
      </c>
      <c r="AF89" s="8">
        <v>1236</v>
      </c>
      <c r="AG89" s="8">
        <v>596.81195100000002</v>
      </c>
      <c r="AH89" s="8">
        <f t="shared" si="6"/>
        <v>0</v>
      </c>
      <c r="AK89" s="1">
        <v>1169</v>
      </c>
      <c r="AL89" s="1">
        <v>1070.7633060000001</v>
      </c>
      <c r="AM89" s="8">
        <v>1314.6513669999999</v>
      </c>
    </row>
    <row r="90" spans="2:39" ht="15.75" x14ac:dyDescent="0.25">
      <c r="B90" s="8">
        <v>1169</v>
      </c>
      <c r="C90" s="8" t="s">
        <v>261</v>
      </c>
      <c r="D90" s="8">
        <v>1169</v>
      </c>
      <c r="E90" s="8" t="s">
        <v>262</v>
      </c>
      <c r="F90" s="8" t="str">
        <f t="shared" si="7"/>
        <v>MK</v>
      </c>
      <c r="G90" s="2">
        <v>823.9</v>
      </c>
      <c r="H90" s="2">
        <f>SUMIF(RouteID_Conversion!$P$2:$P$745,MD_BoardingByRoute!D90,RouteID_Conversion!$Q$2:$Q$745)</f>
        <v>714.97075653076081</v>
      </c>
      <c r="I90" s="2"/>
      <c r="K90" s="8">
        <v>126</v>
      </c>
      <c r="L90" s="8">
        <v>9.4315853118900002</v>
      </c>
      <c r="M90" s="8">
        <v>39.7979698181</v>
      </c>
      <c r="N90" s="2">
        <v>135.19999999999999</v>
      </c>
      <c r="O90" s="2">
        <v>2400.6</v>
      </c>
      <c r="P90" s="1"/>
      <c r="Q90" s="1"/>
      <c r="U90" s="1">
        <v>1173</v>
      </c>
      <c r="V90" s="1">
        <v>41.008243999999998</v>
      </c>
      <c r="W90" s="8">
        <v>1238</v>
      </c>
      <c r="X90" s="8">
        <v>1238</v>
      </c>
      <c r="Y90" s="8">
        <v>712.19293200000004</v>
      </c>
      <c r="Z90" s="8">
        <v>786.37750200000005</v>
      </c>
      <c r="AA90" s="8">
        <v>1238</v>
      </c>
      <c r="AB90" s="8">
        <v>630.72582999999997</v>
      </c>
      <c r="AD90" s="8">
        <v>633.67571999999996</v>
      </c>
      <c r="AF90" s="8">
        <v>1238</v>
      </c>
      <c r="AG90" s="8">
        <v>712.19293200000004</v>
      </c>
      <c r="AH90" s="8">
        <f t="shared" si="6"/>
        <v>0</v>
      </c>
      <c r="AK90" s="1">
        <v>1173</v>
      </c>
      <c r="AL90" s="1">
        <v>41.008243999999998</v>
      </c>
      <c r="AM90" s="8">
        <v>52.561171999999999</v>
      </c>
    </row>
    <row r="91" spans="2:39" ht="15.75" x14ac:dyDescent="0.25">
      <c r="B91" s="8">
        <v>1174</v>
      </c>
      <c r="C91" s="8" t="s">
        <v>265</v>
      </c>
      <c r="D91" s="8">
        <v>1174</v>
      </c>
      <c r="E91" s="8" t="s">
        <v>266</v>
      </c>
      <c r="F91" s="8" t="str">
        <f t="shared" si="7"/>
        <v>MK</v>
      </c>
      <c r="G91" s="2">
        <v>2110.3000000000002</v>
      </c>
      <c r="H91" s="2">
        <f>SUMIF(RouteID_Conversion!$P$2:$P$745,MD_BoardingByRoute!D91,RouteID_Conversion!$Q$2:$Q$745)</f>
        <v>775.80073022842305</v>
      </c>
      <c r="I91" s="2"/>
      <c r="K91" s="8">
        <v>128</v>
      </c>
      <c r="L91" s="8">
        <v>10.4409303665</v>
      </c>
      <c r="M91" s="8">
        <v>52.555088043200001</v>
      </c>
      <c r="N91" s="2">
        <v>448.5</v>
      </c>
      <c r="O91" s="2">
        <v>5399.8</v>
      </c>
      <c r="P91" s="1"/>
      <c r="Q91" s="1"/>
      <c r="U91" s="1">
        <v>1175</v>
      </c>
      <c r="V91" s="1">
        <v>198.68002300000001</v>
      </c>
      <c r="W91" s="8">
        <v>1245</v>
      </c>
      <c r="X91" s="8">
        <v>1245</v>
      </c>
      <c r="Y91" s="8">
        <v>1363.899414</v>
      </c>
      <c r="Z91" s="8">
        <v>1539.126831</v>
      </c>
      <c r="AA91" s="8">
        <v>1245</v>
      </c>
      <c r="AB91" s="8">
        <v>1241.911865</v>
      </c>
      <c r="AD91" s="8">
        <v>1246.3165280000001</v>
      </c>
      <c r="AF91" s="8">
        <v>1245</v>
      </c>
      <c r="AG91" s="8">
        <v>1363.899414</v>
      </c>
      <c r="AH91" s="8">
        <f t="shared" si="6"/>
        <v>0</v>
      </c>
      <c r="AK91" s="1">
        <v>1175</v>
      </c>
      <c r="AL91" s="1">
        <v>198.68002300000001</v>
      </c>
      <c r="AM91" s="8">
        <v>183.859894</v>
      </c>
    </row>
    <row r="92" spans="2:39" ht="15.75" x14ac:dyDescent="0.25">
      <c r="B92" s="8">
        <v>1180</v>
      </c>
      <c r="C92" s="8" t="s">
        <v>273</v>
      </c>
      <c r="D92" s="8">
        <v>1180</v>
      </c>
      <c r="E92" s="8" t="s">
        <v>274</v>
      </c>
      <c r="F92" s="8" t="str">
        <f t="shared" si="7"/>
        <v>MK</v>
      </c>
      <c r="G92" s="2">
        <v>1614.1</v>
      </c>
      <c r="H92" s="2">
        <f>SUMIF(RouteID_Conversion!$P$2:$P$745,MD_BoardingByRoute!D92,RouteID_Conversion!$Q$2:$Q$745)</f>
        <v>718.0228815078724</v>
      </c>
      <c r="I92" s="2"/>
      <c r="K92" s="8">
        <v>132</v>
      </c>
      <c r="L92" s="8">
        <v>33.587078094500001</v>
      </c>
      <c r="M92" s="8">
        <v>52.046012878399999</v>
      </c>
      <c r="N92" s="2">
        <v>227.1</v>
      </c>
      <c r="O92" s="2">
        <v>4016.4</v>
      </c>
      <c r="P92" s="1"/>
      <c r="Q92" s="1"/>
      <c r="U92" s="1">
        <v>1181</v>
      </c>
      <c r="V92" s="1">
        <v>1088.7073969999999</v>
      </c>
      <c r="W92" s="8">
        <v>1253</v>
      </c>
      <c r="X92" s="8">
        <v>1253</v>
      </c>
      <c r="Y92" s="8">
        <v>1077.7382809999999</v>
      </c>
      <c r="Z92" s="8">
        <v>1107.8857419999999</v>
      </c>
      <c r="AA92" s="8">
        <v>1253</v>
      </c>
      <c r="AB92" s="8">
        <v>885.02923599999997</v>
      </c>
      <c r="AD92" s="8">
        <v>888.13464399999998</v>
      </c>
      <c r="AF92" s="8">
        <v>1253</v>
      </c>
      <c r="AG92" s="8">
        <v>1077.7382809999999</v>
      </c>
      <c r="AH92" s="8">
        <f t="shared" si="6"/>
        <v>0</v>
      </c>
      <c r="AK92" s="1">
        <v>1181</v>
      </c>
      <c r="AL92" s="1">
        <v>1088.7073969999999</v>
      </c>
      <c r="AM92" s="8">
        <v>1233.0667719999999</v>
      </c>
    </row>
    <row r="93" spans="2:39" ht="15.75" x14ac:dyDescent="0.25">
      <c r="B93" s="8">
        <v>1181</v>
      </c>
      <c r="C93" s="8" t="s">
        <v>275</v>
      </c>
      <c r="D93" s="8">
        <v>1181</v>
      </c>
      <c r="E93" s="8" t="s">
        <v>276</v>
      </c>
      <c r="F93" s="8" t="str">
        <f t="shared" si="7"/>
        <v>MK</v>
      </c>
      <c r="G93" s="2">
        <v>797.3</v>
      </c>
      <c r="H93" s="2">
        <f>SUMIF(RouteID_Conversion!$P$2:$P$745,MD_BoardingByRoute!D93,RouteID_Conversion!$Q$2:$Q$745)</f>
        <v>648.4648017883294</v>
      </c>
      <c r="I93" s="2"/>
      <c r="K93" s="8">
        <v>133</v>
      </c>
      <c r="L93" s="8">
        <v>37.628711700399997</v>
      </c>
      <c r="M93" s="8">
        <v>57.906135559100001</v>
      </c>
      <c r="N93" s="2">
        <v>84.3</v>
      </c>
      <c r="O93" s="2">
        <v>2041.6</v>
      </c>
      <c r="P93" s="1"/>
      <c r="Q93" s="1"/>
      <c r="U93" s="1">
        <v>1182</v>
      </c>
      <c r="V93" s="1">
        <v>212.211365</v>
      </c>
      <c r="W93" s="8">
        <v>1255</v>
      </c>
      <c r="X93" s="8">
        <v>1255</v>
      </c>
      <c r="Y93" s="8">
        <v>1012.9489139999999</v>
      </c>
      <c r="Z93" s="8">
        <v>1111.125</v>
      </c>
      <c r="AA93" s="8">
        <v>1255</v>
      </c>
      <c r="AB93" s="8">
        <v>966.79803500000003</v>
      </c>
      <c r="AD93" s="8">
        <v>969.25323500000002</v>
      </c>
      <c r="AF93" s="8">
        <v>1255</v>
      </c>
      <c r="AG93" s="8">
        <v>1012.9489139999999</v>
      </c>
      <c r="AH93" s="8">
        <f t="shared" si="6"/>
        <v>0</v>
      </c>
      <c r="AK93" s="1">
        <v>1182</v>
      </c>
      <c r="AL93" s="1">
        <v>212.211365</v>
      </c>
      <c r="AM93" s="8">
        <v>221.54783599999999</v>
      </c>
    </row>
    <row r="94" spans="2:39" ht="15.75" x14ac:dyDescent="0.25">
      <c r="B94" s="8">
        <v>1182</v>
      </c>
      <c r="C94" s="8" t="s">
        <v>277</v>
      </c>
      <c r="D94" s="8">
        <v>1182</v>
      </c>
      <c r="E94" s="8" t="s">
        <v>278</v>
      </c>
      <c r="F94" s="8" t="str">
        <f t="shared" si="7"/>
        <v>MK</v>
      </c>
      <c r="G94" s="2">
        <v>151.5</v>
      </c>
      <c r="H94" s="2">
        <f>SUMIF(RouteID_Conversion!$P$2:$P$745,MD_BoardingByRoute!D94,RouteID_Conversion!$Q$2:$Q$745)</f>
        <v>63.716552615165632</v>
      </c>
      <c r="I94" s="2"/>
      <c r="K94" s="8">
        <v>134</v>
      </c>
      <c r="L94" s="8">
        <v>39.777889251700003</v>
      </c>
      <c r="M94" s="8">
        <v>35.174766540500002</v>
      </c>
      <c r="N94" s="2">
        <v>15.2</v>
      </c>
      <c r="O94" s="2">
        <v>415</v>
      </c>
      <c r="P94" s="1"/>
      <c r="Q94" s="1"/>
      <c r="U94" s="1">
        <v>1183</v>
      </c>
      <c r="V94" s="1">
        <v>469.25830100000002</v>
      </c>
      <c r="W94" s="8">
        <v>1269</v>
      </c>
      <c r="X94" s="8">
        <v>1269</v>
      </c>
      <c r="Y94" s="8">
        <v>172.576584</v>
      </c>
      <c r="Z94" s="8">
        <v>207.883545</v>
      </c>
      <c r="AA94" s="8">
        <v>1269</v>
      </c>
      <c r="AB94" s="8">
        <v>152.258072</v>
      </c>
      <c r="AD94" s="8">
        <v>152.82539399999999</v>
      </c>
      <c r="AF94" s="8">
        <v>1269</v>
      </c>
      <c r="AG94" s="8">
        <v>172.576584</v>
      </c>
      <c r="AH94" s="8">
        <f t="shared" si="6"/>
        <v>0</v>
      </c>
      <c r="AK94" s="1">
        <v>1183</v>
      </c>
      <c r="AL94" s="1">
        <v>469.25830100000002</v>
      </c>
      <c r="AM94" s="8">
        <v>566.52209500000004</v>
      </c>
    </row>
    <row r="95" spans="2:39" ht="15.75" x14ac:dyDescent="0.25">
      <c r="B95" s="8">
        <v>1183</v>
      </c>
      <c r="C95" s="8" t="s">
        <v>279</v>
      </c>
      <c r="D95" s="8">
        <v>1183</v>
      </c>
      <c r="E95" s="8" t="s">
        <v>280</v>
      </c>
      <c r="F95" s="8" t="str">
        <f t="shared" si="7"/>
        <v>MK</v>
      </c>
      <c r="G95" s="2">
        <v>275.10000000000002</v>
      </c>
      <c r="H95" s="2">
        <f>SUMIF(RouteID_Conversion!$P$2:$P$745,MD_BoardingByRoute!D95,RouteID_Conversion!$Q$2:$Q$745)</f>
        <v>125.84775972366305</v>
      </c>
      <c r="I95" s="2"/>
      <c r="K95" s="8">
        <v>135</v>
      </c>
      <c r="L95" s="8">
        <v>24.665565490700001</v>
      </c>
      <c r="M95" s="8">
        <v>41.1449508667</v>
      </c>
      <c r="N95" s="2">
        <v>23.4</v>
      </c>
      <c r="O95" s="2">
        <v>709.2</v>
      </c>
      <c r="P95" s="1"/>
      <c r="Q95" s="1"/>
      <c r="U95" s="1">
        <v>1187</v>
      </c>
      <c r="V95" s="1">
        <v>166.58895899999999</v>
      </c>
      <c r="W95" s="8">
        <v>1271</v>
      </c>
      <c r="X95" s="8">
        <v>1271</v>
      </c>
      <c r="Y95" s="8">
        <v>1668.2025149999999</v>
      </c>
      <c r="Z95" s="8">
        <v>1791.322388</v>
      </c>
      <c r="AA95" s="8">
        <v>1271</v>
      </c>
      <c r="AB95" s="8">
        <v>1398.571289</v>
      </c>
      <c r="AD95" s="8">
        <v>1403.5169679999999</v>
      </c>
      <c r="AF95" s="8">
        <v>1271</v>
      </c>
      <c r="AG95" s="8">
        <v>1668.2025149999999</v>
      </c>
      <c r="AH95" s="8">
        <f t="shared" si="6"/>
        <v>0</v>
      </c>
      <c r="AK95" s="1">
        <v>1187</v>
      </c>
      <c r="AL95" s="1">
        <v>166.58895899999999</v>
      </c>
      <c r="AM95" s="8">
        <v>178.528458</v>
      </c>
    </row>
    <row r="96" spans="2:39" ht="15.75" x14ac:dyDescent="0.25">
      <c r="B96" s="8">
        <v>1187</v>
      </c>
      <c r="C96" s="8" t="s">
        <v>281</v>
      </c>
      <c r="D96" s="8">
        <v>1187</v>
      </c>
      <c r="E96" s="8" t="s">
        <v>282</v>
      </c>
      <c r="F96" s="8" t="str">
        <f t="shared" si="7"/>
        <v>MK</v>
      </c>
      <c r="G96" s="2">
        <v>152.19999999999999</v>
      </c>
      <c r="H96" s="2">
        <f>SUMIF(RouteID_Conversion!$P$2:$P$745,MD_BoardingByRoute!D96,RouteID_Conversion!$Q$2:$Q$745)</f>
        <v>69.159982442855664</v>
      </c>
      <c r="I96" s="2"/>
      <c r="K96" s="8">
        <v>136</v>
      </c>
      <c r="L96" s="8">
        <v>24.665565490700001</v>
      </c>
      <c r="M96" s="8">
        <v>41.407081603999998</v>
      </c>
      <c r="N96" s="2">
        <v>32.200000000000003</v>
      </c>
      <c r="O96" s="2">
        <v>446.1</v>
      </c>
      <c r="P96" s="1"/>
      <c r="Q96" s="1"/>
      <c r="U96" s="1">
        <v>1190</v>
      </c>
      <c r="V96" s="1">
        <v>413.244507</v>
      </c>
      <c r="W96" s="8">
        <v>1272</v>
      </c>
      <c r="X96" s="8">
        <v>1272</v>
      </c>
      <c r="Y96" s="8">
        <v>112.698685</v>
      </c>
      <c r="Z96" s="8">
        <v>132.818771</v>
      </c>
      <c r="AA96" s="8">
        <v>1272</v>
      </c>
      <c r="AB96" s="8">
        <v>109.54806499999999</v>
      </c>
      <c r="AD96" s="8">
        <v>109.88885500000001</v>
      </c>
      <c r="AF96" s="8">
        <v>1272</v>
      </c>
      <c r="AG96" s="8">
        <v>112.698685</v>
      </c>
      <c r="AH96" s="8">
        <f t="shared" si="6"/>
        <v>0</v>
      </c>
      <c r="AK96" s="1">
        <v>1190</v>
      </c>
      <c r="AL96" s="1">
        <v>413.244507</v>
      </c>
      <c r="AM96" s="8">
        <v>450.34475700000002</v>
      </c>
    </row>
    <row r="97" spans="2:39" ht="15.75" x14ac:dyDescent="0.25">
      <c r="B97" s="8">
        <v>1197</v>
      </c>
      <c r="C97" s="8" t="s">
        <v>289</v>
      </c>
      <c r="D97" s="8">
        <v>1197</v>
      </c>
      <c r="E97" s="8" t="s">
        <v>290</v>
      </c>
      <c r="F97" s="8" t="str">
        <f t="shared" si="7"/>
        <v>MK</v>
      </c>
      <c r="G97" s="2">
        <v>73.400000000000006</v>
      </c>
      <c r="H97" s="2">
        <f>SUMIF(RouteID_Conversion!$P$2:$P$745,MD_BoardingByRoute!D97,RouteID_Conversion!$Q$2:$Q$745)</f>
        <v>25.607895612716579</v>
      </c>
      <c r="I97" s="2"/>
      <c r="K97" s="8">
        <v>140</v>
      </c>
      <c r="L97" s="8">
        <v>21.973892211900001</v>
      </c>
      <c r="M97" s="8">
        <v>47.285247802699999</v>
      </c>
      <c r="N97" s="2">
        <v>23.6</v>
      </c>
      <c r="O97" s="2">
        <v>635.5</v>
      </c>
      <c r="P97" s="1"/>
      <c r="Q97" s="1"/>
      <c r="U97" s="1">
        <v>1200</v>
      </c>
      <c r="V97" s="1">
        <v>100.177528</v>
      </c>
      <c r="W97" s="8">
        <v>1330</v>
      </c>
      <c r="X97" s="8">
        <v>1330</v>
      </c>
      <c r="Y97" s="8">
        <v>32.557715999999999</v>
      </c>
      <c r="Z97" s="8">
        <v>38.622044000000002</v>
      </c>
      <c r="AA97" s="8">
        <v>1330</v>
      </c>
      <c r="AB97" s="8">
        <v>30.066845000000001</v>
      </c>
      <c r="AD97" s="8">
        <v>30.104123999999999</v>
      </c>
      <c r="AF97" s="8">
        <v>1330</v>
      </c>
      <c r="AG97" s="8">
        <v>32.557715999999999</v>
      </c>
      <c r="AH97" s="8">
        <f t="shared" si="6"/>
        <v>0</v>
      </c>
      <c r="AK97" s="1">
        <v>1200</v>
      </c>
      <c r="AL97" s="1">
        <v>100.177528</v>
      </c>
      <c r="AM97" s="8">
        <v>137.233215</v>
      </c>
    </row>
    <row r="98" spans="2:39" ht="15.75" x14ac:dyDescent="0.25">
      <c r="B98" s="8">
        <v>1200</v>
      </c>
      <c r="C98" s="8" t="s">
        <v>291</v>
      </c>
      <c r="D98" s="8">
        <v>1200</v>
      </c>
      <c r="E98" s="8" t="s">
        <v>292</v>
      </c>
      <c r="F98" s="8" t="str">
        <f t="shared" si="7"/>
        <v>MK</v>
      </c>
      <c r="G98" s="2">
        <v>154.69999999999999</v>
      </c>
      <c r="H98" s="2">
        <f>SUMIF(RouteID_Conversion!$P$2:$P$745,MD_BoardingByRoute!D98,RouteID_Conversion!$Q$2:$Q$745)</f>
        <v>94.188548803329297</v>
      </c>
      <c r="I98" s="2"/>
      <c r="K98" s="8">
        <v>141</v>
      </c>
      <c r="L98" s="8">
        <v>8.0629158019999991</v>
      </c>
      <c r="M98" s="8">
        <v>28.690376281700001</v>
      </c>
      <c r="N98" s="2">
        <v>0.7</v>
      </c>
      <c r="O98" s="2">
        <v>315.3</v>
      </c>
      <c r="P98" s="1"/>
      <c r="Q98" s="1"/>
      <c r="U98" s="1">
        <v>1201</v>
      </c>
      <c r="V98" s="1">
        <v>26.442544999999999</v>
      </c>
      <c r="W98" s="8">
        <v>1331</v>
      </c>
      <c r="X98" s="8">
        <v>1331</v>
      </c>
      <c r="Y98" s="8">
        <v>441.66021699999999</v>
      </c>
      <c r="Z98" s="8">
        <v>497.07171599999998</v>
      </c>
      <c r="AA98" s="8">
        <v>1331</v>
      </c>
      <c r="AB98" s="8">
        <v>387.285706</v>
      </c>
      <c r="AD98" s="8">
        <v>388.8349</v>
      </c>
      <c r="AF98" s="8">
        <v>1331</v>
      </c>
      <c r="AG98" s="8">
        <v>441.66021699999999</v>
      </c>
      <c r="AH98" s="8">
        <f t="shared" si="6"/>
        <v>0</v>
      </c>
      <c r="AK98" s="1">
        <v>1201</v>
      </c>
      <c r="AL98" s="1">
        <v>26.442544999999999</v>
      </c>
      <c r="AM98" s="8">
        <v>36.235748000000001</v>
      </c>
    </row>
    <row r="99" spans="2:39" ht="15.75" x14ac:dyDescent="0.25">
      <c r="B99" s="8">
        <v>1203</v>
      </c>
      <c r="C99" s="8" t="s">
        <v>297</v>
      </c>
      <c r="D99" s="8">
        <v>1203</v>
      </c>
      <c r="E99" s="8" t="s">
        <v>298</v>
      </c>
      <c r="F99" s="8" t="str">
        <f t="shared" si="7"/>
        <v>MK</v>
      </c>
      <c r="G99" s="2">
        <v>13.6</v>
      </c>
      <c r="H99" s="2">
        <f>SUMIF(RouteID_Conversion!$P$2:$P$745,MD_BoardingByRoute!D99,RouteID_Conversion!$Q$2:$Q$745)</f>
        <v>48.784746170043924</v>
      </c>
      <c r="I99" s="2"/>
      <c r="K99" s="8">
        <v>144</v>
      </c>
      <c r="L99" s="8">
        <v>82.567642211899994</v>
      </c>
      <c r="M99" s="8">
        <v>36.743225097699998</v>
      </c>
      <c r="N99" s="2">
        <v>0.1</v>
      </c>
      <c r="O99" s="2">
        <v>60.3</v>
      </c>
      <c r="P99" s="1"/>
      <c r="Q99" s="1"/>
      <c r="U99" s="1">
        <v>1204</v>
      </c>
      <c r="V99" s="1">
        <v>115.365021</v>
      </c>
      <c r="W99" s="8">
        <v>1347</v>
      </c>
      <c r="X99" s="8">
        <v>1347</v>
      </c>
      <c r="Y99" s="8">
        <v>584.24957300000005</v>
      </c>
      <c r="Z99" s="8">
        <v>661.64874299999997</v>
      </c>
      <c r="AA99" s="8">
        <v>1347</v>
      </c>
      <c r="AB99" s="8">
        <v>548.85961899999995</v>
      </c>
      <c r="AD99" s="8">
        <v>548.90399200000002</v>
      </c>
      <c r="AF99" s="8">
        <v>1347</v>
      </c>
      <c r="AG99" s="8">
        <v>584.24957300000005</v>
      </c>
      <c r="AH99" s="8">
        <f t="shared" si="6"/>
        <v>0</v>
      </c>
      <c r="AK99" s="1">
        <v>1204</v>
      </c>
      <c r="AL99" s="1">
        <v>115.365021</v>
      </c>
      <c r="AM99" s="8">
        <v>137.64260899999999</v>
      </c>
    </row>
    <row r="100" spans="2:39" ht="15.75" x14ac:dyDescent="0.25">
      <c r="B100" s="8">
        <v>1204</v>
      </c>
      <c r="C100" s="8" t="s">
        <v>299</v>
      </c>
      <c r="D100" s="8">
        <v>1204</v>
      </c>
      <c r="E100" s="8" t="s">
        <v>300</v>
      </c>
      <c r="F100" s="8" t="str">
        <f t="shared" si="7"/>
        <v>MK</v>
      </c>
      <c r="G100" s="2">
        <v>73.5</v>
      </c>
      <c r="H100" s="2">
        <f>SUMIF(RouteID_Conversion!$P$2:$P$745,MD_BoardingByRoute!D100,RouteID_Conversion!$Q$2:$Q$745)</f>
        <v>303.63921356201143</v>
      </c>
      <c r="I100" s="2"/>
      <c r="K100" s="8">
        <v>145</v>
      </c>
      <c r="L100" s="8">
        <v>47.0449447632</v>
      </c>
      <c r="M100" s="8">
        <v>38.327495575</v>
      </c>
      <c r="N100" s="2">
        <v>0</v>
      </c>
      <c r="O100" s="2">
        <v>97.9</v>
      </c>
      <c r="P100" s="1"/>
      <c r="Q100" s="1"/>
      <c r="U100" s="1">
        <v>1205</v>
      </c>
      <c r="V100" s="1">
        <v>150.27572599999999</v>
      </c>
      <c r="W100" s="8">
        <v>1348</v>
      </c>
      <c r="X100" s="8">
        <v>1348</v>
      </c>
      <c r="Y100" s="8">
        <v>706.886169</v>
      </c>
      <c r="Z100" s="8">
        <v>798.60955799999999</v>
      </c>
      <c r="AA100" s="8">
        <v>1348</v>
      </c>
      <c r="AB100" s="8">
        <v>651.23065199999996</v>
      </c>
      <c r="AD100" s="8">
        <v>652.57659899999999</v>
      </c>
      <c r="AF100" s="8">
        <v>1348</v>
      </c>
      <c r="AG100" s="8">
        <v>706.886169</v>
      </c>
      <c r="AH100" s="8">
        <f t="shared" si="6"/>
        <v>0</v>
      </c>
      <c r="AK100" s="1">
        <v>1205</v>
      </c>
      <c r="AL100" s="1">
        <v>150.27572599999999</v>
      </c>
      <c r="AM100" s="8">
        <v>189.61395300000001</v>
      </c>
    </row>
    <row r="101" spans="2:39" ht="15.75" x14ac:dyDescent="0.25">
      <c r="B101" s="8">
        <v>1205</v>
      </c>
      <c r="C101" s="8" t="s">
        <v>301</v>
      </c>
      <c r="D101" s="8">
        <v>1205</v>
      </c>
      <c r="E101" s="8" t="s">
        <v>302</v>
      </c>
      <c r="F101" s="8" t="str">
        <f t="shared" si="7"/>
        <v>MK</v>
      </c>
      <c r="G101" s="2">
        <v>24.5</v>
      </c>
      <c r="H101" s="2">
        <f>SUMIF(RouteID_Conversion!$P$2:$P$745,MD_BoardingByRoute!D101,RouteID_Conversion!$Q$2:$Q$745)</f>
        <v>4.3515851497650111</v>
      </c>
      <c r="I101" s="2"/>
      <c r="K101" s="8">
        <v>146</v>
      </c>
      <c r="L101" s="8">
        <v>15.647806167600001</v>
      </c>
      <c r="M101" s="8">
        <v>37.175212860099997</v>
      </c>
      <c r="N101" s="2">
        <v>0</v>
      </c>
      <c r="O101" s="2">
        <v>212.3</v>
      </c>
      <c r="P101" s="1"/>
      <c r="Q101" s="1"/>
      <c r="U101" s="1">
        <v>1206</v>
      </c>
      <c r="V101" s="1">
        <v>24.391020000000001</v>
      </c>
      <c r="W101" s="8">
        <v>1355</v>
      </c>
      <c r="X101" s="8">
        <v>1355</v>
      </c>
      <c r="Y101" s="8">
        <v>30.416533000000001</v>
      </c>
      <c r="Z101" s="8">
        <v>30.244544999999999</v>
      </c>
      <c r="AA101" s="8">
        <v>1355</v>
      </c>
      <c r="AB101" s="8">
        <v>25.305935000000002</v>
      </c>
      <c r="AD101" s="8">
        <v>25.392596999999999</v>
      </c>
      <c r="AF101" s="8">
        <v>1355</v>
      </c>
      <c r="AG101" s="8">
        <v>30.416533000000001</v>
      </c>
      <c r="AH101" s="8">
        <f t="shared" si="6"/>
        <v>0</v>
      </c>
      <c r="AK101" s="1">
        <v>1206</v>
      </c>
      <c r="AL101" s="1">
        <v>24.391020000000001</v>
      </c>
      <c r="AM101" s="8">
        <v>20.985439</v>
      </c>
    </row>
    <row r="102" spans="2:39" ht="15.75" x14ac:dyDescent="0.25">
      <c r="B102" s="8">
        <v>1206</v>
      </c>
      <c r="C102" s="8" t="s">
        <v>303</v>
      </c>
      <c r="D102" s="8">
        <v>1206</v>
      </c>
      <c r="E102" s="8" t="s">
        <v>304</v>
      </c>
      <c r="F102" s="8" t="str">
        <f t="shared" si="7"/>
        <v>MK</v>
      </c>
      <c r="G102" s="2">
        <v>21.8</v>
      </c>
      <c r="H102" s="2">
        <f>SUMIF(RouteID_Conversion!$P$2:$P$745,MD_BoardingByRoute!D102,RouteID_Conversion!$Q$2:$Q$745)</f>
        <v>6.4610263109207082</v>
      </c>
      <c r="I102" s="2"/>
      <c r="K102" s="8">
        <v>147</v>
      </c>
      <c r="L102" s="8">
        <v>78.239028930700002</v>
      </c>
      <c r="M102" s="8">
        <v>33.219966888400002</v>
      </c>
      <c r="N102" s="2">
        <v>0</v>
      </c>
      <c r="O102" s="2">
        <v>64.099999999999994</v>
      </c>
      <c r="P102" s="1"/>
      <c r="Q102" s="1"/>
      <c r="U102" s="1">
        <v>1207</v>
      </c>
      <c r="V102" s="1">
        <v>25.721146000000001</v>
      </c>
      <c r="W102" s="8">
        <v>1358</v>
      </c>
      <c r="X102" s="8">
        <v>1358</v>
      </c>
      <c r="Y102" s="8">
        <v>2595.5954590000001</v>
      </c>
      <c r="Z102" s="8">
        <v>2780.1083979999999</v>
      </c>
      <c r="AA102" s="8">
        <v>1358</v>
      </c>
      <c r="AB102" s="8">
        <v>2351.1108399999998</v>
      </c>
      <c r="AD102" s="8">
        <v>2347.548828</v>
      </c>
      <c r="AF102" s="8">
        <v>1358</v>
      </c>
      <c r="AG102" s="8">
        <v>2595.5954590000001</v>
      </c>
      <c r="AH102" s="8">
        <f t="shared" si="6"/>
        <v>0</v>
      </c>
      <c r="AK102" s="1">
        <v>1207</v>
      </c>
      <c r="AL102" s="1">
        <v>25.721146000000001</v>
      </c>
      <c r="AM102" s="8">
        <v>27.190463999999999</v>
      </c>
    </row>
    <row r="103" spans="2:39" ht="15.75" x14ac:dyDescent="0.25">
      <c r="B103" s="8">
        <v>1207</v>
      </c>
      <c r="C103" s="8" t="s">
        <v>305</v>
      </c>
      <c r="D103" s="8">
        <v>1207</v>
      </c>
      <c r="E103" s="8" t="s">
        <v>306</v>
      </c>
      <c r="F103" s="8" t="str">
        <f t="shared" si="7"/>
        <v>MK</v>
      </c>
      <c r="G103" s="2">
        <v>20.7</v>
      </c>
      <c r="H103" s="2">
        <f>SUMIF(RouteID_Conversion!$P$2:$P$745,MD_BoardingByRoute!D103,RouteID_Conversion!$Q$2:$Q$745)</f>
        <v>15.218395233154281</v>
      </c>
      <c r="I103" s="2"/>
      <c r="K103" s="8">
        <v>148</v>
      </c>
      <c r="L103" s="8">
        <v>2.9892299175299999</v>
      </c>
      <c r="M103" s="8">
        <v>25.1529483795</v>
      </c>
      <c r="N103" s="2">
        <v>0</v>
      </c>
      <c r="O103" s="2">
        <v>71.5</v>
      </c>
      <c r="P103" s="1"/>
      <c r="Q103" s="1"/>
      <c r="U103" s="1">
        <v>1208</v>
      </c>
      <c r="V103" s="1">
        <v>26.429302</v>
      </c>
      <c r="W103" s="8">
        <v>1372</v>
      </c>
      <c r="X103" s="8">
        <v>1372</v>
      </c>
      <c r="Y103" s="8">
        <v>1177.1685789999999</v>
      </c>
      <c r="Z103" s="8">
        <v>1156.8242190000001</v>
      </c>
      <c r="AA103" s="8">
        <v>1372</v>
      </c>
      <c r="AB103" s="8">
        <v>958.58166500000004</v>
      </c>
      <c r="AD103" s="8">
        <v>959.19592299999999</v>
      </c>
      <c r="AF103" s="8">
        <v>1372</v>
      </c>
      <c r="AG103" s="8">
        <v>1177.1685789999999</v>
      </c>
      <c r="AH103" s="8">
        <f t="shared" si="6"/>
        <v>0</v>
      </c>
      <c r="AK103" s="1">
        <v>1208</v>
      </c>
      <c r="AL103" s="1">
        <v>26.429302</v>
      </c>
      <c r="AM103" s="8">
        <v>29.436985</v>
      </c>
    </row>
    <row r="104" spans="2:39" ht="15.75" x14ac:dyDescent="0.25">
      <c r="B104" s="8">
        <v>1208</v>
      </c>
      <c r="C104" s="8" t="s">
        <v>307</v>
      </c>
      <c r="D104" s="8">
        <v>1208</v>
      </c>
      <c r="E104" s="8" t="s">
        <v>308</v>
      </c>
      <c r="F104" s="8" t="str">
        <f t="shared" si="7"/>
        <v>MK</v>
      </c>
      <c r="G104" s="2">
        <v>0</v>
      </c>
      <c r="H104" s="2">
        <f>SUMIF(RouteID_Conversion!$P$2:$P$745,MD_BoardingByRoute!D104,RouteID_Conversion!$Q$2:$Q$745)</f>
        <v>12.139511227607709</v>
      </c>
      <c r="I104" s="2"/>
      <c r="K104" s="8">
        <v>149</v>
      </c>
      <c r="L104" s="8">
        <v>106.675743103</v>
      </c>
      <c r="M104" s="8">
        <v>61.459312439000001</v>
      </c>
      <c r="N104" s="2">
        <v>0</v>
      </c>
      <c r="O104" s="2">
        <v>71.5</v>
      </c>
      <c r="P104" s="1"/>
      <c r="Q104" s="1"/>
      <c r="U104" s="1">
        <v>1209</v>
      </c>
      <c r="V104" s="1">
        <v>407.78323399999999</v>
      </c>
      <c r="W104" s="8">
        <v>1373</v>
      </c>
      <c r="X104" s="8">
        <v>1373</v>
      </c>
      <c r="Y104" s="8">
        <v>127.66738100000001</v>
      </c>
      <c r="Z104" s="8">
        <v>120.15933200000001</v>
      </c>
      <c r="AA104" s="8">
        <v>1373</v>
      </c>
      <c r="AB104" s="8">
        <v>98.596024</v>
      </c>
      <c r="AD104" s="8">
        <v>98.572899000000007</v>
      </c>
      <c r="AF104" s="8">
        <v>1373</v>
      </c>
      <c r="AG104" s="8">
        <v>127.66738100000001</v>
      </c>
      <c r="AH104" s="8">
        <f t="shared" ref="AH104:AH145" si="8">AA104-AF104</f>
        <v>0</v>
      </c>
      <c r="AK104" s="1">
        <v>1209</v>
      </c>
      <c r="AL104" s="1">
        <v>407.78323399999999</v>
      </c>
      <c r="AM104" s="8">
        <v>671.69250499999998</v>
      </c>
    </row>
    <row r="105" spans="2:39" ht="15.75" x14ac:dyDescent="0.25">
      <c r="B105" s="8">
        <v>1209</v>
      </c>
      <c r="C105" s="8" t="s">
        <v>309</v>
      </c>
      <c r="D105" s="8">
        <v>1209</v>
      </c>
      <c r="E105" s="8" t="s">
        <v>310</v>
      </c>
      <c r="F105" s="8" t="str">
        <f t="shared" si="7"/>
        <v>MK</v>
      </c>
      <c r="G105" s="2">
        <v>129.80000000000001</v>
      </c>
      <c r="H105" s="2">
        <f>SUMIF(RouteID_Conversion!$P$2:$P$745,MD_BoardingByRoute!D105,RouteID_Conversion!$Q$2:$Q$745)</f>
        <v>105.87250423431377</v>
      </c>
      <c r="I105" s="2"/>
      <c r="K105" s="8">
        <v>150</v>
      </c>
      <c r="L105" s="8">
        <v>0</v>
      </c>
      <c r="M105" s="8">
        <v>6.8514680862399997</v>
      </c>
      <c r="N105" s="2">
        <v>7.2</v>
      </c>
      <c r="O105" s="2">
        <v>283.5</v>
      </c>
      <c r="P105" s="1"/>
      <c r="Q105" s="1"/>
      <c r="U105" s="1">
        <v>1210</v>
      </c>
      <c r="V105" s="1">
        <v>191.11525</v>
      </c>
      <c r="W105" s="8">
        <v>6522</v>
      </c>
      <c r="X105" s="8">
        <v>6522</v>
      </c>
      <c r="Y105" s="8">
        <v>786.75799600000005</v>
      </c>
      <c r="Z105" s="8">
        <v>832.28167699999995</v>
      </c>
      <c r="AA105" s="8">
        <v>6522</v>
      </c>
      <c r="AB105" s="8">
        <v>713.62097200000005</v>
      </c>
      <c r="AD105" s="8">
        <v>712.73724400000003</v>
      </c>
      <c r="AF105" s="8">
        <v>6522</v>
      </c>
      <c r="AG105" s="8">
        <v>786.75799600000005</v>
      </c>
      <c r="AH105" s="8">
        <f t="shared" si="8"/>
        <v>0</v>
      </c>
      <c r="AK105" s="1">
        <v>1210</v>
      </c>
      <c r="AL105" s="1">
        <v>191.11525</v>
      </c>
      <c r="AM105" s="8">
        <v>247.40382399999999</v>
      </c>
    </row>
    <row r="106" spans="2:39" ht="15.75" x14ac:dyDescent="0.25">
      <c r="B106" s="8">
        <v>1212</v>
      </c>
      <c r="C106" s="8" t="s">
        <v>315</v>
      </c>
      <c r="D106" s="8">
        <v>1212</v>
      </c>
      <c r="E106" s="8" t="s">
        <v>316</v>
      </c>
      <c r="F106" s="8" t="str">
        <f t="shared" si="7"/>
        <v>MK</v>
      </c>
      <c r="G106" s="2">
        <v>157.6</v>
      </c>
      <c r="H106" s="2">
        <f>SUMIF(RouteID_Conversion!$P$2:$P$745,MD_BoardingByRoute!D106,RouteID_Conversion!$Q$2:$Q$745)</f>
        <v>146.99020957946769</v>
      </c>
      <c r="I106" s="2"/>
      <c r="K106" s="8">
        <v>153</v>
      </c>
      <c r="L106" s="8">
        <v>58.771900176999999</v>
      </c>
      <c r="M106" s="8">
        <v>43.931694030800003</v>
      </c>
      <c r="N106" s="2">
        <v>0</v>
      </c>
      <c r="O106" s="2">
        <v>1546.1</v>
      </c>
      <c r="P106" s="1"/>
      <c r="Q106" s="1"/>
      <c r="U106" s="1">
        <v>1214</v>
      </c>
      <c r="V106" s="1">
        <v>371.30670199999997</v>
      </c>
      <c r="W106" s="8">
        <v>6550</v>
      </c>
      <c r="X106" s="8">
        <v>6550</v>
      </c>
      <c r="Y106" s="8">
        <v>2650.6779790000001</v>
      </c>
      <c r="Z106" s="8">
        <v>2642.2954100000002</v>
      </c>
      <c r="AA106" s="8">
        <v>6550</v>
      </c>
      <c r="AB106" s="8">
        <v>2319.4882809999999</v>
      </c>
      <c r="AD106" s="8">
        <v>2327.4638669999999</v>
      </c>
      <c r="AF106" s="8">
        <v>6550</v>
      </c>
      <c r="AG106" s="8">
        <v>2650.6779790000001</v>
      </c>
      <c r="AH106" s="8">
        <f t="shared" si="8"/>
        <v>0</v>
      </c>
      <c r="AK106" s="1">
        <v>1214</v>
      </c>
      <c r="AL106" s="1">
        <v>371.30670199999997</v>
      </c>
      <c r="AM106" s="8">
        <v>490.27279700000003</v>
      </c>
    </row>
    <row r="107" spans="2:39" ht="15.75" x14ac:dyDescent="0.25">
      <c r="C107" s="8" t="s">
        <v>1839</v>
      </c>
      <c r="D107" s="8">
        <v>1213</v>
      </c>
      <c r="E107" s="8" t="s">
        <v>1840</v>
      </c>
      <c r="F107" s="8" t="str">
        <f t="shared" si="7"/>
        <v>MK</v>
      </c>
      <c r="G107" s="2">
        <v>11.7</v>
      </c>
      <c r="H107" s="2">
        <f>SUMIF(RouteID_Conversion!$P$2:$P$745,MD_BoardingByRoute!D107,RouteID_Conversion!$Q$2:$Q$745)</f>
        <v>6.6622642278671202</v>
      </c>
      <c r="K107" s="8">
        <v>154</v>
      </c>
      <c r="L107" s="8">
        <v>7.7283973693799997</v>
      </c>
      <c r="M107" s="8">
        <v>18.482147216800001</v>
      </c>
      <c r="N107" s="2">
        <v>0</v>
      </c>
      <c r="O107" s="2">
        <v>11.7</v>
      </c>
      <c r="P107" s="1"/>
      <c r="Q107" s="1"/>
      <c r="U107" s="1">
        <v>1215</v>
      </c>
      <c r="V107" s="1">
        <v>448.76782200000002</v>
      </c>
      <c r="W107" s="8">
        <v>6554</v>
      </c>
      <c r="X107" s="8">
        <v>6554</v>
      </c>
      <c r="Y107" s="8">
        <v>1713.5589600000001</v>
      </c>
      <c r="Z107" s="8">
        <v>2213.3854980000001</v>
      </c>
      <c r="AA107" s="8">
        <v>6554</v>
      </c>
      <c r="AB107" s="8">
        <v>1927.3900149999999</v>
      </c>
      <c r="AD107" s="8">
        <v>1935.658203</v>
      </c>
      <c r="AF107" s="8">
        <v>6554</v>
      </c>
      <c r="AG107" s="8">
        <v>1713.5589600000001</v>
      </c>
      <c r="AH107" s="8">
        <f t="shared" si="8"/>
        <v>0</v>
      </c>
      <c r="AK107" s="1">
        <v>1215</v>
      </c>
      <c r="AL107" s="1">
        <v>448.76782200000002</v>
      </c>
      <c r="AM107" s="8">
        <v>577.92541500000004</v>
      </c>
    </row>
    <row r="108" spans="2:39" ht="15.75" x14ac:dyDescent="0.25">
      <c r="B108" s="8">
        <v>1219</v>
      </c>
      <c r="C108" s="8" t="s">
        <v>736</v>
      </c>
      <c r="D108" s="8">
        <v>1219</v>
      </c>
      <c r="E108" s="8" t="s">
        <v>1846</v>
      </c>
      <c r="F108" s="8" t="str">
        <f t="shared" si="7"/>
        <v>MK</v>
      </c>
      <c r="G108" s="2">
        <v>29.5</v>
      </c>
      <c r="H108" s="2">
        <f>SUMIF(RouteID_Conversion!$P$2:$P$745,MD_BoardingByRoute!D108,RouteID_Conversion!$Q$2:$Q$745)</f>
        <v>4.214353442192067</v>
      </c>
      <c r="K108" s="8">
        <v>160</v>
      </c>
      <c r="L108" s="8">
        <v>2.4032344818100002</v>
      </c>
      <c r="M108" s="8">
        <v>23.9374866486</v>
      </c>
      <c r="N108" s="2">
        <v>0</v>
      </c>
      <c r="O108" s="2">
        <v>124.5</v>
      </c>
      <c r="P108" s="1"/>
      <c r="Q108" s="1"/>
      <c r="U108" s="1">
        <v>1222</v>
      </c>
      <c r="V108" s="1">
        <v>450.89059400000002</v>
      </c>
      <c r="W108" s="8">
        <v>1661</v>
      </c>
      <c r="X108" s="8">
        <v>1661</v>
      </c>
      <c r="Y108" s="8">
        <v>6.454021</v>
      </c>
      <c r="Z108" s="8">
        <v>6.8349169999999999</v>
      </c>
      <c r="AA108" s="8">
        <v>1661</v>
      </c>
      <c r="AB108" s="8">
        <v>7.916906</v>
      </c>
      <c r="AD108" s="8">
        <v>8.0451230000000002</v>
      </c>
      <c r="AF108" s="8">
        <v>1661</v>
      </c>
      <c r="AG108" s="8">
        <v>6.454021</v>
      </c>
      <c r="AH108" s="8">
        <f t="shared" si="8"/>
        <v>0</v>
      </c>
      <c r="AK108" s="1">
        <v>1222</v>
      </c>
      <c r="AL108" s="1">
        <v>450.89059400000002</v>
      </c>
      <c r="AM108" s="8">
        <v>515.32000700000003</v>
      </c>
    </row>
    <row r="109" spans="2:39" ht="15.75" x14ac:dyDescent="0.25">
      <c r="B109" s="8">
        <v>1221</v>
      </c>
      <c r="C109" s="8" t="s">
        <v>996</v>
      </c>
      <c r="D109" s="8">
        <v>1221</v>
      </c>
      <c r="E109" s="8" t="s">
        <v>1847</v>
      </c>
      <c r="F109" s="8" t="str">
        <f t="shared" si="7"/>
        <v>MK</v>
      </c>
      <c r="G109" s="2">
        <v>492.1</v>
      </c>
      <c r="H109" s="2">
        <f>SUMIF(RouteID_Conversion!$P$2:$P$745,MD_BoardingByRoute!D109,RouteID_Conversion!$Q$2:$Q$745)</f>
        <v>428.64923286437931</v>
      </c>
      <c r="K109" s="8">
        <v>161</v>
      </c>
      <c r="L109" s="8">
        <v>3.5047454833999998</v>
      </c>
      <c r="M109" s="8">
        <v>21.415616989099998</v>
      </c>
      <c r="N109" s="2">
        <v>33.799999999999997</v>
      </c>
      <c r="O109" s="2">
        <v>1241</v>
      </c>
      <c r="P109" s="1"/>
      <c r="Q109" s="1"/>
      <c r="U109" s="1">
        <v>1225</v>
      </c>
      <c r="V109" s="1">
        <v>116.246033</v>
      </c>
      <c r="W109" s="8">
        <v>1915</v>
      </c>
      <c r="X109" s="8">
        <v>1915</v>
      </c>
      <c r="Y109" s="8">
        <v>99.828841999999995</v>
      </c>
      <c r="Z109" s="8">
        <v>110.06366</v>
      </c>
      <c r="AA109" s="8">
        <v>1915</v>
      </c>
      <c r="AB109" s="8">
        <v>81.794807000000006</v>
      </c>
      <c r="AD109" s="8">
        <v>81.742996000000005</v>
      </c>
      <c r="AF109" s="8">
        <v>1915</v>
      </c>
      <c r="AG109" s="8">
        <v>99.828841999999995</v>
      </c>
      <c r="AH109" s="8">
        <f t="shared" si="8"/>
        <v>0</v>
      </c>
      <c r="AK109" s="1">
        <v>1225</v>
      </c>
      <c r="AL109" s="1">
        <v>116.246033</v>
      </c>
      <c r="AM109" s="8">
        <v>145.90751599999999</v>
      </c>
    </row>
    <row r="110" spans="2:39" ht="15.75" x14ac:dyDescent="0.25">
      <c r="B110" s="8">
        <v>1222</v>
      </c>
      <c r="C110" s="8" t="s">
        <v>1755</v>
      </c>
      <c r="D110" s="8">
        <v>1222</v>
      </c>
      <c r="E110" s="8" t="s">
        <v>1848</v>
      </c>
      <c r="F110" s="8" t="str">
        <f t="shared" si="7"/>
        <v>MK</v>
      </c>
      <c r="G110" s="2">
        <v>219.8</v>
      </c>
      <c r="H110" s="2">
        <f>SUMIF(RouteID_Conversion!$P$2:$P$745,MD_BoardingByRoute!D110,RouteID_Conversion!$Q$2:$Q$745)</f>
        <v>560.09378051757676</v>
      </c>
      <c r="K110" s="8">
        <v>162</v>
      </c>
      <c r="L110" s="8">
        <v>3.5047454833999998</v>
      </c>
      <c r="M110" s="8">
        <v>20.1080627441</v>
      </c>
      <c r="N110" s="2">
        <v>5.0999999999999996</v>
      </c>
      <c r="O110" s="2">
        <v>543.9</v>
      </c>
      <c r="P110" s="1"/>
      <c r="Q110" s="1"/>
      <c r="U110" s="1">
        <v>1229</v>
      </c>
      <c r="V110" s="1">
        <v>194.54092399999999</v>
      </c>
      <c r="W110" s="8">
        <v>1921</v>
      </c>
      <c r="X110" s="8">
        <v>1921</v>
      </c>
      <c r="Y110" s="8">
        <v>209.50003100000001</v>
      </c>
      <c r="Z110" s="8">
        <v>225.783401</v>
      </c>
      <c r="AA110" s="8">
        <v>1921</v>
      </c>
      <c r="AB110" s="8">
        <v>171.11447100000001</v>
      </c>
      <c r="AD110" s="8">
        <v>171.69967700000001</v>
      </c>
      <c r="AF110" s="8">
        <v>1921</v>
      </c>
      <c r="AG110" s="8">
        <v>209.50003100000001</v>
      </c>
      <c r="AH110" s="8">
        <f t="shared" si="8"/>
        <v>0</v>
      </c>
      <c r="AK110" s="1">
        <v>1229</v>
      </c>
      <c r="AL110" s="1">
        <v>194.54092399999999</v>
      </c>
      <c r="AM110" s="8">
        <v>240.58783</v>
      </c>
    </row>
    <row r="111" spans="2:39" ht="15.75" x14ac:dyDescent="0.25">
      <c r="B111" s="8">
        <v>1230</v>
      </c>
      <c r="C111" s="8" t="s">
        <v>401</v>
      </c>
      <c r="D111" s="8">
        <v>1230</v>
      </c>
      <c r="E111" s="8" t="s">
        <v>1851</v>
      </c>
      <c r="F111" s="8" t="str">
        <f t="shared" si="7"/>
        <v>MK</v>
      </c>
      <c r="G111" s="2">
        <v>868.6</v>
      </c>
      <c r="H111" s="2">
        <f>SUMIF(RouteID_Conversion!$P$2:$P$745,MD_BoardingByRoute!D111,RouteID_Conversion!$Q$2:$Q$745)</f>
        <v>1793.1086629927131</v>
      </c>
      <c r="K111" s="8">
        <v>165</v>
      </c>
      <c r="L111" s="8">
        <v>7.2301096916200001</v>
      </c>
      <c r="M111" s="8">
        <v>30.784461975100001</v>
      </c>
      <c r="N111" s="2">
        <v>117</v>
      </c>
      <c r="O111" s="2">
        <v>2251.1999999999998</v>
      </c>
      <c r="P111" s="1"/>
      <c r="Q111" s="1"/>
      <c r="U111" s="1">
        <v>1233</v>
      </c>
      <c r="V111" s="1">
        <v>486.13711499999999</v>
      </c>
      <c r="W111" s="8">
        <v>2002</v>
      </c>
      <c r="X111" s="8">
        <v>2002</v>
      </c>
      <c r="Y111" s="8">
        <v>1602.9030760000001</v>
      </c>
      <c r="Z111" s="8">
        <v>1802.605225</v>
      </c>
      <c r="AA111" s="8">
        <v>2002</v>
      </c>
      <c r="AB111" s="8">
        <v>1456.807129</v>
      </c>
      <c r="AD111" s="8">
        <v>1455.036499</v>
      </c>
      <c r="AF111" s="8">
        <v>2002</v>
      </c>
      <c r="AG111" s="8">
        <v>1602.9030760000001</v>
      </c>
      <c r="AH111" s="8">
        <f t="shared" si="8"/>
        <v>0</v>
      </c>
      <c r="AK111" s="1">
        <v>1233</v>
      </c>
      <c r="AL111" s="1">
        <v>486.13711499999999</v>
      </c>
      <c r="AM111" s="8">
        <v>570.94207800000004</v>
      </c>
    </row>
    <row r="112" spans="2:39" ht="15.75" x14ac:dyDescent="0.25">
      <c r="B112" s="8">
        <v>1232</v>
      </c>
      <c r="C112" s="8" t="s">
        <v>1535</v>
      </c>
      <c r="D112" s="8">
        <v>1232</v>
      </c>
      <c r="E112" s="8" t="s">
        <v>1852</v>
      </c>
      <c r="F112" s="8" t="str">
        <f t="shared" si="7"/>
        <v>MK</v>
      </c>
      <c r="G112" s="2">
        <v>4.2</v>
      </c>
      <c r="H112" s="2">
        <f>SUMIF(RouteID_Conversion!$P$2:$P$745,MD_BoardingByRoute!D112,RouteID_Conversion!$Q$2:$Q$745)</f>
        <v>6.5341061949729866</v>
      </c>
      <c r="K112" s="8">
        <v>166</v>
      </c>
      <c r="L112" s="8">
        <v>105.595726013</v>
      </c>
      <c r="M112" s="8">
        <v>31.564239502</v>
      </c>
      <c r="N112" s="2">
        <v>9</v>
      </c>
      <c r="O112" s="2">
        <v>325.2</v>
      </c>
      <c r="P112" s="1"/>
      <c r="Q112" s="1"/>
      <c r="U112" s="1">
        <v>1234</v>
      </c>
      <c r="V112" s="1">
        <v>1060.5211179999999</v>
      </c>
      <c r="W112" s="8">
        <v>2003</v>
      </c>
      <c r="X112" s="8">
        <v>2003</v>
      </c>
      <c r="Y112" s="8">
        <v>1020.99707</v>
      </c>
      <c r="Z112" s="8">
        <v>1246.440308</v>
      </c>
      <c r="AA112" s="8">
        <v>2003</v>
      </c>
      <c r="AB112" s="8">
        <v>987.60156199999994</v>
      </c>
      <c r="AD112" s="8">
        <v>990.91168200000004</v>
      </c>
      <c r="AF112" s="8">
        <v>2003</v>
      </c>
      <c r="AG112" s="8">
        <v>1020.99707</v>
      </c>
      <c r="AH112" s="8">
        <f t="shared" si="8"/>
        <v>0</v>
      </c>
      <c r="AK112" s="1">
        <v>1234</v>
      </c>
      <c r="AL112" s="1">
        <v>1060.5211179999999</v>
      </c>
      <c r="AM112" s="8">
        <v>1236.6473390000001</v>
      </c>
    </row>
    <row r="113" spans="2:39" ht="15.75" x14ac:dyDescent="0.25">
      <c r="B113" s="8">
        <v>1233</v>
      </c>
      <c r="C113" s="8" t="s">
        <v>1760</v>
      </c>
      <c r="D113" s="8">
        <v>1233</v>
      </c>
      <c r="E113" s="8" t="s">
        <v>1853</v>
      </c>
      <c r="F113" s="8" t="str">
        <f t="shared" si="7"/>
        <v>MK</v>
      </c>
      <c r="G113" s="2">
        <v>311.60000000000002</v>
      </c>
      <c r="H113" s="2">
        <f>SUMIF(RouteID_Conversion!$P$2:$P$745,MD_BoardingByRoute!D113,RouteID_Conversion!$Q$2:$Q$745)</f>
        <v>704.5189056396481</v>
      </c>
      <c r="K113" s="8">
        <v>167</v>
      </c>
      <c r="L113" s="8">
        <v>13.712395667999999</v>
      </c>
      <c r="M113" s="8">
        <v>31.986347198499999</v>
      </c>
      <c r="N113" s="2">
        <v>0</v>
      </c>
      <c r="O113" s="2">
        <v>727.1</v>
      </c>
      <c r="P113" s="1"/>
      <c r="Q113" s="1"/>
      <c r="U113" s="1">
        <v>1236</v>
      </c>
      <c r="V113" s="1">
        <v>464.38797</v>
      </c>
      <c r="W113" s="8">
        <v>2010</v>
      </c>
      <c r="X113" s="8">
        <v>2010</v>
      </c>
      <c r="Y113" s="8">
        <v>355.90783699999997</v>
      </c>
      <c r="Z113" s="8">
        <v>367.20623799999998</v>
      </c>
      <c r="AA113" s="8">
        <v>2010</v>
      </c>
      <c r="AB113" s="8">
        <v>297.91540500000002</v>
      </c>
      <c r="AD113" s="8">
        <v>298.30111699999998</v>
      </c>
      <c r="AF113" s="8">
        <v>2010</v>
      </c>
      <c r="AG113" s="8">
        <v>355.90783699999997</v>
      </c>
      <c r="AH113" s="8">
        <f t="shared" si="8"/>
        <v>0</v>
      </c>
      <c r="AK113" s="1">
        <v>1236</v>
      </c>
      <c r="AL113" s="1">
        <v>464.38797</v>
      </c>
      <c r="AM113" s="8">
        <v>563.03405799999996</v>
      </c>
    </row>
    <row r="114" spans="2:39" ht="15.75" x14ac:dyDescent="0.25">
      <c r="B114" s="8">
        <v>1234</v>
      </c>
      <c r="C114" s="8" t="s">
        <v>1015</v>
      </c>
      <c r="D114" s="8">
        <v>1234</v>
      </c>
      <c r="E114" s="8" t="s">
        <v>1854</v>
      </c>
      <c r="F114" s="8" t="str">
        <f t="shared" si="7"/>
        <v>MK</v>
      </c>
      <c r="G114" s="2">
        <v>465.5</v>
      </c>
      <c r="H114" s="2">
        <f>SUMIF(RouteID_Conversion!$P$2:$P$745,MD_BoardingByRoute!D114,RouteID_Conversion!$Q$2:$Q$745)</f>
        <v>1250.8889465332009</v>
      </c>
      <c r="K114" s="8">
        <v>168</v>
      </c>
      <c r="L114" s="8">
        <v>21.1191387177</v>
      </c>
      <c r="M114" s="8">
        <v>31.564239502</v>
      </c>
      <c r="N114" s="2">
        <v>9.4</v>
      </c>
      <c r="O114" s="2">
        <v>1186.7</v>
      </c>
      <c r="P114" s="1"/>
      <c r="Q114" s="1"/>
      <c r="U114" s="1">
        <v>1238</v>
      </c>
      <c r="V114" s="1">
        <v>631.769409</v>
      </c>
      <c r="W114" s="8">
        <v>2011</v>
      </c>
      <c r="X114" s="8">
        <v>2011</v>
      </c>
      <c r="Y114" s="8">
        <v>401.46283</v>
      </c>
      <c r="Z114" s="8">
        <v>411.64059400000002</v>
      </c>
      <c r="AA114" s="8">
        <v>2011</v>
      </c>
      <c r="AB114" s="8">
        <v>335.45056199999999</v>
      </c>
      <c r="AD114" s="8">
        <v>335.49023399999999</v>
      </c>
      <c r="AF114" s="8">
        <v>2011</v>
      </c>
      <c r="AG114" s="8">
        <v>401.46283</v>
      </c>
      <c r="AH114" s="8">
        <f t="shared" si="8"/>
        <v>0</v>
      </c>
      <c r="AK114" s="1">
        <v>1238</v>
      </c>
      <c r="AL114" s="1">
        <v>631.769409</v>
      </c>
      <c r="AM114" s="8">
        <v>691.04125999999997</v>
      </c>
    </row>
    <row r="115" spans="2:39" ht="15.75" x14ac:dyDescent="0.25">
      <c r="B115" s="8">
        <v>1236</v>
      </c>
      <c r="C115" s="8" t="s">
        <v>542</v>
      </c>
      <c r="D115" s="8">
        <v>1236</v>
      </c>
      <c r="E115" s="8" t="s">
        <v>1855</v>
      </c>
      <c r="F115" s="8" t="str">
        <f t="shared" si="7"/>
        <v>MK</v>
      </c>
      <c r="G115" s="2">
        <v>192.8</v>
      </c>
      <c r="H115" s="2">
        <f>SUMIF(RouteID_Conversion!$P$2:$P$745,MD_BoardingByRoute!D115,RouteID_Conversion!$Q$2:$Q$745)</f>
        <v>274.85327959060646</v>
      </c>
      <c r="K115" s="8">
        <v>169</v>
      </c>
      <c r="L115" s="8">
        <v>19.529457092299999</v>
      </c>
      <c r="M115" s="8">
        <v>37.052124023399998</v>
      </c>
      <c r="N115" s="2">
        <v>5.5</v>
      </c>
      <c r="O115" s="2">
        <v>461.7</v>
      </c>
      <c r="P115" s="1"/>
      <c r="Q115" s="1"/>
      <c r="U115" s="1">
        <v>1240</v>
      </c>
      <c r="V115" s="1">
        <v>1215.4370120000001</v>
      </c>
      <c r="W115" s="8">
        <v>2013</v>
      </c>
      <c r="X115" s="8">
        <v>2013</v>
      </c>
      <c r="Y115" s="8">
        <v>104.314346</v>
      </c>
      <c r="Z115" s="8">
        <v>100.17037999999999</v>
      </c>
      <c r="AA115" s="8">
        <v>2013</v>
      </c>
      <c r="AB115" s="8">
        <v>80.624908000000005</v>
      </c>
      <c r="AD115" s="8">
        <v>80.613701000000006</v>
      </c>
      <c r="AF115" s="8">
        <v>2013</v>
      </c>
      <c r="AG115" s="8">
        <v>104.314346</v>
      </c>
      <c r="AH115" s="8">
        <f t="shared" si="8"/>
        <v>0</v>
      </c>
      <c r="AK115" s="1">
        <v>1240</v>
      </c>
      <c r="AL115" s="1">
        <v>1215.4370120000001</v>
      </c>
      <c r="AM115" s="8">
        <v>1359.3845209999999</v>
      </c>
    </row>
    <row r="116" spans="2:39" ht="15.75" x14ac:dyDescent="0.25">
      <c r="C116" s="8" t="s">
        <v>1856</v>
      </c>
      <c r="D116" s="8">
        <v>1237</v>
      </c>
      <c r="E116" s="8" t="s">
        <v>1857</v>
      </c>
      <c r="F116" s="8" t="str">
        <f t="shared" si="7"/>
        <v>MK</v>
      </c>
      <c r="G116" s="2">
        <v>0</v>
      </c>
      <c r="H116" s="2">
        <f>SUMIF(RouteID_Conversion!$P$2:$P$745,MD_BoardingByRoute!D116,RouteID_Conversion!$Q$2:$Q$745)</f>
        <v>0</v>
      </c>
      <c r="K116" s="8">
        <v>170</v>
      </c>
      <c r="L116" s="8">
        <v>56.425148010299999</v>
      </c>
      <c r="M116" s="8">
        <v>26.7227134705</v>
      </c>
      <c r="N116" s="2">
        <v>0</v>
      </c>
      <c r="O116" s="2">
        <v>94.3</v>
      </c>
      <c r="P116" s="1"/>
      <c r="Q116" s="1"/>
      <c r="U116" s="1">
        <v>1242</v>
      </c>
      <c r="V116" s="1">
        <v>580.77533000000005</v>
      </c>
      <c r="W116" s="8">
        <v>2016</v>
      </c>
      <c r="X116" s="8">
        <v>2016</v>
      </c>
      <c r="Y116" s="8">
        <v>453.21935999999999</v>
      </c>
      <c r="Z116" s="8">
        <v>457.96099900000002</v>
      </c>
      <c r="AA116" s="8">
        <v>2016</v>
      </c>
      <c r="AB116" s="8">
        <v>348.97662400000002</v>
      </c>
      <c r="AD116" s="8">
        <v>349.20065299999999</v>
      </c>
      <c r="AF116" s="8">
        <v>2016</v>
      </c>
      <c r="AG116" s="8">
        <v>453.21935999999999</v>
      </c>
      <c r="AH116" s="8">
        <f t="shared" si="8"/>
        <v>0</v>
      </c>
      <c r="AK116" s="1">
        <v>1242</v>
      </c>
      <c r="AL116" s="1">
        <v>580.77533000000005</v>
      </c>
      <c r="AM116" s="8">
        <v>685.21209699999997</v>
      </c>
    </row>
    <row r="117" spans="2:39" ht="15.75" x14ac:dyDescent="0.25">
      <c r="B117" s="8">
        <v>1238</v>
      </c>
      <c r="C117" s="8" t="s">
        <v>1013</v>
      </c>
      <c r="D117" s="8">
        <v>1238</v>
      </c>
      <c r="E117" s="8" t="s">
        <v>1858</v>
      </c>
      <c r="F117" s="8" t="str">
        <f t="shared" si="7"/>
        <v>MK</v>
      </c>
      <c r="G117" s="2">
        <v>378.5</v>
      </c>
      <c r="H117" s="2">
        <f>SUMIF(RouteID_Conversion!$P$2:$P$745,MD_BoardingByRoute!D117,RouteID_Conversion!$Q$2:$Q$745)</f>
        <v>428.73427581787024</v>
      </c>
      <c r="K117" s="8">
        <v>171</v>
      </c>
      <c r="L117" s="8">
        <v>57.158016204799999</v>
      </c>
      <c r="M117" s="8">
        <v>34.037925720200001</v>
      </c>
      <c r="N117" s="2">
        <v>6.3</v>
      </c>
      <c r="O117" s="2">
        <v>810.9</v>
      </c>
      <c r="P117" s="1"/>
      <c r="Q117" s="1"/>
      <c r="U117" s="1">
        <v>1243</v>
      </c>
      <c r="V117" s="1">
        <v>180.58779899999999</v>
      </c>
      <c r="W117" s="8">
        <v>2026</v>
      </c>
      <c r="X117" s="8">
        <v>2026</v>
      </c>
      <c r="Y117" s="8">
        <v>26.676365000000001</v>
      </c>
      <c r="Z117" s="8">
        <v>28.179447</v>
      </c>
      <c r="AA117" s="8">
        <v>2026</v>
      </c>
      <c r="AB117" s="8">
        <v>22.090986000000001</v>
      </c>
      <c r="AD117" s="8">
        <v>22.121887000000001</v>
      </c>
      <c r="AF117" s="8">
        <v>2026</v>
      </c>
      <c r="AG117" s="8">
        <v>26.676365000000001</v>
      </c>
      <c r="AH117" s="8">
        <f t="shared" si="8"/>
        <v>0</v>
      </c>
      <c r="AK117" s="1">
        <v>1243</v>
      </c>
      <c r="AL117" s="1">
        <v>180.58779899999999</v>
      </c>
      <c r="AM117" s="8">
        <v>192.964508</v>
      </c>
    </row>
    <row r="118" spans="2:39" ht="15.75" x14ac:dyDescent="0.25">
      <c r="B118" s="8">
        <v>1240</v>
      </c>
      <c r="C118" s="8" t="s">
        <v>1763</v>
      </c>
      <c r="D118" s="8">
        <v>1240</v>
      </c>
      <c r="E118" s="8" t="s">
        <v>1859</v>
      </c>
      <c r="F118" s="8" t="str">
        <f t="shared" si="7"/>
        <v>MK</v>
      </c>
      <c r="G118" s="2">
        <v>862.2</v>
      </c>
      <c r="H118" s="2">
        <f>SUMIF(RouteID_Conversion!$P$2:$P$745,MD_BoardingByRoute!D118,RouteID_Conversion!$Q$2:$Q$745)</f>
        <v>1285.0582427978495</v>
      </c>
      <c r="K118" s="8">
        <v>172</v>
      </c>
      <c r="L118" s="8">
        <v>74.388832092300007</v>
      </c>
      <c r="M118" s="8">
        <v>32.104301452599998</v>
      </c>
      <c r="N118" s="2">
        <v>92.2</v>
      </c>
      <c r="O118" s="2">
        <v>2312.6999999999998</v>
      </c>
      <c r="P118" s="1"/>
      <c r="Q118" s="1"/>
      <c r="U118" s="1">
        <v>1244</v>
      </c>
      <c r="V118" s="1">
        <v>320.198669</v>
      </c>
      <c r="W118" s="8">
        <v>2028</v>
      </c>
      <c r="X118" s="8">
        <v>2028</v>
      </c>
      <c r="Y118" s="8">
        <v>85.282996999999995</v>
      </c>
      <c r="Z118" s="8">
        <v>94.830894000000001</v>
      </c>
      <c r="AA118" s="8">
        <v>2028</v>
      </c>
      <c r="AB118" s="8">
        <v>75.708091999999994</v>
      </c>
      <c r="AD118" s="8">
        <v>75.637084999999999</v>
      </c>
      <c r="AF118" s="8">
        <v>2028</v>
      </c>
      <c r="AG118" s="8">
        <v>85.282996999999995</v>
      </c>
      <c r="AH118" s="8">
        <f t="shared" si="8"/>
        <v>0</v>
      </c>
      <c r="AK118" s="1">
        <v>1244</v>
      </c>
      <c r="AL118" s="1">
        <v>320.198669</v>
      </c>
      <c r="AM118" s="8">
        <v>446.72494499999999</v>
      </c>
    </row>
    <row r="119" spans="2:39" ht="15.75" x14ac:dyDescent="0.25">
      <c r="B119" s="8">
        <v>1242</v>
      </c>
      <c r="C119" s="8" t="s">
        <v>1640</v>
      </c>
      <c r="D119" s="8">
        <v>1242</v>
      </c>
      <c r="E119" s="8" t="s">
        <v>1860</v>
      </c>
      <c r="F119" s="8" t="str">
        <f t="shared" si="7"/>
        <v>MK</v>
      </c>
      <c r="G119" s="2">
        <v>24.1</v>
      </c>
      <c r="H119" s="2">
        <f>SUMIF(RouteID_Conversion!$P$2:$P$745,MD_BoardingByRoute!D119,RouteID_Conversion!$Q$2:$Q$745)</f>
        <v>0</v>
      </c>
      <c r="K119" s="8">
        <v>173</v>
      </c>
      <c r="L119" s="8">
        <v>17.9554271698</v>
      </c>
      <c r="M119" s="8">
        <v>26.949186325100001</v>
      </c>
      <c r="N119" s="2">
        <v>0</v>
      </c>
      <c r="O119" s="2">
        <v>440.2</v>
      </c>
      <c r="P119" s="1"/>
      <c r="Q119" s="1"/>
      <c r="U119" s="1">
        <v>1245</v>
      </c>
      <c r="V119" s="1">
        <v>1647.2517089999999</v>
      </c>
      <c r="W119" s="8">
        <v>2041</v>
      </c>
      <c r="X119" s="8">
        <v>2041</v>
      </c>
      <c r="Y119" s="8">
        <v>304.86163299999998</v>
      </c>
      <c r="Z119" s="8">
        <v>337.68188500000002</v>
      </c>
      <c r="AA119" s="8">
        <v>2041</v>
      </c>
      <c r="AB119" s="8">
        <v>261.70105000000001</v>
      </c>
      <c r="AD119" s="8">
        <v>261.52075200000002</v>
      </c>
      <c r="AF119" s="8">
        <v>2041</v>
      </c>
      <c r="AG119" s="8">
        <v>304.86163299999998</v>
      </c>
      <c r="AH119" s="8">
        <f t="shared" si="8"/>
        <v>0</v>
      </c>
      <c r="AK119" s="1">
        <v>1245</v>
      </c>
      <c r="AL119" s="1">
        <v>1647.2517089999999</v>
      </c>
      <c r="AM119" s="8">
        <v>2032.9970699999999</v>
      </c>
    </row>
    <row r="120" spans="2:39" ht="15.75" x14ac:dyDescent="0.25">
      <c r="B120" s="8">
        <v>1243</v>
      </c>
      <c r="C120" s="8" t="s">
        <v>1826</v>
      </c>
      <c r="D120" s="8">
        <v>1243</v>
      </c>
      <c r="E120" s="8" t="s">
        <v>1861</v>
      </c>
      <c r="F120" s="8" t="str">
        <f t="shared" si="7"/>
        <v>MK</v>
      </c>
      <c r="G120" s="2">
        <v>0</v>
      </c>
      <c r="H120" s="2">
        <f>SUMIF(RouteID_Conversion!$P$2:$P$745,MD_BoardingByRoute!D120,RouteID_Conversion!$Q$2:$Q$745)</f>
        <v>0</v>
      </c>
      <c r="K120" s="8">
        <v>174</v>
      </c>
      <c r="L120" s="8">
        <v>8.5353269577000006</v>
      </c>
      <c r="M120" s="8">
        <v>25.591457366899999</v>
      </c>
      <c r="N120" s="2">
        <v>0</v>
      </c>
      <c r="O120" s="2">
        <v>187.7</v>
      </c>
      <c r="P120" s="1"/>
      <c r="Q120" s="1"/>
      <c r="U120" s="1">
        <v>1247</v>
      </c>
      <c r="V120" s="1">
        <v>103.9328</v>
      </c>
      <c r="W120" s="8">
        <v>2042</v>
      </c>
      <c r="X120" s="8">
        <v>2042</v>
      </c>
      <c r="Y120" s="8">
        <v>221.22174100000001</v>
      </c>
      <c r="Z120" s="8">
        <v>223.937408</v>
      </c>
      <c r="AA120" s="8">
        <v>2042</v>
      </c>
      <c r="AB120" s="8">
        <v>180.775589</v>
      </c>
      <c r="AD120" s="8">
        <v>180.33334400000001</v>
      </c>
      <c r="AF120" s="8">
        <v>2042</v>
      </c>
      <c r="AG120" s="8">
        <v>221.22174100000001</v>
      </c>
      <c r="AH120" s="8">
        <f t="shared" si="8"/>
        <v>0</v>
      </c>
      <c r="AK120" s="1">
        <v>1247</v>
      </c>
      <c r="AL120" s="1">
        <v>103.9328</v>
      </c>
      <c r="AM120" s="8">
        <v>154.93975800000001</v>
      </c>
    </row>
    <row r="121" spans="2:39" ht="15.75" x14ac:dyDescent="0.25">
      <c r="B121" s="8">
        <v>1244</v>
      </c>
      <c r="C121" s="8" t="s">
        <v>538</v>
      </c>
      <c r="D121" s="8">
        <v>1244</v>
      </c>
      <c r="E121" s="8" t="s">
        <v>1862</v>
      </c>
      <c r="F121" s="8" t="str">
        <f t="shared" si="7"/>
        <v>MK</v>
      </c>
      <c r="G121" s="2">
        <v>3.7</v>
      </c>
      <c r="H121" s="2">
        <f>SUMIF(RouteID_Conversion!$P$2:$P$745,MD_BoardingByRoute!D121,RouteID_Conversion!$Q$2:$Q$745)</f>
        <v>0</v>
      </c>
      <c r="K121" s="8">
        <v>175</v>
      </c>
      <c r="L121" s="8">
        <v>4.8874266212800002E-4</v>
      </c>
      <c r="M121" s="8">
        <v>7.8543491363499998</v>
      </c>
      <c r="N121" s="2">
        <v>0</v>
      </c>
      <c r="O121" s="2">
        <v>220.7</v>
      </c>
      <c r="P121" s="1"/>
      <c r="Q121" s="1"/>
      <c r="U121" s="1">
        <v>1248</v>
      </c>
      <c r="V121" s="1">
        <v>357.72482300000001</v>
      </c>
      <c r="W121" s="8">
        <v>2045</v>
      </c>
      <c r="X121" s="8">
        <v>2045</v>
      </c>
      <c r="Y121" s="8">
        <v>39.116188000000001</v>
      </c>
      <c r="Z121" s="8">
        <v>42.923591999999999</v>
      </c>
      <c r="AA121" s="8">
        <v>2045</v>
      </c>
      <c r="AB121" s="8">
        <v>31.871352999999999</v>
      </c>
      <c r="AD121" s="8">
        <v>31.730927000000001</v>
      </c>
      <c r="AF121" s="8">
        <v>2045</v>
      </c>
      <c r="AG121" s="8">
        <v>39.116188000000001</v>
      </c>
      <c r="AH121" s="8">
        <f t="shared" si="8"/>
        <v>0</v>
      </c>
      <c r="AK121" s="1">
        <v>1248</v>
      </c>
      <c r="AL121" s="1">
        <v>357.72482300000001</v>
      </c>
      <c r="AM121" s="8">
        <v>411.76678500000003</v>
      </c>
    </row>
    <row r="122" spans="2:39" ht="15.75" x14ac:dyDescent="0.25">
      <c r="B122" s="8">
        <v>1245</v>
      </c>
      <c r="C122" s="8" t="s">
        <v>1140</v>
      </c>
      <c r="D122" s="8">
        <v>1245</v>
      </c>
      <c r="E122" s="8" t="s">
        <v>1863</v>
      </c>
      <c r="F122" s="8" t="str">
        <f t="shared" si="7"/>
        <v>MK</v>
      </c>
      <c r="G122" s="2">
        <v>958.49999999999943</v>
      </c>
      <c r="H122" s="2">
        <f>SUMIF(RouteID_Conversion!$P$2:$P$745,MD_BoardingByRoute!D122,RouteID_Conversion!$Q$2:$Q$745)</f>
        <v>1044.8990297317496</v>
      </c>
      <c r="K122" s="8">
        <v>176</v>
      </c>
      <c r="L122" s="8">
        <v>20.768432617199998</v>
      </c>
      <c r="M122" s="8">
        <v>36.9632377625</v>
      </c>
      <c r="N122" s="2">
        <v>48.1</v>
      </c>
      <c r="O122" s="2">
        <v>2518.3000000000002</v>
      </c>
      <c r="P122" s="1"/>
      <c r="Q122" s="1"/>
      <c r="U122" s="1">
        <v>1249</v>
      </c>
      <c r="V122" s="1">
        <v>776.79998799999998</v>
      </c>
      <c r="W122" s="8">
        <v>2048</v>
      </c>
      <c r="X122" s="8">
        <v>2048</v>
      </c>
      <c r="Y122" s="8">
        <v>322.80117799999999</v>
      </c>
      <c r="Z122" s="8">
        <v>318.957855</v>
      </c>
      <c r="AA122" s="8">
        <v>2048</v>
      </c>
      <c r="AB122" s="8">
        <v>265.60037199999999</v>
      </c>
      <c r="AD122" s="8">
        <v>265.293701</v>
      </c>
      <c r="AF122" s="8">
        <v>2048</v>
      </c>
      <c r="AG122" s="8">
        <v>322.80117799999999</v>
      </c>
      <c r="AH122" s="8">
        <f t="shared" si="8"/>
        <v>0</v>
      </c>
      <c r="AK122" s="1">
        <v>1249</v>
      </c>
      <c r="AL122" s="1">
        <v>776.79998799999998</v>
      </c>
      <c r="AM122" s="8">
        <v>883.82598900000005</v>
      </c>
    </row>
    <row r="123" spans="2:39" ht="15.75" x14ac:dyDescent="0.25">
      <c r="B123" s="8">
        <v>1247</v>
      </c>
      <c r="C123" s="8" t="s">
        <v>1428</v>
      </c>
      <c r="D123" s="8">
        <v>1247</v>
      </c>
      <c r="E123" s="8" t="s">
        <v>1864</v>
      </c>
      <c r="F123" s="8" t="str">
        <f t="shared" si="7"/>
        <v>MK</v>
      </c>
      <c r="G123" s="2">
        <v>0</v>
      </c>
      <c r="H123" s="2">
        <f>SUMIF(RouteID_Conversion!$P$2:$P$745,MD_BoardingByRoute!D123,RouteID_Conversion!$Q$2:$Q$745)</f>
        <v>0</v>
      </c>
      <c r="K123" s="8">
        <v>177</v>
      </c>
      <c r="L123" s="8">
        <v>76.553497314500007</v>
      </c>
      <c r="M123" s="8">
        <v>32.849571228000002</v>
      </c>
      <c r="N123" s="2">
        <v>7.7</v>
      </c>
      <c r="O123" s="2">
        <v>59.9</v>
      </c>
      <c r="P123" s="1"/>
      <c r="Q123" s="1"/>
      <c r="U123" s="1">
        <v>1250</v>
      </c>
      <c r="V123" s="1">
        <v>250.177109</v>
      </c>
      <c r="W123" s="8">
        <v>2052</v>
      </c>
      <c r="X123" s="8">
        <v>2052</v>
      </c>
      <c r="Y123" s="8">
        <v>202.32896400000001</v>
      </c>
      <c r="Z123" s="8">
        <v>241.67416399999999</v>
      </c>
      <c r="AA123" s="8">
        <v>2052</v>
      </c>
      <c r="AB123" s="8">
        <v>189.646255</v>
      </c>
      <c r="AD123" s="8">
        <v>189.42137099999999</v>
      </c>
      <c r="AF123" s="8">
        <v>2052</v>
      </c>
      <c r="AG123" s="8">
        <v>202.32896400000001</v>
      </c>
      <c r="AH123" s="8">
        <f t="shared" si="8"/>
        <v>0</v>
      </c>
      <c r="AK123" s="1">
        <v>1250</v>
      </c>
      <c r="AL123" s="1">
        <v>250.177109</v>
      </c>
      <c r="AM123" s="8">
        <v>270.77777099999997</v>
      </c>
    </row>
    <row r="124" spans="2:39" ht="15.75" x14ac:dyDescent="0.25">
      <c r="B124" s="8">
        <v>1248</v>
      </c>
      <c r="C124" s="8" t="s">
        <v>999</v>
      </c>
      <c r="D124" s="8">
        <v>1248</v>
      </c>
      <c r="E124" s="8" t="s">
        <v>1865</v>
      </c>
      <c r="F124" s="8" t="str">
        <f t="shared" si="7"/>
        <v>MK</v>
      </c>
      <c r="G124" s="2">
        <v>285</v>
      </c>
      <c r="H124" s="2">
        <f>SUMIF(RouteID_Conversion!$P$2:$P$745,MD_BoardingByRoute!D124,RouteID_Conversion!$Q$2:$Q$745)</f>
        <v>399.11403846740609</v>
      </c>
      <c r="K124" s="8">
        <v>178</v>
      </c>
      <c r="L124" s="8">
        <v>4.7543144226100003</v>
      </c>
      <c r="M124" s="8">
        <v>33.778030395499997</v>
      </c>
      <c r="N124" s="2">
        <v>39.1</v>
      </c>
      <c r="O124" s="2">
        <v>769</v>
      </c>
      <c r="P124" s="1"/>
      <c r="Q124" s="1"/>
      <c r="U124" s="1">
        <v>1251</v>
      </c>
      <c r="V124" s="1">
        <v>503.72876000000002</v>
      </c>
      <c r="W124" s="8">
        <v>2053</v>
      </c>
      <c r="X124" s="8">
        <v>2053</v>
      </c>
      <c r="Y124" s="8">
        <v>513.89025900000001</v>
      </c>
      <c r="Z124" s="8">
        <v>569.05590800000004</v>
      </c>
      <c r="AA124" s="8">
        <v>2053</v>
      </c>
      <c r="AB124" s="8">
        <v>426.941711</v>
      </c>
      <c r="AD124" s="8">
        <v>425.620361</v>
      </c>
      <c r="AF124" s="8">
        <v>2053</v>
      </c>
      <c r="AG124" s="8">
        <v>513.89025900000001</v>
      </c>
      <c r="AH124" s="8">
        <f t="shared" si="8"/>
        <v>0</v>
      </c>
      <c r="AK124" s="1">
        <v>1251</v>
      </c>
      <c r="AL124" s="1">
        <v>503.72876000000002</v>
      </c>
      <c r="AM124" s="8">
        <v>591.57183799999996</v>
      </c>
    </row>
    <row r="125" spans="2:39" ht="15.75" x14ac:dyDescent="0.25">
      <c r="B125" s="8">
        <v>1249</v>
      </c>
      <c r="C125" s="8" t="s">
        <v>1768</v>
      </c>
      <c r="D125" s="8">
        <v>1249</v>
      </c>
      <c r="E125" s="8" t="s">
        <v>1866</v>
      </c>
      <c r="F125" s="8" t="str">
        <f t="shared" si="7"/>
        <v>MK</v>
      </c>
      <c r="G125" s="2">
        <v>128.19999999999999</v>
      </c>
      <c r="H125" s="2">
        <f>SUMIF(RouteID_Conversion!$P$2:$P$745,MD_BoardingByRoute!D125,RouteID_Conversion!$Q$2:$Q$745)</f>
        <v>419.12107563018776</v>
      </c>
      <c r="K125" s="8">
        <v>179</v>
      </c>
      <c r="L125" s="8">
        <v>1.5174213647799999</v>
      </c>
      <c r="M125" s="8">
        <v>6.7132444381700003</v>
      </c>
      <c r="N125" s="2">
        <v>0</v>
      </c>
      <c r="O125" s="2">
        <v>453.4</v>
      </c>
      <c r="P125" s="1"/>
      <c r="Q125" s="1"/>
      <c r="U125" s="1">
        <v>1252</v>
      </c>
      <c r="V125" s="1">
        <v>551.04174799999998</v>
      </c>
      <c r="W125" s="8">
        <v>2054</v>
      </c>
      <c r="X125" s="8">
        <v>2054</v>
      </c>
      <c r="Y125" s="8">
        <v>305.68417399999998</v>
      </c>
      <c r="Z125" s="8">
        <v>339.66336100000001</v>
      </c>
      <c r="AA125" s="8">
        <v>2054</v>
      </c>
      <c r="AB125" s="8">
        <v>283.57153299999999</v>
      </c>
      <c r="AD125" s="8">
        <v>283.09536700000001</v>
      </c>
      <c r="AF125" s="8">
        <v>2054</v>
      </c>
      <c r="AG125" s="8">
        <v>305.68417399999998</v>
      </c>
      <c r="AH125" s="8">
        <f t="shared" si="8"/>
        <v>0</v>
      </c>
      <c r="AK125" s="1">
        <v>1252</v>
      </c>
      <c r="AL125" s="1">
        <v>551.04174799999998</v>
      </c>
      <c r="AM125" s="8">
        <v>517.02325399999995</v>
      </c>
    </row>
    <row r="126" spans="2:39" ht="15.75" x14ac:dyDescent="0.25">
      <c r="B126" s="8">
        <v>1250</v>
      </c>
      <c r="C126" s="8" t="s">
        <v>1539</v>
      </c>
      <c r="D126" s="8">
        <v>1250</v>
      </c>
      <c r="E126" s="8" t="s">
        <v>1867</v>
      </c>
      <c r="F126" s="8" t="str">
        <f t="shared" si="7"/>
        <v>MK</v>
      </c>
      <c r="G126" s="2">
        <v>0</v>
      </c>
      <c r="H126" s="2">
        <f>SUMIF(RouteID_Conversion!$P$2:$P$745,MD_BoardingByRoute!D126,RouteID_Conversion!$Q$2:$Q$745)</f>
        <v>0</v>
      </c>
      <c r="K126" s="8">
        <v>180</v>
      </c>
      <c r="L126" s="8">
        <v>82.446533203100003</v>
      </c>
      <c r="M126" s="8">
        <v>32.669929504400002</v>
      </c>
      <c r="N126" s="2">
        <v>11.3</v>
      </c>
      <c r="O126" s="2">
        <v>250.2</v>
      </c>
      <c r="P126" s="1"/>
      <c r="Q126" s="1"/>
      <c r="U126" s="1">
        <v>1253</v>
      </c>
      <c r="V126" s="1">
        <v>987.46716300000003</v>
      </c>
      <c r="W126" s="8">
        <v>2055</v>
      </c>
      <c r="X126" s="8">
        <v>2055</v>
      </c>
      <c r="Y126" s="8">
        <v>427.407196</v>
      </c>
      <c r="Z126" s="8">
        <v>432.06683299999997</v>
      </c>
      <c r="AA126" s="8">
        <v>2055</v>
      </c>
      <c r="AB126" s="8">
        <v>334.71807899999999</v>
      </c>
      <c r="AD126" s="8">
        <v>333.79861499999998</v>
      </c>
      <c r="AF126" s="8">
        <v>2055</v>
      </c>
      <c r="AG126" s="8">
        <v>427.407196</v>
      </c>
      <c r="AH126" s="8">
        <f t="shared" si="8"/>
        <v>0</v>
      </c>
      <c r="AK126" s="1">
        <v>1253</v>
      </c>
      <c r="AL126" s="1">
        <v>987.46716300000003</v>
      </c>
      <c r="AM126" s="8">
        <v>1071.6983640000001</v>
      </c>
    </row>
    <row r="127" spans="2:39" ht="15.75" x14ac:dyDescent="0.25">
      <c r="B127" s="8">
        <v>1251</v>
      </c>
      <c r="C127" s="8" t="s">
        <v>546</v>
      </c>
      <c r="D127" s="8">
        <v>1251</v>
      </c>
      <c r="E127" s="8" t="s">
        <v>1868</v>
      </c>
      <c r="F127" s="8" t="str">
        <f t="shared" si="7"/>
        <v>MK</v>
      </c>
      <c r="G127" s="2">
        <v>111.2</v>
      </c>
      <c r="H127" s="2">
        <f>SUMIF(RouteID_Conversion!$P$2:$P$745,MD_BoardingByRoute!D127,RouteID_Conversion!$Q$2:$Q$745)</f>
        <v>156.11802387237523</v>
      </c>
      <c r="K127" s="8">
        <v>181</v>
      </c>
      <c r="L127" s="8">
        <v>9.5086288452099996</v>
      </c>
      <c r="M127" s="8">
        <v>33.778030395499997</v>
      </c>
      <c r="N127" s="2">
        <v>0</v>
      </c>
      <c r="O127" s="2">
        <v>285.10000000000002</v>
      </c>
      <c r="P127" s="1"/>
      <c r="Q127" s="1"/>
      <c r="U127" s="1">
        <v>1255</v>
      </c>
      <c r="V127" s="1">
        <v>1418.656616</v>
      </c>
      <c r="W127" s="8">
        <v>2056</v>
      </c>
      <c r="X127" s="8">
        <v>2056</v>
      </c>
      <c r="Y127" s="8">
        <v>150.61108400000001</v>
      </c>
      <c r="Z127" s="8">
        <v>160.52801500000001</v>
      </c>
      <c r="AA127" s="8">
        <v>2056</v>
      </c>
      <c r="AB127" s="8">
        <v>121.246742</v>
      </c>
      <c r="AD127" s="8">
        <v>121.347122</v>
      </c>
      <c r="AF127" s="8">
        <v>2056</v>
      </c>
      <c r="AG127" s="8">
        <v>150.61108400000001</v>
      </c>
      <c r="AH127" s="8">
        <f t="shared" si="8"/>
        <v>0</v>
      </c>
      <c r="AK127" s="1">
        <v>1255</v>
      </c>
      <c r="AL127" s="1">
        <v>1418.656616</v>
      </c>
      <c r="AM127" s="8">
        <v>1606.645996</v>
      </c>
    </row>
    <row r="128" spans="2:39" ht="15.75" x14ac:dyDescent="0.25">
      <c r="B128" s="8">
        <v>1252</v>
      </c>
      <c r="C128" s="8" t="s">
        <v>1541</v>
      </c>
      <c r="D128" s="8">
        <v>1252</v>
      </c>
      <c r="E128" s="8" t="s">
        <v>1869</v>
      </c>
      <c r="F128" s="8" t="str">
        <f t="shared" si="7"/>
        <v>MK</v>
      </c>
      <c r="G128" s="2">
        <v>0</v>
      </c>
      <c r="H128" s="2">
        <f>SUMIF(RouteID_Conversion!$P$2:$P$745,MD_BoardingByRoute!D128,RouteID_Conversion!$Q$2:$Q$745)</f>
        <v>0</v>
      </c>
      <c r="K128" s="8">
        <v>182</v>
      </c>
      <c r="L128" s="8">
        <v>0.42785468697500001</v>
      </c>
      <c r="M128" s="8">
        <v>5.5024499893199996</v>
      </c>
      <c r="N128" s="2">
        <v>10</v>
      </c>
      <c r="O128" s="2">
        <v>521</v>
      </c>
      <c r="P128" s="1"/>
      <c r="Q128" s="1"/>
      <c r="U128" s="1">
        <v>1256</v>
      </c>
      <c r="V128" s="1">
        <v>306.98593099999999</v>
      </c>
      <c r="W128" s="8">
        <v>2057</v>
      </c>
      <c r="X128" s="8">
        <v>2057</v>
      </c>
      <c r="Y128" s="8">
        <v>162.92005900000001</v>
      </c>
      <c r="Z128" s="8">
        <v>204.299194</v>
      </c>
      <c r="AA128" s="8">
        <v>2057</v>
      </c>
      <c r="AB128" s="8">
        <v>167.11003099999999</v>
      </c>
      <c r="AD128" s="8">
        <v>167.60450700000001</v>
      </c>
      <c r="AF128" s="8">
        <v>2057</v>
      </c>
      <c r="AG128" s="8">
        <v>162.92005900000001</v>
      </c>
      <c r="AH128" s="8">
        <f t="shared" si="8"/>
        <v>0</v>
      </c>
      <c r="AK128" s="1">
        <v>1256</v>
      </c>
      <c r="AL128" s="1">
        <v>306.98593099999999</v>
      </c>
      <c r="AM128" s="8">
        <v>413.39364599999999</v>
      </c>
    </row>
    <row r="129" spans="2:39" ht="15.75" x14ac:dyDescent="0.25">
      <c r="B129" s="8">
        <v>1253</v>
      </c>
      <c r="C129" s="8" t="s">
        <v>1774</v>
      </c>
      <c r="D129" s="8">
        <v>1253</v>
      </c>
      <c r="E129" s="8" t="s">
        <v>1870</v>
      </c>
      <c r="F129" s="8" t="str">
        <f t="shared" si="7"/>
        <v>MK</v>
      </c>
      <c r="G129" s="2">
        <v>999</v>
      </c>
      <c r="H129" s="2">
        <f>SUMIF(RouteID_Conversion!$P$2:$P$745,MD_BoardingByRoute!D129,RouteID_Conversion!$Q$2:$Q$745)</f>
        <v>1153.6066474914519</v>
      </c>
      <c r="K129" s="8">
        <v>183</v>
      </c>
      <c r="L129" s="8">
        <v>174.87776184099999</v>
      </c>
      <c r="M129" s="8">
        <v>32.984779357900003</v>
      </c>
      <c r="N129" s="2">
        <v>102.7</v>
      </c>
      <c r="O129" s="2">
        <v>2627.3</v>
      </c>
      <c r="P129" s="1"/>
      <c r="Q129" s="1"/>
      <c r="U129" s="1">
        <v>1257</v>
      </c>
      <c r="V129" s="1">
        <v>446.73324600000001</v>
      </c>
      <c r="W129" s="8">
        <v>2059</v>
      </c>
      <c r="X129" s="8">
        <v>2059</v>
      </c>
      <c r="Y129" s="8">
        <v>33.826557000000001</v>
      </c>
      <c r="Z129" s="8">
        <v>38.598953000000002</v>
      </c>
      <c r="AA129" s="8">
        <v>2059</v>
      </c>
      <c r="AB129" s="8">
        <v>27.118662</v>
      </c>
      <c r="AD129" s="8">
        <v>27.168385000000001</v>
      </c>
      <c r="AF129" s="8">
        <v>2059</v>
      </c>
      <c r="AG129" s="8">
        <v>33.826557000000001</v>
      </c>
      <c r="AH129" s="8">
        <f t="shared" si="8"/>
        <v>0</v>
      </c>
      <c r="AK129" s="1">
        <v>1257</v>
      </c>
      <c r="AL129" s="1">
        <v>446.73324600000001</v>
      </c>
      <c r="AM129" s="8">
        <v>422.03598</v>
      </c>
    </row>
    <row r="130" spans="2:39" ht="15.75" x14ac:dyDescent="0.25">
      <c r="B130" s="8">
        <v>1255</v>
      </c>
      <c r="C130" s="8" t="s">
        <v>1287</v>
      </c>
      <c r="D130" s="8">
        <v>1255</v>
      </c>
      <c r="E130" s="8" t="s">
        <v>1871</v>
      </c>
      <c r="F130" s="8" t="str">
        <f t="shared" ref="F130:F193" si="9">MID(C130,1,2)</f>
        <v>MK</v>
      </c>
      <c r="G130" s="2">
        <v>827.09999999999945</v>
      </c>
      <c r="H130" s="2">
        <f>SUMIF(RouteID_Conversion!$P$2:$P$745,MD_BoardingByRoute!D130,RouteID_Conversion!$Q$2:$Q$745)</f>
        <v>1675.5063552856425</v>
      </c>
      <c r="K130" s="8">
        <v>184</v>
      </c>
      <c r="L130" s="8">
        <v>144.67509460400001</v>
      </c>
      <c r="M130" s="8">
        <v>33.892143249500002</v>
      </c>
      <c r="N130" s="2">
        <v>201.6</v>
      </c>
      <c r="O130" s="2">
        <v>3049.2</v>
      </c>
      <c r="P130" s="1"/>
      <c r="Q130" s="1"/>
      <c r="U130" s="1">
        <v>1260</v>
      </c>
      <c r="V130" s="1">
        <v>215.938782</v>
      </c>
      <c r="W130" s="8">
        <v>2061</v>
      </c>
      <c r="X130" s="8">
        <v>2061</v>
      </c>
      <c r="Y130" s="8">
        <v>184.68409700000001</v>
      </c>
      <c r="Z130" s="8">
        <v>184.98912000000001</v>
      </c>
      <c r="AA130" s="8">
        <v>2061</v>
      </c>
      <c r="AB130" s="8">
        <v>142.657242</v>
      </c>
      <c r="AD130" s="8">
        <v>142.50767500000001</v>
      </c>
      <c r="AF130" s="8">
        <v>2061</v>
      </c>
      <c r="AG130" s="8">
        <v>184.68409700000001</v>
      </c>
      <c r="AH130" s="8">
        <f t="shared" si="8"/>
        <v>0</v>
      </c>
      <c r="AK130" s="1">
        <v>1260</v>
      </c>
      <c r="AL130" s="1">
        <v>215.938782</v>
      </c>
      <c r="AM130" s="8">
        <v>240.81652800000001</v>
      </c>
    </row>
    <row r="131" spans="2:39" ht="15.75" x14ac:dyDescent="0.25">
      <c r="B131" s="8">
        <v>1266</v>
      </c>
      <c r="C131" s="8" t="s">
        <v>1545</v>
      </c>
      <c r="D131" s="8">
        <v>1266</v>
      </c>
      <c r="E131" s="8" t="s">
        <v>1877</v>
      </c>
      <c r="F131" s="8" t="str">
        <f t="shared" si="9"/>
        <v>MK</v>
      </c>
      <c r="G131" s="2">
        <v>4.8</v>
      </c>
      <c r="H131" s="2">
        <f>SUMIF(RouteID_Conversion!$P$2:$P$745,MD_BoardingByRoute!D131,RouteID_Conversion!$Q$2:$Q$745)</f>
        <v>0</v>
      </c>
      <c r="K131" s="8">
        <v>190</v>
      </c>
      <c r="L131" s="8">
        <v>6.7218351364100002</v>
      </c>
      <c r="M131" s="8">
        <v>31.400989532499999</v>
      </c>
      <c r="N131" s="2">
        <v>0</v>
      </c>
      <c r="O131" s="2">
        <v>260.8</v>
      </c>
      <c r="P131" s="1"/>
      <c r="Q131" s="1"/>
      <c r="U131" s="1">
        <v>1271</v>
      </c>
      <c r="V131" s="1">
        <v>2501.3615719999998</v>
      </c>
      <c r="W131" s="8">
        <v>2207</v>
      </c>
      <c r="X131" s="8">
        <v>2207</v>
      </c>
      <c r="Y131" s="8">
        <v>44.992747999999999</v>
      </c>
      <c r="Z131" s="8">
        <v>41.951622</v>
      </c>
      <c r="AA131" s="8">
        <v>2207</v>
      </c>
      <c r="AB131" s="8">
        <v>34.534469999999999</v>
      </c>
      <c r="AD131" s="8">
        <v>34.453014000000003</v>
      </c>
      <c r="AF131" s="8">
        <v>2207</v>
      </c>
      <c r="AG131" s="8">
        <v>44.992747999999999</v>
      </c>
      <c r="AH131" s="8">
        <f t="shared" si="8"/>
        <v>0</v>
      </c>
      <c r="AK131" s="1">
        <v>1271</v>
      </c>
      <c r="AL131" s="1">
        <v>2501.3615719999998</v>
      </c>
      <c r="AM131" s="8">
        <v>2210.3041990000002</v>
      </c>
    </row>
    <row r="132" spans="2:39" ht="15.75" x14ac:dyDescent="0.25">
      <c r="B132" s="8">
        <v>1269</v>
      </c>
      <c r="C132" s="8" t="s">
        <v>704</v>
      </c>
      <c r="D132" s="8">
        <v>1269</v>
      </c>
      <c r="E132" s="8" t="s">
        <v>1879</v>
      </c>
      <c r="F132" s="8" t="str">
        <f t="shared" si="9"/>
        <v>MK</v>
      </c>
      <c r="G132" s="2">
        <v>62.7</v>
      </c>
      <c r="H132" s="2">
        <f>SUMIF(RouteID_Conversion!$P$2:$P$745,MD_BoardingByRoute!D132,RouteID_Conversion!$Q$2:$Q$745)</f>
        <v>88.075148105621167</v>
      </c>
      <c r="K132" s="8">
        <v>192</v>
      </c>
      <c r="L132" s="8">
        <v>1.23990416527</v>
      </c>
      <c r="M132" s="8">
        <v>13.7195911407</v>
      </c>
      <c r="N132" s="2">
        <v>0</v>
      </c>
      <c r="O132" s="2">
        <v>439.1</v>
      </c>
      <c r="P132" s="1"/>
      <c r="Q132" s="1"/>
      <c r="U132" s="1">
        <v>1277</v>
      </c>
      <c r="V132" s="1">
        <v>354.20578</v>
      </c>
      <c r="W132" s="8">
        <v>2214</v>
      </c>
      <c r="X132" s="8">
        <v>2214</v>
      </c>
      <c r="Y132" s="8">
        <v>270.55255099999999</v>
      </c>
      <c r="Z132" s="8">
        <v>313.50234999999998</v>
      </c>
      <c r="AA132" s="8">
        <v>2214</v>
      </c>
      <c r="AB132" s="8">
        <v>233.19429</v>
      </c>
      <c r="AD132" s="8">
        <v>233.170715</v>
      </c>
      <c r="AF132" s="8">
        <v>2214</v>
      </c>
      <c r="AG132" s="8">
        <v>270.55255099999999</v>
      </c>
      <c r="AH132" s="8">
        <f t="shared" si="8"/>
        <v>0</v>
      </c>
      <c r="AK132" s="1">
        <v>1277</v>
      </c>
      <c r="AL132" s="1">
        <v>354.20578</v>
      </c>
      <c r="AM132" s="8">
        <v>286.65087899999997</v>
      </c>
    </row>
    <row r="133" spans="2:39" ht="15.75" x14ac:dyDescent="0.25">
      <c r="B133" s="8">
        <v>1271</v>
      </c>
      <c r="C133" s="8" t="s">
        <v>1782</v>
      </c>
      <c r="D133" s="8">
        <v>1271</v>
      </c>
      <c r="E133" s="8" t="s">
        <v>1880</v>
      </c>
      <c r="F133" s="8" t="str">
        <f t="shared" si="9"/>
        <v>MK</v>
      </c>
      <c r="G133" s="2">
        <v>1510</v>
      </c>
      <c r="H133" s="2">
        <f>SUMIF(RouteID_Conversion!$P$2:$P$745,MD_BoardingByRoute!D133,RouteID_Conversion!$Q$2:$Q$745)</f>
        <v>2129.0915336608869</v>
      </c>
      <c r="K133" s="8">
        <v>193</v>
      </c>
      <c r="L133" s="8">
        <v>9.0578193664600004</v>
      </c>
      <c r="M133" s="8">
        <v>20.178728103600001</v>
      </c>
      <c r="N133" s="2">
        <v>73.400000000000006</v>
      </c>
      <c r="O133" s="2">
        <v>3996.5</v>
      </c>
      <c r="P133" s="1"/>
      <c r="Q133" s="1"/>
      <c r="U133" s="1">
        <v>1301</v>
      </c>
      <c r="V133" s="1">
        <v>1384.9652100000001</v>
      </c>
      <c r="W133" s="8">
        <v>2220</v>
      </c>
      <c r="X133" s="8">
        <v>2220</v>
      </c>
      <c r="Y133" s="8">
        <v>171.989532</v>
      </c>
      <c r="Z133" s="8">
        <v>193.36540199999999</v>
      </c>
      <c r="AA133" s="8">
        <v>2220</v>
      </c>
      <c r="AB133" s="8">
        <v>156.036652</v>
      </c>
      <c r="AD133" s="8">
        <v>156.07182299999999</v>
      </c>
      <c r="AF133" s="8">
        <v>2220</v>
      </c>
      <c r="AG133" s="8">
        <v>171.989532</v>
      </c>
      <c r="AH133" s="8">
        <f t="shared" si="8"/>
        <v>0</v>
      </c>
      <c r="AK133" s="1">
        <v>1301</v>
      </c>
      <c r="AL133" s="1">
        <v>1384.9652100000001</v>
      </c>
      <c r="AM133" s="8">
        <v>1177.192749</v>
      </c>
    </row>
    <row r="134" spans="2:39" ht="15.75" x14ac:dyDescent="0.25">
      <c r="B134" s="8">
        <v>1272</v>
      </c>
      <c r="C134" s="8" t="s">
        <v>1787</v>
      </c>
      <c r="D134" s="8">
        <v>1272</v>
      </c>
      <c r="E134" s="8" t="s">
        <v>1881</v>
      </c>
      <c r="F134" s="8" t="str">
        <f t="shared" si="9"/>
        <v>MK</v>
      </c>
      <c r="G134" s="2">
        <v>73.3</v>
      </c>
      <c r="H134" s="2">
        <f>SUMIF(RouteID_Conversion!$P$2:$P$745,MD_BoardingByRoute!D134,RouteID_Conversion!$Q$2:$Q$745)</f>
        <v>95.340345859527503</v>
      </c>
      <c r="K134" s="8">
        <v>194</v>
      </c>
      <c r="L134" s="8">
        <v>5.2388443946800001</v>
      </c>
      <c r="M134" s="8">
        <v>16.627353668200001</v>
      </c>
      <c r="N134" s="2">
        <v>0.8</v>
      </c>
      <c r="O134" s="2">
        <v>360.1</v>
      </c>
      <c r="P134" s="1"/>
      <c r="Q134" s="1"/>
      <c r="U134" s="1">
        <v>1303</v>
      </c>
      <c r="V134" s="1">
        <v>712.97454800000003</v>
      </c>
      <c r="W134" s="8">
        <v>2300</v>
      </c>
      <c r="X134" s="8">
        <v>2300</v>
      </c>
      <c r="Y134" s="8">
        <v>568.666382</v>
      </c>
      <c r="Z134" s="8">
        <v>718.41247599999997</v>
      </c>
      <c r="AA134" s="8">
        <v>2300</v>
      </c>
      <c r="AB134" s="8">
        <v>595.76092500000004</v>
      </c>
      <c r="AD134" s="8">
        <v>594.06518600000004</v>
      </c>
      <c r="AF134" s="8">
        <v>2300</v>
      </c>
      <c r="AG134" s="8">
        <v>568.666382</v>
      </c>
      <c r="AH134" s="8">
        <f t="shared" si="8"/>
        <v>0</v>
      </c>
      <c r="AK134" s="1">
        <v>1303</v>
      </c>
      <c r="AL134" s="1">
        <v>712.97454800000003</v>
      </c>
      <c r="AM134" s="8">
        <v>650.46032700000001</v>
      </c>
    </row>
    <row r="135" spans="2:39" ht="15.75" x14ac:dyDescent="0.25">
      <c r="B135" s="8">
        <v>1277</v>
      </c>
      <c r="C135" s="8" t="s">
        <v>1549</v>
      </c>
      <c r="D135" s="8">
        <v>1277</v>
      </c>
      <c r="E135" s="8" t="s">
        <v>1882</v>
      </c>
      <c r="F135" s="8" t="str">
        <f t="shared" si="9"/>
        <v>MK</v>
      </c>
      <c r="G135" s="2">
        <v>15.3</v>
      </c>
      <c r="H135" s="2">
        <f>SUMIF(RouteID_Conversion!$P$2:$P$745,MD_BoardingByRoute!D135,RouteID_Conversion!$Q$2:$Q$745)</f>
        <v>26.059673309326129</v>
      </c>
      <c r="K135" s="8">
        <v>195</v>
      </c>
      <c r="L135" s="8">
        <v>12.0176801682</v>
      </c>
      <c r="M135" s="8">
        <v>42.381290435799997</v>
      </c>
      <c r="N135" s="2">
        <v>2.8</v>
      </c>
      <c r="O135" s="2">
        <v>232</v>
      </c>
      <c r="P135" s="1"/>
      <c r="Q135" s="1"/>
      <c r="U135" s="1">
        <v>1304</v>
      </c>
      <c r="V135" s="1">
        <v>229.49264500000001</v>
      </c>
      <c r="W135" s="8">
        <v>2402</v>
      </c>
      <c r="X135" s="8">
        <v>2402</v>
      </c>
      <c r="Y135" s="8">
        <v>1589.7891850000001</v>
      </c>
      <c r="Z135" s="8">
        <v>1735.7224120000001</v>
      </c>
      <c r="AA135" s="8">
        <v>2402</v>
      </c>
      <c r="AB135" s="8">
        <v>1438.0272219999999</v>
      </c>
      <c r="AD135" s="8">
        <v>1436.0345460000001</v>
      </c>
      <c r="AF135" s="8">
        <v>2402</v>
      </c>
      <c r="AG135" s="8">
        <v>1589.7891850000001</v>
      </c>
      <c r="AH135" s="8">
        <f t="shared" si="8"/>
        <v>0</v>
      </c>
      <c r="AK135" s="1">
        <v>1304</v>
      </c>
      <c r="AL135" s="1">
        <v>229.49264500000001</v>
      </c>
      <c r="AM135" s="8">
        <v>263.44699100000003</v>
      </c>
    </row>
    <row r="136" spans="2:39" ht="15.75" x14ac:dyDescent="0.25">
      <c r="B136" s="8">
        <v>1301</v>
      </c>
      <c r="C136" s="8" t="s">
        <v>1648</v>
      </c>
      <c r="D136" s="8">
        <v>1301</v>
      </c>
      <c r="E136" s="8" t="s">
        <v>1883</v>
      </c>
      <c r="F136" s="8" t="str">
        <f t="shared" si="9"/>
        <v>MK</v>
      </c>
      <c r="G136" s="2">
        <v>29.6</v>
      </c>
      <c r="H136" s="2">
        <f>SUMIF(RouteID_Conversion!$P$2:$P$745,MD_BoardingByRoute!D136,RouteID_Conversion!$Q$2:$Q$745)</f>
        <v>15.62319636344901</v>
      </c>
      <c r="K136" s="8">
        <v>196</v>
      </c>
      <c r="L136" s="8">
        <v>78.416336059599999</v>
      </c>
      <c r="M136" s="8">
        <v>53.782787323000001</v>
      </c>
      <c r="N136" s="2">
        <v>56.6</v>
      </c>
      <c r="O136" s="2">
        <v>1464.5</v>
      </c>
      <c r="P136" s="1"/>
      <c r="Q136" s="1"/>
      <c r="U136" s="1">
        <v>1306</v>
      </c>
      <c r="V136" s="1">
        <v>226.18168600000001</v>
      </c>
      <c r="W136" s="8">
        <v>2406</v>
      </c>
      <c r="X136" s="8">
        <v>2406</v>
      </c>
      <c r="Y136" s="8">
        <v>4.4444280000000003</v>
      </c>
      <c r="Z136" s="8">
        <v>7.3539849999999998</v>
      </c>
      <c r="AA136" s="8">
        <v>2406</v>
      </c>
      <c r="AB136" s="8">
        <v>6.9236009999999997</v>
      </c>
      <c r="AD136" s="8">
        <v>6.9187050000000001</v>
      </c>
      <c r="AF136" s="8">
        <v>2406</v>
      </c>
      <c r="AG136" s="8">
        <v>4.4444280000000003</v>
      </c>
      <c r="AH136" s="8">
        <f t="shared" si="8"/>
        <v>0</v>
      </c>
      <c r="AK136" s="1">
        <v>1306</v>
      </c>
      <c r="AL136" s="1">
        <v>226.18168600000001</v>
      </c>
      <c r="AM136" s="8">
        <v>306.95617700000003</v>
      </c>
    </row>
    <row r="137" spans="2:39" ht="15.75" x14ac:dyDescent="0.25">
      <c r="B137" s="8">
        <v>1312</v>
      </c>
      <c r="C137" s="8" t="s">
        <v>1664</v>
      </c>
      <c r="D137" s="8">
        <v>1312</v>
      </c>
      <c r="E137" s="8" t="s">
        <v>1889</v>
      </c>
      <c r="F137" s="8" t="str">
        <f t="shared" si="9"/>
        <v>MK</v>
      </c>
      <c r="G137" s="2">
        <v>29.9</v>
      </c>
      <c r="H137" s="2">
        <f>SUMIF(RouteID_Conversion!$P$2:$P$745,MD_BoardingByRoute!D137,RouteID_Conversion!$Q$2:$Q$745)</f>
        <v>45.968412399291893</v>
      </c>
      <c r="K137" s="8">
        <v>202</v>
      </c>
      <c r="L137" s="8">
        <v>19.339244842500001</v>
      </c>
      <c r="M137" s="8">
        <v>53.0083045959</v>
      </c>
      <c r="N137" s="2">
        <v>73.8</v>
      </c>
      <c r="O137" s="2">
        <v>1517.2</v>
      </c>
      <c r="P137" s="1"/>
      <c r="Q137" s="1"/>
      <c r="U137" s="1">
        <v>1331</v>
      </c>
      <c r="V137" s="1">
        <v>442.07330300000001</v>
      </c>
      <c r="W137" s="8">
        <v>2444</v>
      </c>
      <c r="X137" s="8">
        <v>2444</v>
      </c>
      <c r="Y137" s="8">
        <v>20.766638</v>
      </c>
      <c r="Z137" s="8">
        <v>19.969643000000001</v>
      </c>
      <c r="AA137" s="8">
        <v>2444</v>
      </c>
      <c r="AB137" s="8">
        <v>9.7901810000000005</v>
      </c>
      <c r="AD137" s="8">
        <v>9.8650570000000002</v>
      </c>
      <c r="AF137" s="8">
        <v>2444</v>
      </c>
      <c r="AG137" s="8">
        <v>20.766638</v>
      </c>
      <c r="AH137" s="8">
        <f t="shared" si="8"/>
        <v>0</v>
      </c>
      <c r="AK137" s="1">
        <v>1331</v>
      </c>
      <c r="AL137" s="1">
        <v>442.07330300000001</v>
      </c>
      <c r="AM137" s="8">
        <v>534.69152799999995</v>
      </c>
    </row>
    <row r="138" spans="2:39" ht="15.75" x14ac:dyDescent="0.25">
      <c r="B138" s="8">
        <v>1330</v>
      </c>
      <c r="C138" s="8" t="s">
        <v>567</v>
      </c>
      <c r="D138" s="8">
        <v>1330</v>
      </c>
      <c r="E138" s="8" t="s">
        <v>1891</v>
      </c>
      <c r="F138" s="8" t="str">
        <f t="shared" si="9"/>
        <v>MK</v>
      </c>
      <c r="G138" s="2">
        <v>52.5</v>
      </c>
      <c r="H138" s="2">
        <f>SUMIF(RouteID_Conversion!$P$2:$P$745,MD_BoardingByRoute!D138,RouteID_Conversion!$Q$2:$Q$745)</f>
        <v>11.449955821037271</v>
      </c>
      <c r="K138" s="8">
        <v>204</v>
      </c>
      <c r="L138" s="8">
        <v>50.938159942600002</v>
      </c>
      <c r="M138" s="8">
        <v>30.972127914400001</v>
      </c>
      <c r="N138" s="2">
        <v>0</v>
      </c>
      <c r="O138" s="2">
        <v>242.5</v>
      </c>
      <c r="P138" s="1"/>
      <c r="Q138" s="1"/>
      <c r="U138" s="1">
        <v>1345</v>
      </c>
      <c r="V138" s="1">
        <v>266.92657500000001</v>
      </c>
      <c r="W138" s="8">
        <v>2501</v>
      </c>
      <c r="X138" s="8">
        <v>2501</v>
      </c>
      <c r="Y138" s="8">
        <v>376.984283</v>
      </c>
      <c r="Z138" s="8">
        <v>441.60900900000001</v>
      </c>
      <c r="AA138" s="8">
        <v>2501</v>
      </c>
      <c r="AB138" s="8">
        <v>333.67169200000001</v>
      </c>
      <c r="AD138" s="8">
        <v>333.784515</v>
      </c>
      <c r="AF138" s="8">
        <v>2501</v>
      </c>
      <c r="AG138" s="8">
        <v>376.984283</v>
      </c>
      <c r="AH138" s="8">
        <f t="shared" si="8"/>
        <v>0</v>
      </c>
      <c r="AK138" s="1">
        <v>1345</v>
      </c>
      <c r="AL138" s="1">
        <v>266.92657500000001</v>
      </c>
      <c r="AM138" s="8">
        <v>304.48147599999999</v>
      </c>
    </row>
    <row r="139" spans="2:39" ht="15.75" x14ac:dyDescent="0.25">
      <c r="B139" s="8">
        <v>1331</v>
      </c>
      <c r="C139" s="8" t="s">
        <v>571</v>
      </c>
      <c r="D139" s="8">
        <v>1331</v>
      </c>
      <c r="E139" s="8" t="s">
        <v>1892</v>
      </c>
      <c r="F139" s="8" t="str">
        <f t="shared" si="9"/>
        <v>MK</v>
      </c>
      <c r="G139" s="2">
        <v>486.6</v>
      </c>
      <c r="H139" s="2">
        <f>SUMIF(RouteID_Conversion!$P$2:$P$745,MD_BoardingByRoute!D139,RouteID_Conversion!$Q$2:$Q$745)</f>
        <v>199.33814716339089</v>
      </c>
      <c r="K139" s="8">
        <v>205</v>
      </c>
      <c r="L139" s="8">
        <v>51.157554626500001</v>
      </c>
      <c r="M139" s="8">
        <v>36.314624786400003</v>
      </c>
      <c r="N139" s="2">
        <v>14.1</v>
      </c>
      <c r="O139" s="2">
        <v>1034.7</v>
      </c>
      <c r="P139" s="1"/>
      <c r="Q139" s="1"/>
      <c r="U139" s="1">
        <v>1346</v>
      </c>
      <c r="V139" s="1">
        <v>332.21649200000002</v>
      </c>
      <c r="W139" s="8">
        <v>2603</v>
      </c>
      <c r="X139" s="8">
        <v>2603</v>
      </c>
      <c r="Y139" s="8">
        <v>2.6979280000000001</v>
      </c>
      <c r="Z139" s="8">
        <v>4.3430650000000002</v>
      </c>
      <c r="AA139" s="8">
        <v>2603</v>
      </c>
      <c r="AB139" s="8">
        <v>3.620654</v>
      </c>
      <c r="AD139" s="8">
        <v>3.7079879999999998</v>
      </c>
      <c r="AF139" s="8">
        <v>2603</v>
      </c>
      <c r="AG139" s="8">
        <v>2.6979280000000001</v>
      </c>
      <c r="AH139" s="8">
        <f t="shared" si="8"/>
        <v>0</v>
      </c>
      <c r="AK139" s="1">
        <v>1346</v>
      </c>
      <c r="AL139" s="1">
        <v>332.21649200000002</v>
      </c>
      <c r="AM139" s="8">
        <v>392.26669299999998</v>
      </c>
    </row>
    <row r="140" spans="2:39" ht="15.75" x14ac:dyDescent="0.25">
      <c r="B140" s="8">
        <v>1345</v>
      </c>
      <c r="C140" s="8" t="s">
        <v>575</v>
      </c>
      <c r="D140" s="8">
        <v>1345</v>
      </c>
      <c r="E140" s="8" t="s">
        <v>1894</v>
      </c>
      <c r="F140" s="8" t="str">
        <f t="shared" si="9"/>
        <v>MK</v>
      </c>
      <c r="G140" s="2">
        <v>636.9</v>
      </c>
      <c r="H140" s="2">
        <f>SUMIF(RouteID_Conversion!$P$2:$P$745,MD_BoardingByRoute!D140,RouteID_Conversion!$Q$2:$Q$745)</f>
        <v>218.8501472473142</v>
      </c>
      <c r="K140" s="8">
        <v>207</v>
      </c>
      <c r="L140" s="8">
        <v>71.854705810499993</v>
      </c>
      <c r="M140" s="8">
        <v>32.327842712399999</v>
      </c>
      <c r="N140" s="2">
        <v>18.5</v>
      </c>
      <c r="O140" s="2">
        <v>1319.5</v>
      </c>
      <c r="P140" s="1"/>
      <c r="Q140" s="1"/>
      <c r="U140" s="1">
        <v>1348</v>
      </c>
      <c r="V140" s="1">
        <v>616.06201199999998</v>
      </c>
      <c r="W140" s="8">
        <v>3105</v>
      </c>
      <c r="X140" s="8">
        <v>3105</v>
      </c>
      <c r="Y140" s="8">
        <v>586.65344200000004</v>
      </c>
      <c r="Z140" s="8">
        <v>617.49920699999996</v>
      </c>
      <c r="AA140" s="8">
        <v>3105</v>
      </c>
      <c r="AB140" s="8">
        <v>465.277985</v>
      </c>
      <c r="AD140" s="8">
        <v>467.77087399999999</v>
      </c>
      <c r="AF140" s="8">
        <v>3105</v>
      </c>
      <c r="AG140" s="8">
        <v>586.65344200000004</v>
      </c>
      <c r="AH140" s="8">
        <f t="shared" si="8"/>
        <v>0</v>
      </c>
      <c r="AK140" s="1">
        <v>1348</v>
      </c>
      <c r="AL140" s="1">
        <v>616.06201199999998</v>
      </c>
      <c r="AM140" s="8">
        <v>729.55291699999998</v>
      </c>
    </row>
    <row r="141" spans="2:39" ht="15.75" x14ac:dyDescent="0.25">
      <c r="B141" s="8">
        <v>1346</v>
      </c>
      <c r="C141" s="8" t="s">
        <v>578</v>
      </c>
      <c r="D141" s="8">
        <v>1346</v>
      </c>
      <c r="E141" s="8" t="s">
        <v>1895</v>
      </c>
      <c r="F141" s="8" t="str">
        <f t="shared" si="9"/>
        <v>MK</v>
      </c>
      <c r="G141" s="2">
        <v>634.1</v>
      </c>
      <c r="H141" s="2">
        <f>SUMIF(RouteID_Conversion!$P$2:$P$745,MD_BoardingByRoute!D141,RouteID_Conversion!$Q$2:$Q$745)</f>
        <v>318.00393116474072</v>
      </c>
      <c r="K141" s="8">
        <v>208</v>
      </c>
      <c r="L141" s="8">
        <v>134.03993225100001</v>
      </c>
      <c r="M141" s="8">
        <v>31.080951690700001</v>
      </c>
      <c r="N141" s="2">
        <v>43.2</v>
      </c>
      <c r="O141" s="2">
        <v>1412.8</v>
      </c>
      <c r="P141" s="1"/>
      <c r="Q141" s="1"/>
      <c r="U141" s="1">
        <v>1355</v>
      </c>
      <c r="V141" s="1">
        <v>513.93102999999996</v>
      </c>
      <c r="W141" s="8">
        <v>3106</v>
      </c>
      <c r="X141" s="8">
        <v>3106</v>
      </c>
      <c r="Y141" s="8">
        <v>513.97857699999997</v>
      </c>
      <c r="Z141" s="8">
        <v>537.89843800000006</v>
      </c>
      <c r="AA141" s="8">
        <v>3106</v>
      </c>
      <c r="AB141" s="8">
        <v>406.68386800000002</v>
      </c>
      <c r="AD141" s="8">
        <v>408.81210299999998</v>
      </c>
      <c r="AF141" s="8">
        <v>3106</v>
      </c>
      <c r="AG141" s="8">
        <v>513.97857699999997</v>
      </c>
      <c r="AH141" s="8">
        <f t="shared" si="8"/>
        <v>0</v>
      </c>
      <c r="AK141" s="1">
        <v>1355</v>
      </c>
      <c r="AL141" s="1">
        <v>513.93102999999996</v>
      </c>
      <c r="AM141" s="8">
        <v>532.36413600000003</v>
      </c>
    </row>
    <row r="142" spans="2:39" ht="15.75" x14ac:dyDescent="0.25">
      <c r="B142" s="8">
        <v>1347</v>
      </c>
      <c r="C142" s="8" t="s">
        <v>333</v>
      </c>
      <c r="D142" s="8">
        <v>1347</v>
      </c>
      <c r="E142" s="8" t="s">
        <v>1896</v>
      </c>
      <c r="F142" s="8" t="str">
        <f t="shared" si="9"/>
        <v>MK</v>
      </c>
      <c r="G142" s="2">
        <v>439.7000000000005</v>
      </c>
      <c r="H142" s="2">
        <f>SUMIF(RouteID_Conversion!$P$2:$P$745,MD_BoardingByRoute!D142,RouteID_Conversion!$Q$2:$Q$745)</f>
        <v>493.42427825927587</v>
      </c>
      <c r="K142" s="8">
        <v>209</v>
      </c>
      <c r="L142" s="8">
        <v>14.956404686000001</v>
      </c>
      <c r="M142" s="8">
        <v>41.166793823200003</v>
      </c>
      <c r="N142" s="2">
        <v>57.6</v>
      </c>
      <c r="O142" s="2">
        <v>1229.5</v>
      </c>
      <c r="P142" s="1"/>
      <c r="Q142" s="1"/>
      <c r="U142" s="1">
        <v>1358</v>
      </c>
      <c r="V142" s="1">
        <v>2724.4709469999998</v>
      </c>
      <c r="W142" s="8">
        <v>3110</v>
      </c>
      <c r="X142" s="8">
        <v>3110</v>
      </c>
      <c r="Y142" s="8">
        <v>204.66188</v>
      </c>
      <c r="Z142" s="8">
        <v>226.44650300000001</v>
      </c>
      <c r="AA142" s="8">
        <v>3110</v>
      </c>
      <c r="AB142" s="8">
        <v>186.46757500000001</v>
      </c>
      <c r="AD142" s="8">
        <v>187.60974100000001</v>
      </c>
      <c r="AF142" s="8">
        <v>3110</v>
      </c>
      <c r="AG142" s="8">
        <v>204.66188</v>
      </c>
      <c r="AH142" s="8">
        <f t="shared" si="8"/>
        <v>0</v>
      </c>
      <c r="AK142" s="1">
        <v>1358</v>
      </c>
      <c r="AL142" s="1">
        <v>2724.4709469999998</v>
      </c>
      <c r="AM142" s="8">
        <v>3349.130615</v>
      </c>
    </row>
    <row r="143" spans="2:39" ht="15.75" x14ac:dyDescent="0.25">
      <c r="B143" s="8">
        <v>1348</v>
      </c>
      <c r="C143" s="8" t="s">
        <v>336</v>
      </c>
      <c r="D143" s="8">
        <v>1348</v>
      </c>
      <c r="E143" s="8" t="s">
        <v>1897</v>
      </c>
      <c r="F143" s="8" t="str">
        <f t="shared" si="9"/>
        <v>MK</v>
      </c>
      <c r="G143" s="2">
        <v>538.9</v>
      </c>
      <c r="H143" s="2">
        <f>SUMIF(RouteID_Conversion!$P$2:$P$745,MD_BoardingByRoute!D143,RouteID_Conversion!$Q$2:$Q$745)</f>
        <v>494.93317413329964</v>
      </c>
      <c r="K143" s="8">
        <v>210</v>
      </c>
      <c r="L143" s="8">
        <v>59.859878539999997</v>
      </c>
      <c r="M143" s="8">
        <v>43.022560119600001</v>
      </c>
      <c r="N143" s="2">
        <v>33.6</v>
      </c>
      <c r="O143" s="2">
        <v>1303.2</v>
      </c>
      <c r="P143" s="1"/>
      <c r="Q143" s="1"/>
      <c r="U143" s="1">
        <v>1372</v>
      </c>
      <c r="V143" s="1">
        <v>1161.0823969999999</v>
      </c>
      <c r="W143" s="8">
        <v>3112</v>
      </c>
      <c r="X143" s="8">
        <v>3112</v>
      </c>
      <c r="Y143" s="8">
        <v>388.17010499999998</v>
      </c>
      <c r="Z143" s="8">
        <v>416.79296900000003</v>
      </c>
      <c r="AA143" s="8">
        <v>3112</v>
      </c>
      <c r="AB143" s="8">
        <v>331.76260400000001</v>
      </c>
      <c r="AD143" s="8">
        <v>332.76599099999999</v>
      </c>
      <c r="AF143" s="8">
        <v>3112</v>
      </c>
      <c r="AG143" s="8">
        <v>388.17010499999998</v>
      </c>
      <c r="AH143" s="8">
        <f t="shared" si="8"/>
        <v>0</v>
      </c>
      <c r="AK143" s="1">
        <v>1372</v>
      </c>
      <c r="AL143" s="1">
        <v>1161.0823969999999</v>
      </c>
      <c r="AM143" s="8">
        <v>1053.736572</v>
      </c>
    </row>
    <row r="144" spans="2:39" ht="15.75" x14ac:dyDescent="0.25">
      <c r="B144" s="8">
        <v>1355</v>
      </c>
      <c r="C144" s="8" t="s">
        <v>1667</v>
      </c>
      <c r="D144" s="8">
        <v>1355</v>
      </c>
      <c r="E144" s="8" t="s">
        <v>1898</v>
      </c>
      <c r="F144" s="8" t="str">
        <f t="shared" si="9"/>
        <v>MK</v>
      </c>
      <c r="G144" s="2">
        <v>5.4</v>
      </c>
      <c r="H144" s="2">
        <f>SUMIF(RouteID_Conversion!$P$2:$P$745,MD_BoardingByRoute!D144,RouteID_Conversion!$Q$2:$Q$745)</f>
        <v>25.350028991699158</v>
      </c>
      <c r="K144" s="8">
        <v>211</v>
      </c>
      <c r="L144" s="8">
        <v>119.8176651</v>
      </c>
      <c r="M144" s="8">
        <v>63.887306213400002</v>
      </c>
      <c r="N144" s="2">
        <v>3.2</v>
      </c>
      <c r="O144" s="2">
        <v>853.2</v>
      </c>
      <c r="P144" s="1"/>
      <c r="Q144" s="1"/>
      <c r="U144" s="1">
        <v>1373</v>
      </c>
      <c r="V144" s="1">
        <v>460.68576000000002</v>
      </c>
      <c r="W144" s="8">
        <v>3113</v>
      </c>
      <c r="X144" s="8">
        <v>3113</v>
      </c>
      <c r="Y144" s="8">
        <v>1327.8260499999999</v>
      </c>
      <c r="Z144" s="8">
        <v>1410.2338870000001</v>
      </c>
      <c r="AA144" s="8">
        <v>3113</v>
      </c>
      <c r="AB144" s="8">
        <v>1148.9819339999999</v>
      </c>
      <c r="AD144" s="8">
        <v>1151.98938</v>
      </c>
      <c r="AF144" s="8">
        <v>3113</v>
      </c>
      <c r="AG144" s="8">
        <v>1327.8260499999999</v>
      </c>
      <c r="AH144" s="8">
        <f t="shared" si="8"/>
        <v>0</v>
      </c>
      <c r="AK144" s="1">
        <v>1373</v>
      </c>
      <c r="AL144" s="1">
        <v>460.68576000000002</v>
      </c>
      <c r="AM144" s="8">
        <v>624.76245100000006</v>
      </c>
    </row>
    <row r="145" spans="2:39" ht="15.75" x14ac:dyDescent="0.25">
      <c r="B145" s="8">
        <v>1358</v>
      </c>
      <c r="C145" s="8" t="s">
        <v>581</v>
      </c>
      <c r="D145" s="8">
        <v>1358</v>
      </c>
      <c r="E145" s="8" t="s">
        <v>1899</v>
      </c>
      <c r="F145" s="8" t="str">
        <f t="shared" si="9"/>
        <v>MK</v>
      </c>
      <c r="G145" s="2">
        <v>2890.9</v>
      </c>
      <c r="H145" s="2">
        <f>SUMIF(RouteID_Conversion!$P$2:$P$745,MD_BoardingByRoute!D145,RouteID_Conversion!$Q$2:$Q$745)</f>
        <v>4811.8350219726544</v>
      </c>
      <c r="K145" s="8">
        <v>212</v>
      </c>
      <c r="L145" s="8">
        <v>84.579040527299995</v>
      </c>
      <c r="M145" s="8">
        <v>60.951652526899998</v>
      </c>
      <c r="N145" s="2">
        <v>424</v>
      </c>
      <c r="O145" s="2">
        <v>8384.7000000000007</v>
      </c>
      <c r="P145" s="1"/>
      <c r="Q145" s="1"/>
      <c r="U145" s="1">
        <v>1600</v>
      </c>
      <c r="V145" s="1">
        <v>33.817646000000003</v>
      </c>
      <c r="W145" s="8">
        <v>3116</v>
      </c>
      <c r="X145" s="8">
        <v>3116</v>
      </c>
      <c r="Y145" s="8">
        <v>1593.224731</v>
      </c>
      <c r="Z145" s="8">
        <v>1773.369995</v>
      </c>
      <c r="AA145" s="8">
        <v>3116</v>
      </c>
      <c r="AB145" s="8">
        <v>1447.744385</v>
      </c>
      <c r="AD145" s="8">
        <v>1457.1914059999999</v>
      </c>
      <c r="AF145" s="8">
        <v>3116</v>
      </c>
      <c r="AG145" s="8">
        <v>1593.224731</v>
      </c>
      <c r="AH145" s="8">
        <f t="shared" si="8"/>
        <v>0</v>
      </c>
      <c r="AK145" s="1">
        <v>1600</v>
      </c>
      <c r="AL145" s="1">
        <v>33.817646000000003</v>
      </c>
      <c r="AM145" s="8">
        <v>61.044842000000003</v>
      </c>
    </row>
    <row r="146" spans="2:39" ht="15.75" x14ac:dyDescent="0.25">
      <c r="B146" s="8">
        <v>1372</v>
      </c>
      <c r="C146" s="8" t="s">
        <v>1104</v>
      </c>
      <c r="D146" s="8">
        <v>1372</v>
      </c>
      <c r="E146" s="8" t="s">
        <v>1900</v>
      </c>
      <c r="F146" s="8" t="str">
        <f t="shared" si="9"/>
        <v>MK</v>
      </c>
      <c r="G146" s="2">
        <v>1442</v>
      </c>
      <c r="H146" s="2">
        <f>SUMIF(RouteID_Conversion!$P$2:$P$745,MD_BoardingByRoute!D146,RouteID_Conversion!$Q$2:$Q$745)</f>
        <v>1426.471798896787</v>
      </c>
      <c r="K146" s="8">
        <v>213</v>
      </c>
      <c r="L146" s="8">
        <v>146.882324219</v>
      </c>
      <c r="M146" s="8">
        <v>54.3793907166</v>
      </c>
      <c r="N146" s="2">
        <v>24.9</v>
      </c>
      <c r="O146" s="2">
        <v>3821.7</v>
      </c>
      <c r="P146" s="1"/>
      <c r="Q146" s="1"/>
      <c r="U146" s="1">
        <v>1661</v>
      </c>
      <c r="V146" s="1">
        <v>5.7860680000000002</v>
      </c>
      <c r="W146" s="8">
        <v>3118</v>
      </c>
      <c r="X146" s="8">
        <v>3118</v>
      </c>
      <c r="Y146" s="8">
        <v>887.07025099999998</v>
      </c>
      <c r="Z146" s="8">
        <v>946.24371299999996</v>
      </c>
      <c r="AA146" s="8">
        <v>3118</v>
      </c>
      <c r="AB146" s="8">
        <v>742.71490500000004</v>
      </c>
      <c r="AD146" s="8">
        <v>747.06671100000005</v>
      </c>
      <c r="AF146" s="8">
        <v>3118</v>
      </c>
      <c r="AG146" s="8">
        <v>887.07025099999998</v>
      </c>
      <c r="AH146" s="8">
        <f t="shared" ref="AH146:AH202" si="10">AA146-AF146</f>
        <v>0</v>
      </c>
      <c r="AK146" s="1">
        <v>1661</v>
      </c>
      <c r="AL146" s="1">
        <v>5.7860680000000002</v>
      </c>
      <c r="AM146" s="8">
        <v>7.165724</v>
      </c>
    </row>
    <row r="147" spans="2:39" ht="15.75" x14ac:dyDescent="0.25">
      <c r="B147" s="8">
        <v>1373</v>
      </c>
      <c r="C147" s="8" t="s">
        <v>583</v>
      </c>
      <c r="D147" s="8">
        <v>1373</v>
      </c>
      <c r="E147" s="8" t="s">
        <v>1901</v>
      </c>
      <c r="F147" s="8" t="str">
        <f t="shared" si="9"/>
        <v>MK</v>
      </c>
      <c r="G147" s="2">
        <v>150.19999999999999</v>
      </c>
      <c r="H147" s="2">
        <f>SUMIF(RouteID_Conversion!$P$2:$P$745,MD_BoardingByRoute!D147,RouteID_Conversion!$Q$2:$Q$745)</f>
        <v>125.81455659866317</v>
      </c>
      <c r="K147" s="8">
        <v>214</v>
      </c>
      <c r="L147" s="8">
        <v>34.493328094500001</v>
      </c>
      <c r="M147" s="8">
        <v>37.188869476299999</v>
      </c>
      <c r="N147" s="2">
        <v>0</v>
      </c>
      <c r="O147" s="2">
        <v>779.2</v>
      </c>
      <c r="P147" s="1"/>
      <c r="Q147" s="1"/>
      <c r="U147" s="1">
        <v>1915</v>
      </c>
      <c r="V147" s="1">
        <v>150.88880900000001</v>
      </c>
      <c r="W147" s="8">
        <v>3119</v>
      </c>
      <c r="X147" s="8">
        <v>3119</v>
      </c>
      <c r="Y147" s="8">
        <v>110.57442500000001</v>
      </c>
      <c r="Z147" s="8">
        <v>121.756561</v>
      </c>
      <c r="AA147" s="8">
        <v>3119</v>
      </c>
      <c r="AB147" s="8">
        <v>98.459907999999999</v>
      </c>
      <c r="AD147" s="8">
        <v>98.798148999999995</v>
      </c>
      <c r="AF147" s="8">
        <v>3119</v>
      </c>
      <c r="AG147" s="8">
        <v>110.57442500000001</v>
      </c>
      <c r="AH147" s="8">
        <f t="shared" si="10"/>
        <v>0</v>
      </c>
      <c r="AK147" s="1">
        <v>1915</v>
      </c>
      <c r="AL147" s="1">
        <v>150.88880900000001</v>
      </c>
      <c r="AM147" s="8">
        <v>229.529877</v>
      </c>
    </row>
    <row r="148" spans="2:39" ht="15.75" x14ac:dyDescent="0.25">
      <c r="B148" s="8">
        <v>1661</v>
      </c>
      <c r="C148" s="8" t="s">
        <v>1752</v>
      </c>
      <c r="D148" s="8">
        <v>1661</v>
      </c>
      <c r="E148" s="8" t="s">
        <v>1903</v>
      </c>
      <c r="F148" s="8" t="str">
        <f t="shared" si="9"/>
        <v>MK</v>
      </c>
      <c r="G148" s="2">
        <v>3.2</v>
      </c>
      <c r="H148" s="2">
        <f>SUMIF(RouteID_Conversion!$P$2:$P$745,MD_BoardingByRoute!D148,RouteID_Conversion!$Q$2:$Q$745)</f>
        <v>13.240681923925862</v>
      </c>
      <c r="K148" s="8">
        <v>216</v>
      </c>
      <c r="L148" s="8">
        <v>5.3715109825100003</v>
      </c>
      <c r="M148" s="8">
        <v>26.022899627699999</v>
      </c>
      <c r="N148" s="2">
        <v>0</v>
      </c>
      <c r="O148" s="2">
        <v>17</v>
      </c>
      <c r="P148" s="1"/>
      <c r="Q148" s="1"/>
      <c r="U148" s="1">
        <v>1941</v>
      </c>
      <c r="V148" s="1">
        <v>204.66632100000001</v>
      </c>
      <c r="W148" s="8">
        <v>3121</v>
      </c>
      <c r="X148" s="8">
        <v>3121</v>
      </c>
      <c r="Y148" s="8">
        <v>90.934235000000001</v>
      </c>
      <c r="Z148" s="8">
        <v>93.016220000000004</v>
      </c>
      <c r="AA148" s="8">
        <v>3121</v>
      </c>
      <c r="AB148" s="8">
        <v>65.660820000000001</v>
      </c>
      <c r="AD148" s="8">
        <v>65.988640000000004</v>
      </c>
      <c r="AF148" s="8">
        <v>3121</v>
      </c>
      <c r="AG148" s="8">
        <v>90.934235000000001</v>
      </c>
      <c r="AH148" s="8">
        <f t="shared" si="10"/>
        <v>0</v>
      </c>
      <c r="AK148" s="1">
        <v>1941</v>
      </c>
      <c r="AL148" s="1">
        <v>204.66632100000001</v>
      </c>
      <c r="AM148" s="8">
        <v>186.31366</v>
      </c>
    </row>
    <row r="149" spans="2:39" ht="15.75" x14ac:dyDescent="0.25">
      <c r="B149" s="8">
        <v>1915</v>
      </c>
      <c r="C149" s="8" t="s">
        <v>1117</v>
      </c>
      <c r="D149" s="8">
        <v>1915</v>
      </c>
      <c r="E149" s="8" t="s">
        <v>1904</v>
      </c>
      <c r="F149" s="8" t="str">
        <f t="shared" si="9"/>
        <v>MK</v>
      </c>
      <c r="G149" s="2">
        <v>108.4</v>
      </c>
      <c r="H149" s="2">
        <f>SUMIF(RouteID_Conversion!$P$2:$P$745,MD_BoardingByRoute!D149,RouteID_Conversion!$Q$2:$Q$745)</f>
        <v>28.882336258888142</v>
      </c>
      <c r="K149" s="8">
        <v>217</v>
      </c>
      <c r="L149" s="8">
        <v>7.2724208831799997</v>
      </c>
      <c r="M149" s="8">
        <v>40.875431060799997</v>
      </c>
      <c r="N149" s="2">
        <v>24.7</v>
      </c>
      <c r="O149" s="2">
        <v>362.9</v>
      </c>
      <c r="P149" s="1"/>
      <c r="Q149" s="1"/>
      <c r="U149" s="1">
        <v>2001</v>
      </c>
      <c r="V149" s="1">
        <v>3099.3122560000002</v>
      </c>
      <c r="W149" s="8">
        <v>3130</v>
      </c>
      <c r="X149" s="8">
        <v>3130</v>
      </c>
      <c r="Y149" s="8">
        <v>244.71608000000001</v>
      </c>
      <c r="Z149" s="8">
        <v>254.80508399999999</v>
      </c>
      <c r="AA149" s="8">
        <v>3130</v>
      </c>
      <c r="AB149" s="8">
        <v>196.76731899999999</v>
      </c>
      <c r="AD149" s="8">
        <v>195.86479199999999</v>
      </c>
      <c r="AF149" s="8">
        <v>3130</v>
      </c>
      <c r="AG149" s="8">
        <v>244.71608000000001</v>
      </c>
      <c r="AH149" s="8">
        <f t="shared" si="10"/>
        <v>0</v>
      </c>
      <c r="AK149" s="1">
        <v>2001</v>
      </c>
      <c r="AL149" s="1">
        <v>3099.3122560000002</v>
      </c>
      <c r="AM149" s="8">
        <v>3720.3103030000002</v>
      </c>
    </row>
    <row r="150" spans="2:39" ht="15.75" x14ac:dyDescent="0.25">
      <c r="B150" s="8">
        <v>1921</v>
      </c>
      <c r="C150" s="8" t="s">
        <v>1798</v>
      </c>
      <c r="D150" s="8">
        <v>1921</v>
      </c>
      <c r="E150" s="8" t="s">
        <v>1905</v>
      </c>
      <c r="F150" s="8" t="str">
        <f t="shared" si="9"/>
        <v>MK</v>
      </c>
      <c r="G150" s="2">
        <v>88.1</v>
      </c>
      <c r="H150" s="2">
        <f>SUMIF(RouteID_Conversion!$P$2:$P$745,MD_BoardingByRoute!D150,RouteID_Conversion!$Q$2:$Q$745)</f>
        <v>166.12105703353848</v>
      </c>
      <c r="K150" s="8">
        <v>218</v>
      </c>
      <c r="L150" s="8">
        <v>36.3620986938</v>
      </c>
      <c r="M150" s="8">
        <v>40.243335723900003</v>
      </c>
      <c r="N150" s="2">
        <v>4.2</v>
      </c>
      <c r="O150" s="2">
        <v>282.2</v>
      </c>
      <c r="P150" s="1"/>
      <c r="Q150" s="1"/>
      <c r="U150" s="1">
        <v>2002</v>
      </c>
      <c r="V150" s="1">
        <v>1505.394043</v>
      </c>
      <c r="W150" s="8">
        <v>3131</v>
      </c>
      <c r="X150" s="8">
        <v>3131</v>
      </c>
      <c r="Y150" s="8">
        <v>436.05721999999997</v>
      </c>
      <c r="Z150" s="8">
        <v>440.72412100000003</v>
      </c>
      <c r="AA150" s="8">
        <v>3131</v>
      </c>
      <c r="AB150" s="8">
        <v>359.18862899999999</v>
      </c>
      <c r="AD150" s="8">
        <v>359.62042200000002</v>
      </c>
      <c r="AF150" s="8">
        <v>3131</v>
      </c>
      <c r="AG150" s="8">
        <v>436.05721999999997</v>
      </c>
      <c r="AH150" s="8">
        <f t="shared" si="10"/>
        <v>0</v>
      </c>
      <c r="AK150" s="1">
        <v>2002</v>
      </c>
      <c r="AL150" s="1">
        <v>1505.394043</v>
      </c>
      <c r="AM150" s="8">
        <v>1888.5360109999999</v>
      </c>
    </row>
    <row r="151" spans="2:39" ht="15.75" x14ac:dyDescent="0.25">
      <c r="C151" s="8" t="s">
        <v>1907</v>
      </c>
      <c r="D151" s="8">
        <v>1952</v>
      </c>
      <c r="E151" s="8" t="s">
        <v>1908</v>
      </c>
      <c r="F151" s="8" t="str">
        <f t="shared" si="9"/>
        <v>MK</v>
      </c>
      <c r="G151" s="2">
        <v>37.1</v>
      </c>
      <c r="H151" s="2">
        <f>SUMIF(RouteID_Conversion!$P$2:$P$745,MD_BoardingByRoute!D151,RouteID_Conversion!$Q$2:$Q$745)</f>
        <v>24.416028022766099</v>
      </c>
      <c r="K151" s="8">
        <v>220</v>
      </c>
      <c r="L151" s="8">
        <v>7.1914019584700002</v>
      </c>
      <c r="M151" s="8">
        <v>35.673313140899999</v>
      </c>
      <c r="N151" s="2">
        <v>95.8</v>
      </c>
      <c r="O151" s="2">
        <v>280.3</v>
      </c>
      <c r="P151" s="1"/>
      <c r="Q151" s="1"/>
      <c r="U151" s="1">
        <v>2010</v>
      </c>
      <c r="V151" s="1">
        <v>263.101654</v>
      </c>
      <c r="W151" s="8">
        <v>3202</v>
      </c>
      <c r="X151" s="8">
        <v>3202</v>
      </c>
      <c r="Y151" s="8">
        <v>1260.524658</v>
      </c>
      <c r="Z151" s="8">
        <v>1445.355957</v>
      </c>
      <c r="AA151" s="8">
        <v>3202</v>
      </c>
      <c r="AB151" s="8">
        <v>1184.9433590000001</v>
      </c>
      <c r="AD151" s="8">
        <v>1183.5517580000001</v>
      </c>
      <c r="AF151" s="8">
        <v>3202</v>
      </c>
      <c r="AG151" s="8">
        <v>1260.524658</v>
      </c>
      <c r="AH151" s="8">
        <f t="shared" si="10"/>
        <v>0</v>
      </c>
      <c r="AK151" s="1">
        <v>2010</v>
      </c>
      <c r="AL151" s="1">
        <v>263.101654</v>
      </c>
      <c r="AM151" s="8">
        <v>307.66522200000003</v>
      </c>
    </row>
    <row r="152" spans="2:39" ht="15.75" x14ac:dyDescent="0.25">
      <c r="B152" s="8">
        <v>1975</v>
      </c>
      <c r="C152" s="8" t="s">
        <v>2104</v>
      </c>
      <c r="D152" s="8">
        <v>1975</v>
      </c>
      <c r="E152" s="8" t="s">
        <v>2105</v>
      </c>
      <c r="F152" s="8" t="str">
        <f t="shared" si="9"/>
        <v>WF</v>
      </c>
      <c r="G152" s="2">
        <v>260</v>
      </c>
      <c r="H152" s="2">
        <f>SUMIF(RouteID_Conversion!$P$2:$P$745,MD_BoardingByRoute!D152,RouteID_Conversion!$Q$2:$Q$745)</f>
        <v>0</v>
      </c>
      <c r="I152" s="8">
        <v>68.859336853000002</v>
      </c>
      <c r="K152" s="8">
        <v>448</v>
      </c>
      <c r="L152" s="8">
        <v>113.78639984100001</v>
      </c>
      <c r="M152" s="8">
        <v>68.147445678699995</v>
      </c>
      <c r="N152" s="2"/>
      <c r="O152" s="2">
        <v>520</v>
      </c>
      <c r="P152" s="1"/>
      <c r="Q152" s="1"/>
      <c r="U152" s="1"/>
      <c r="AD152" s="8">
        <v>240.25775100000001</v>
      </c>
      <c r="AF152" s="8">
        <v>3221</v>
      </c>
      <c r="AG152" s="8">
        <v>260.39163200000002</v>
      </c>
      <c r="AH152" s="8">
        <f t="shared" si="10"/>
        <v>-3221</v>
      </c>
      <c r="AK152" s="1">
        <v>2011</v>
      </c>
      <c r="AL152" s="1">
        <v>355.983856</v>
      </c>
      <c r="AM152" s="8">
        <v>408.76611300000002</v>
      </c>
    </row>
    <row r="153" spans="2:39" ht="15.75" x14ac:dyDescent="0.25">
      <c r="B153" s="8">
        <v>2001</v>
      </c>
      <c r="C153" s="8" t="s">
        <v>480</v>
      </c>
      <c r="D153" s="8">
        <v>2001</v>
      </c>
      <c r="E153" s="8" t="s">
        <v>479</v>
      </c>
      <c r="F153" s="8" t="str">
        <f t="shared" si="9"/>
        <v>PT</v>
      </c>
      <c r="G153" s="2">
        <v>3270.727272727273</v>
      </c>
      <c r="H153" s="2">
        <f>SUMIF(RouteID_Conversion!$P$2:$P$745,MD_BoardingByRoute!D153,RouteID_Conversion!$Q$2:$Q$745)</f>
        <v>3448.7446746826145</v>
      </c>
      <c r="K153" s="8">
        <v>221</v>
      </c>
      <c r="L153" s="8">
        <v>48.287574768100001</v>
      </c>
      <c r="M153" s="8">
        <v>46.684043884300003</v>
      </c>
      <c r="N153" s="2">
        <v>442.18181818181819</v>
      </c>
      <c r="O153" s="2">
        <v>7922.0909090909099</v>
      </c>
      <c r="P153" s="1"/>
      <c r="Q153" s="1"/>
      <c r="U153" s="1">
        <v>2011</v>
      </c>
      <c r="V153" s="1">
        <v>355.983856</v>
      </c>
      <c r="W153" s="8">
        <v>3221</v>
      </c>
      <c r="X153" s="8">
        <v>3221</v>
      </c>
      <c r="Y153" s="8">
        <v>260.39163200000002</v>
      </c>
      <c r="Z153" s="8">
        <v>294.849243</v>
      </c>
      <c r="AA153" s="8">
        <v>3221</v>
      </c>
      <c r="AB153" s="8">
        <v>240.358521</v>
      </c>
      <c r="AD153" s="8">
        <v>183.367569</v>
      </c>
      <c r="AF153" s="8">
        <v>3222</v>
      </c>
      <c r="AG153" s="8">
        <v>203.81587200000001</v>
      </c>
      <c r="AH153" s="8">
        <f t="shared" si="10"/>
        <v>-1</v>
      </c>
      <c r="AK153" s="1">
        <v>2013</v>
      </c>
      <c r="AL153" s="1">
        <v>140.596283</v>
      </c>
      <c r="AM153" s="8">
        <v>151.24556000000001</v>
      </c>
    </row>
    <row r="154" spans="2:39" ht="15.75" x14ac:dyDescent="0.25">
      <c r="B154" s="8">
        <v>2002</v>
      </c>
      <c r="C154" s="8" t="s">
        <v>806</v>
      </c>
      <c r="D154" s="8">
        <v>2002</v>
      </c>
      <c r="E154" s="8" t="s">
        <v>805</v>
      </c>
      <c r="F154" s="8" t="str">
        <f t="shared" si="9"/>
        <v>PT</v>
      </c>
      <c r="G154" s="2">
        <v>1756.0454545454545</v>
      </c>
      <c r="H154" s="2">
        <f>SUMIF(RouteID_Conversion!$P$2:$P$745,MD_BoardingByRoute!D154,RouteID_Conversion!$Q$2:$Q$745)</f>
        <v>1583.591850280759</v>
      </c>
      <c r="K154" s="8">
        <v>222</v>
      </c>
      <c r="L154" s="8">
        <v>26.321115493800001</v>
      </c>
      <c r="M154" s="8">
        <v>41.449489593499997</v>
      </c>
      <c r="N154" s="2">
        <v>113.72727272727272</v>
      </c>
      <c r="O154" s="2">
        <v>3887.5909090909086</v>
      </c>
      <c r="P154" s="1"/>
      <c r="Q154" s="1"/>
      <c r="U154" s="1">
        <v>2013</v>
      </c>
      <c r="V154" s="1">
        <v>140.596283</v>
      </c>
      <c r="W154" s="8">
        <v>3222</v>
      </c>
      <c r="X154" s="8">
        <v>3222</v>
      </c>
      <c r="Y154" s="8">
        <v>203.81587200000001</v>
      </c>
      <c r="Z154" s="8">
        <v>231.764725</v>
      </c>
      <c r="AA154" s="8">
        <v>3222</v>
      </c>
      <c r="AB154" s="8">
        <v>183.29835499999999</v>
      </c>
      <c r="AD154" s="8">
        <v>114.159164</v>
      </c>
      <c r="AF154" s="8">
        <v>3227</v>
      </c>
      <c r="AG154" s="8">
        <v>119.04688299999999</v>
      </c>
      <c r="AH154" s="8">
        <f t="shared" si="10"/>
        <v>-5</v>
      </c>
      <c r="AK154" s="1">
        <v>2016</v>
      </c>
      <c r="AL154" s="1">
        <v>357.68255599999998</v>
      </c>
      <c r="AM154" s="8">
        <v>394.17904700000003</v>
      </c>
    </row>
    <row r="155" spans="2:39" ht="15.75" x14ac:dyDescent="0.25">
      <c r="B155" s="8">
        <v>2003</v>
      </c>
      <c r="C155" s="8" t="s">
        <v>796</v>
      </c>
      <c r="D155" s="8">
        <v>2003</v>
      </c>
      <c r="E155" s="8" t="s">
        <v>795</v>
      </c>
      <c r="F155" s="8" t="str">
        <f t="shared" si="9"/>
        <v>PT</v>
      </c>
      <c r="G155" s="2">
        <v>1464.5</v>
      </c>
      <c r="H155" s="2">
        <f>SUMIF(RouteID_Conversion!$P$2:$P$745,MD_BoardingByRoute!D155,RouteID_Conversion!$Q$2:$Q$745)</f>
        <v>1123.7676544189439</v>
      </c>
      <c r="K155" s="8">
        <v>223</v>
      </c>
      <c r="L155" s="8">
        <v>19.7408390045</v>
      </c>
      <c r="M155" s="8">
        <v>41.449489593499997</v>
      </c>
      <c r="N155" s="2">
        <v>92.454545454545453</v>
      </c>
      <c r="O155" s="2">
        <v>3138.4545454545455</v>
      </c>
      <c r="P155" s="1"/>
      <c r="Q155" s="1"/>
      <c r="U155" s="1">
        <v>2016</v>
      </c>
      <c r="V155" s="1">
        <v>357.68255599999998</v>
      </c>
      <c r="W155" s="8">
        <v>3227</v>
      </c>
      <c r="X155" s="8">
        <v>3227</v>
      </c>
      <c r="Y155" s="8">
        <v>119.04688299999999</v>
      </c>
      <c r="Z155" s="8">
        <v>147.215912</v>
      </c>
      <c r="AA155" s="8">
        <v>3227</v>
      </c>
      <c r="AB155" s="8">
        <v>114.297585</v>
      </c>
      <c r="AD155" s="8">
        <v>228.213165</v>
      </c>
      <c r="AF155" s="8">
        <v>3240</v>
      </c>
      <c r="AG155" s="8">
        <v>238.65817300000001</v>
      </c>
      <c r="AH155" s="8">
        <f t="shared" si="10"/>
        <v>-13</v>
      </c>
      <c r="AK155" s="1">
        <v>2026</v>
      </c>
      <c r="AL155" s="1">
        <v>13.713241999999999</v>
      </c>
      <c r="AM155" s="8">
        <v>16.438330000000001</v>
      </c>
    </row>
    <row r="156" spans="2:39" ht="15.75" x14ac:dyDescent="0.25">
      <c r="B156" s="8">
        <v>2010</v>
      </c>
      <c r="C156" s="8" t="s">
        <v>816</v>
      </c>
      <c r="D156" s="8">
        <v>2010</v>
      </c>
      <c r="E156" s="8" t="s">
        <v>815</v>
      </c>
      <c r="F156" s="8" t="str">
        <f t="shared" si="9"/>
        <v>PT</v>
      </c>
      <c r="G156" s="2">
        <v>347.0454545454545</v>
      </c>
      <c r="H156" s="2">
        <f>SUMIF(RouteID_Conversion!$P$2:$P$745,MD_BoardingByRoute!D156,RouteID_Conversion!$Q$2:$Q$745)</f>
        <v>137.97523307800282</v>
      </c>
      <c r="K156" s="8">
        <v>224</v>
      </c>
      <c r="L156" s="8">
        <v>16.878654480000002</v>
      </c>
      <c r="M156" s="8">
        <v>20.8600845337</v>
      </c>
      <c r="N156" s="2">
        <v>10.954545454545453</v>
      </c>
      <c r="O156" s="2">
        <v>876.13636363636351</v>
      </c>
      <c r="P156" s="1"/>
      <c r="Q156" s="1"/>
      <c r="U156" s="1">
        <v>2026</v>
      </c>
      <c r="V156" s="1">
        <v>13.713241999999999</v>
      </c>
      <c r="W156" s="8">
        <v>3240</v>
      </c>
      <c r="X156" s="8">
        <v>3240</v>
      </c>
      <c r="Y156" s="8">
        <v>238.65817300000001</v>
      </c>
      <c r="Z156" s="8">
        <v>279.48812900000001</v>
      </c>
      <c r="AA156" s="8">
        <v>3240</v>
      </c>
      <c r="AB156" s="8">
        <v>228.78286700000001</v>
      </c>
      <c r="AD156" s="8">
        <v>23.085816999999999</v>
      </c>
      <c r="AF156" s="8">
        <v>3247</v>
      </c>
      <c r="AG156" s="8">
        <v>2.5021930000000001</v>
      </c>
      <c r="AH156" s="8">
        <f t="shared" si="10"/>
        <v>-7</v>
      </c>
      <c r="AK156" s="1">
        <v>2028</v>
      </c>
      <c r="AL156" s="1">
        <v>100.87496899999999</v>
      </c>
      <c r="AM156" s="8">
        <v>148.014374</v>
      </c>
    </row>
    <row r="157" spans="2:39" ht="15.75" x14ac:dyDescent="0.25">
      <c r="B157" s="8">
        <v>2011</v>
      </c>
      <c r="C157" s="8" t="s">
        <v>950</v>
      </c>
      <c r="D157" s="8">
        <v>2011</v>
      </c>
      <c r="E157" s="8" t="s">
        <v>949</v>
      </c>
      <c r="F157" s="8" t="str">
        <f t="shared" si="9"/>
        <v>PT</v>
      </c>
      <c r="G157" s="2">
        <v>286.36363636363637</v>
      </c>
      <c r="H157" s="2">
        <f>SUMIF(RouteID_Conversion!$P$2:$P$745,MD_BoardingByRoute!D157,RouteID_Conversion!$Q$2:$Q$745)</f>
        <v>451.22718238830475</v>
      </c>
      <c r="K157" s="8">
        <v>225</v>
      </c>
      <c r="L157" s="8">
        <v>6.1412124633799996</v>
      </c>
      <c r="M157" s="8">
        <v>27.842617034900002</v>
      </c>
      <c r="N157" s="2">
        <v>54.272727272727266</v>
      </c>
      <c r="O157" s="2">
        <v>765.59090909090901</v>
      </c>
      <c r="P157" s="1"/>
      <c r="Q157" s="1"/>
      <c r="U157" s="1">
        <v>2028</v>
      </c>
      <c r="V157" s="1">
        <v>100.87496899999999</v>
      </c>
      <c r="W157" s="8">
        <v>3247</v>
      </c>
      <c r="X157" s="8">
        <v>3247</v>
      </c>
      <c r="Y157" s="8">
        <v>2.5021930000000001</v>
      </c>
      <c r="Z157" s="8">
        <v>17.904654000000001</v>
      </c>
      <c r="AA157" s="8">
        <v>3247</v>
      </c>
      <c r="AB157" s="8">
        <v>23.591702999999999</v>
      </c>
      <c r="AD157" s="8">
        <v>385.024384</v>
      </c>
      <c r="AF157" s="8">
        <v>3270</v>
      </c>
      <c r="AG157" s="8">
        <v>368.63638300000002</v>
      </c>
      <c r="AH157" s="8">
        <f t="shared" si="10"/>
        <v>-23</v>
      </c>
      <c r="AK157" s="1">
        <v>2041</v>
      </c>
      <c r="AL157" s="1">
        <v>318.60076900000001</v>
      </c>
      <c r="AM157" s="8">
        <v>402.81411700000001</v>
      </c>
    </row>
    <row r="158" spans="2:39" ht="15.75" x14ac:dyDescent="0.25">
      <c r="B158" s="8">
        <v>2013</v>
      </c>
      <c r="C158" s="8" t="s">
        <v>809</v>
      </c>
      <c r="D158" s="8">
        <v>2013</v>
      </c>
      <c r="E158" s="8" t="s">
        <v>808</v>
      </c>
      <c r="F158" s="8" t="str">
        <f t="shared" si="9"/>
        <v>PT</v>
      </c>
      <c r="G158" s="2">
        <v>109.40909090909091</v>
      </c>
      <c r="H158" s="2">
        <f>SUMIF(RouteID_Conversion!$P$2:$P$745,MD_BoardingByRoute!D158,RouteID_Conversion!$Q$2:$Q$745)</f>
        <v>117.7368459701536</v>
      </c>
      <c r="K158" s="8">
        <v>226</v>
      </c>
      <c r="L158" s="8">
        <v>12.282424926799999</v>
      </c>
      <c r="M158" s="8">
        <v>21.035255432100001</v>
      </c>
      <c r="N158" s="2">
        <v>6</v>
      </c>
      <c r="O158" s="2">
        <v>310.04545454545456</v>
      </c>
      <c r="P158" s="1"/>
      <c r="Q158" s="1"/>
      <c r="U158" s="1">
        <v>2041</v>
      </c>
      <c r="V158" s="1">
        <v>318.60076900000001</v>
      </c>
      <c r="W158" s="8">
        <v>3270</v>
      </c>
      <c r="X158" s="8">
        <v>3270</v>
      </c>
      <c r="Y158" s="8">
        <v>368.63638300000002</v>
      </c>
      <c r="Z158" s="8">
        <v>452.004974</v>
      </c>
      <c r="AA158" s="8">
        <v>3270</v>
      </c>
      <c r="AB158" s="8">
        <v>385.52185100000003</v>
      </c>
      <c r="AD158" s="8">
        <v>259.405731</v>
      </c>
      <c r="AF158" s="8">
        <v>3275</v>
      </c>
      <c r="AG158" s="8">
        <v>275.16281099999998</v>
      </c>
      <c r="AH158" s="8">
        <f t="shared" si="10"/>
        <v>-5</v>
      </c>
      <c r="AK158" s="1">
        <v>2042</v>
      </c>
      <c r="AL158" s="1">
        <v>216.52375799999999</v>
      </c>
      <c r="AM158" s="8">
        <v>260.09903000000003</v>
      </c>
    </row>
    <row r="159" spans="2:39" ht="15.75" x14ac:dyDescent="0.25">
      <c r="B159" s="8">
        <v>2016</v>
      </c>
      <c r="C159" s="8" t="s">
        <v>941</v>
      </c>
      <c r="D159" s="8">
        <v>2016</v>
      </c>
      <c r="E159" s="8" t="s">
        <v>940</v>
      </c>
      <c r="F159" s="8" t="str">
        <f t="shared" si="9"/>
        <v>PT</v>
      </c>
      <c r="G159" s="2">
        <v>503.04545454545456</v>
      </c>
      <c r="H159" s="2">
        <f>SUMIF(RouteID_Conversion!$P$2:$P$745,MD_BoardingByRoute!D159,RouteID_Conversion!$Q$2:$Q$745)</f>
        <v>417.21399688720544</v>
      </c>
      <c r="K159" s="8">
        <v>227</v>
      </c>
      <c r="L159" s="8">
        <v>6.1412124633799996</v>
      </c>
      <c r="M159" s="8">
        <v>20.560747146600001</v>
      </c>
      <c r="N159" s="2">
        <v>9.1818181818181817</v>
      </c>
      <c r="O159" s="2">
        <v>1112.7272727272727</v>
      </c>
      <c r="P159" s="1"/>
      <c r="Q159" s="1"/>
      <c r="U159" s="1">
        <v>2042</v>
      </c>
      <c r="V159" s="1">
        <v>216.52375799999999</v>
      </c>
      <c r="W159" s="8">
        <v>3275</v>
      </c>
      <c r="X159" s="8">
        <v>3275</v>
      </c>
      <c r="Y159" s="8">
        <v>275.16281099999998</v>
      </c>
      <c r="Z159" s="8">
        <v>331.40954599999998</v>
      </c>
      <c r="AA159" s="8">
        <v>3275</v>
      </c>
      <c r="AB159" s="8">
        <v>259.74978599999997</v>
      </c>
      <c r="AD159" s="8">
        <v>399.87939499999999</v>
      </c>
      <c r="AF159" s="8">
        <v>3280</v>
      </c>
      <c r="AG159" s="8">
        <v>464.17175300000002</v>
      </c>
      <c r="AH159" s="8">
        <f t="shared" si="10"/>
        <v>-5</v>
      </c>
      <c r="AK159" s="1">
        <v>2045</v>
      </c>
      <c r="AL159" s="1">
        <v>133.35905500000001</v>
      </c>
      <c r="AM159" s="8">
        <v>152.31466699999999</v>
      </c>
    </row>
    <row r="160" spans="2:39" ht="15.75" x14ac:dyDescent="0.25">
      <c r="B160" s="8">
        <v>2026</v>
      </c>
      <c r="C160" s="8" t="s">
        <v>991</v>
      </c>
      <c r="D160" s="8">
        <v>2026</v>
      </c>
      <c r="E160" s="8" t="s">
        <v>990</v>
      </c>
      <c r="F160" s="8" t="str">
        <f t="shared" si="9"/>
        <v>PT</v>
      </c>
      <c r="G160" s="2">
        <v>66.181818181818187</v>
      </c>
      <c r="H160" s="2">
        <f>SUMIF(RouteID_Conversion!$P$2:$P$745,MD_BoardingByRoute!D160,RouteID_Conversion!$Q$2:$Q$745)</f>
        <v>28.823591709136899</v>
      </c>
      <c r="K160" s="8">
        <v>228</v>
      </c>
      <c r="L160" s="8">
        <v>21.593067169200001</v>
      </c>
      <c r="M160" s="8">
        <v>33.285533905000001</v>
      </c>
      <c r="N160" s="2">
        <v>0.27272727272727271</v>
      </c>
      <c r="O160" s="2">
        <v>123.36363636363636</v>
      </c>
      <c r="P160" s="1"/>
      <c r="Q160" s="1"/>
      <c r="U160" s="1">
        <v>2045</v>
      </c>
      <c r="V160" s="1">
        <v>133.35905500000001</v>
      </c>
      <c r="W160" s="8">
        <v>3280</v>
      </c>
      <c r="X160" s="8">
        <v>3280</v>
      </c>
      <c r="Y160" s="8">
        <v>464.17175300000002</v>
      </c>
      <c r="Z160" s="8">
        <v>515.73449700000003</v>
      </c>
      <c r="AA160" s="8">
        <v>3280</v>
      </c>
      <c r="AB160" s="8">
        <v>400.55157500000001</v>
      </c>
      <c r="AD160" s="8">
        <v>152.74572800000001</v>
      </c>
      <c r="AF160" s="8">
        <v>3414</v>
      </c>
      <c r="AG160" s="8">
        <v>172.59841900000001</v>
      </c>
      <c r="AH160" s="8">
        <f t="shared" si="10"/>
        <v>-134</v>
      </c>
      <c r="AK160" s="1">
        <v>2048</v>
      </c>
      <c r="AL160" s="1">
        <v>400.67468300000002</v>
      </c>
      <c r="AM160" s="8">
        <v>394.42980999999997</v>
      </c>
    </row>
    <row r="161" spans="2:39" ht="15.75" x14ac:dyDescent="0.25">
      <c r="B161" s="8">
        <v>2028</v>
      </c>
      <c r="C161" s="8" t="s">
        <v>432</v>
      </c>
      <c r="D161" s="8">
        <v>2028</v>
      </c>
      <c r="E161" s="8" t="s">
        <v>431</v>
      </c>
      <c r="F161" s="8" t="str">
        <f t="shared" si="9"/>
        <v>PT</v>
      </c>
      <c r="G161" s="2">
        <v>463.27272727272725</v>
      </c>
      <c r="H161" s="2">
        <f>SUMIF(RouteID_Conversion!$P$2:$P$745,MD_BoardingByRoute!D161,RouteID_Conversion!$Q$2:$Q$745)</f>
        <v>88.048532485961815</v>
      </c>
      <c r="K161" s="8">
        <v>229</v>
      </c>
      <c r="L161" s="8">
        <v>4.4313216209400004</v>
      </c>
      <c r="M161" s="8">
        <v>33.0355300903</v>
      </c>
      <c r="N161" s="2">
        <v>12.863636363636363</v>
      </c>
      <c r="O161" s="2">
        <v>1139.0454545454545</v>
      </c>
      <c r="P161" s="1"/>
      <c r="Q161" s="1"/>
      <c r="U161" s="1">
        <v>2048</v>
      </c>
      <c r="V161" s="1">
        <v>400.67468300000002</v>
      </c>
      <c r="W161" s="8">
        <v>3414</v>
      </c>
      <c r="X161" s="8">
        <v>3414</v>
      </c>
      <c r="Y161" s="8">
        <v>172.59841900000001</v>
      </c>
      <c r="Z161" s="8">
        <v>176.17591899999999</v>
      </c>
      <c r="AA161" s="8">
        <v>3414</v>
      </c>
      <c r="AB161" s="8">
        <v>151.31274400000001</v>
      </c>
      <c r="AD161" s="8">
        <v>9.8749310000000001</v>
      </c>
      <c r="AF161" s="8">
        <v>3421</v>
      </c>
      <c r="AG161" s="8">
        <v>11.756679999999999</v>
      </c>
      <c r="AH161" s="8">
        <f t="shared" si="10"/>
        <v>-7</v>
      </c>
      <c r="AK161" s="1">
        <v>2051</v>
      </c>
      <c r="AL161" s="1">
        <v>86.314994999999996</v>
      </c>
      <c r="AM161" s="8">
        <v>95.282630999999995</v>
      </c>
    </row>
    <row r="162" spans="2:39" ht="15.75" x14ac:dyDescent="0.25">
      <c r="B162" s="8">
        <v>2041</v>
      </c>
      <c r="C162" s="8" t="s">
        <v>783</v>
      </c>
      <c r="D162" s="8">
        <v>2041</v>
      </c>
      <c r="E162" s="8" t="s">
        <v>782</v>
      </c>
      <c r="F162" s="8" t="str">
        <f t="shared" si="9"/>
        <v>PT</v>
      </c>
      <c r="G162" s="2">
        <v>459.86363636363637</v>
      </c>
      <c r="H162" s="2">
        <f>SUMIF(RouteID_Conversion!$P$2:$P$745,MD_BoardingByRoute!D162,RouteID_Conversion!$Q$2:$Q$745)</f>
        <v>347.03785133361799</v>
      </c>
      <c r="K162" s="8">
        <v>230</v>
      </c>
      <c r="L162" s="8">
        <v>4.4313216209400004</v>
      </c>
      <c r="M162" s="8">
        <v>32.537754058799997</v>
      </c>
      <c r="N162" s="2">
        <v>70.454545454545467</v>
      </c>
      <c r="O162" s="2">
        <v>1153.0909090909092</v>
      </c>
      <c r="P162" s="1"/>
      <c r="Q162" s="1"/>
      <c r="U162" s="1">
        <v>2051</v>
      </c>
      <c r="V162" s="1">
        <v>86.314994999999996</v>
      </c>
      <c r="W162" s="8">
        <v>3421</v>
      </c>
      <c r="X162" s="8">
        <v>3421</v>
      </c>
      <c r="Y162" s="8">
        <v>11.756679999999999</v>
      </c>
      <c r="Z162" s="8">
        <v>13.005558000000001</v>
      </c>
      <c r="AA162" s="8">
        <v>3421</v>
      </c>
      <c r="AB162" s="8">
        <v>9.8615670000000009</v>
      </c>
      <c r="AD162" s="8">
        <v>1721.9047849999999</v>
      </c>
      <c r="AF162" s="8">
        <v>3701</v>
      </c>
      <c r="AG162" s="8">
        <v>1868.4185789999999</v>
      </c>
      <c r="AH162" s="8">
        <f t="shared" si="10"/>
        <v>-280</v>
      </c>
      <c r="AK162" s="1">
        <v>2052</v>
      </c>
      <c r="AL162" s="1">
        <v>213.03907799999999</v>
      </c>
      <c r="AM162" s="8">
        <v>276.66897599999999</v>
      </c>
    </row>
    <row r="163" spans="2:39" ht="15.75" x14ac:dyDescent="0.25">
      <c r="B163" s="8">
        <v>2042</v>
      </c>
      <c r="C163" s="8" t="s">
        <v>476</v>
      </c>
      <c r="D163" s="8">
        <v>2042</v>
      </c>
      <c r="E163" s="8" t="s">
        <v>475</v>
      </c>
      <c r="F163" s="8" t="str">
        <f t="shared" si="9"/>
        <v>PT</v>
      </c>
      <c r="G163" s="2">
        <v>386.31818181818181</v>
      </c>
      <c r="H163" s="2">
        <f>SUMIF(RouteID_Conversion!$P$2:$P$745,MD_BoardingByRoute!D163,RouteID_Conversion!$Q$2:$Q$745)</f>
        <v>205.71679353713969</v>
      </c>
      <c r="K163" s="8">
        <v>231</v>
      </c>
      <c r="L163" s="8">
        <v>2.80488181114</v>
      </c>
      <c r="M163" s="8">
        <v>28.690809249899999</v>
      </c>
      <c r="N163" s="2">
        <v>20.363636363636363</v>
      </c>
      <c r="O163" s="2">
        <v>912.59090909090901</v>
      </c>
      <c r="P163" s="1"/>
      <c r="Q163" s="1"/>
      <c r="U163" s="1">
        <v>2052</v>
      </c>
      <c r="V163" s="1">
        <v>213.03907799999999</v>
      </c>
      <c r="W163" s="8">
        <v>3701</v>
      </c>
      <c r="X163" s="8">
        <v>3701</v>
      </c>
      <c r="Y163" s="8">
        <v>1868.4185789999999</v>
      </c>
      <c r="Z163" s="8">
        <v>1975.5242920000001</v>
      </c>
      <c r="AA163" s="8">
        <v>3701</v>
      </c>
      <c r="AB163" s="8">
        <v>1726.5074460000001</v>
      </c>
      <c r="AD163" s="8">
        <v>34.719070000000002</v>
      </c>
      <c r="AF163" s="8">
        <v>3855</v>
      </c>
      <c r="AG163" s="8">
        <v>50.994357999999998</v>
      </c>
      <c r="AH163" s="8">
        <f t="shared" si="10"/>
        <v>-154</v>
      </c>
      <c r="AK163" s="1">
        <v>2053</v>
      </c>
      <c r="AL163" s="1">
        <v>573.70898399999999</v>
      </c>
      <c r="AM163" s="8">
        <v>712.66577099999995</v>
      </c>
    </row>
    <row r="164" spans="2:39" ht="15.75" x14ac:dyDescent="0.25">
      <c r="B164" s="8">
        <v>2045</v>
      </c>
      <c r="C164" s="8" t="s">
        <v>369</v>
      </c>
      <c r="D164" s="8">
        <v>2045</v>
      </c>
      <c r="E164" s="8" t="s">
        <v>368</v>
      </c>
      <c r="F164" s="8" t="str">
        <f t="shared" si="9"/>
        <v>PT</v>
      </c>
      <c r="G164" s="2">
        <v>282.31818181818181</v>
      </c>
      <c r="H164" s="2">
        <f>SUMIF(RouteID_Conversion!$P$2:$P$745,MD_BoardingByRoute!D164,RouteID_Conversion!$Q$2:$Q$745)</f>
        <v>31.633765995502397</v>
      </c>
      <c r="K164" s="8">
        <v>232</v>
      </c>
      <c r="L164" s="8">
        <v>33.334228515600003</v>
      </c>
      <c r="M164" s="8">
        <v>30.943700790400001</v>
      </c>
      <c r="N164" s="2">
        <v>0.45454545454545453</v>
      </c>
      <c r="O164" s="2">
        <v>751.90909090909099</v>
      </c>
      <c r="P164" s="1"/>
      <c r="Q164" s="1"/>
      <c r="U164" s="1">
        <v>2053</v>
      </c>
      <c r="V164" s="1">
        <v>573.70898399999999</v>
      </c>
      <c r="W164" s="8">
        <v>3855</v>
      </c>
      <c r="X164" s="8">
        <v>3855</v>
      </c>
      <c r="Y164" s="8">
        <v>50.994357999999998</v>
      </c>
      <c r="Z164" s="8">
        <v>35.873916999999999</v>
      </c>
      <c r="AA164" s="8">
        <v>3855</v>
      </c>
      <c r="AB164" s="8">
        <v>34.830956</v>
      </c>
      <c r="AD164" s="8">
        <v>90.664664999999999</v>
      </c>
      <c r="AF164" s="8">
        <v>3870</v>
      </c>
      <c r="AG164" s="8">
        <v>138.695526</v>
      </c>
      <c r="AH164" s="8">
        <f t="shared" si="10"/>
        <v>-15</v>
      </c>
      <c r="AK164" s="1">
        <v>2054</v>
      </c>
      <c r="AL164" s="1">
        <v>215.67439300000001</v>
      </c>
      <c r="AM164" s="8">
        <v>261.73132299999997</v>
      </c>
    </row>
    <row r="165" spans="2:39" ht="15.75" x14ac:dyDescent="0.25">
      <c r="B165" s="8">
        <v>2048</v>
      </c>
      <c r="C165" s="8" t="s">
        <v>366</v>
      </c>
      <c r="D165" s="8">
        <v>2048</v>
      </c>
      <c r="E165" s="8" t="s">
        <v>365</v>
      </c>
      <c r="F165" s="8" t="str">
        <f t="shared" si="9"/>
        <v>PT</v>
      </c>
      <c r="G165" s="2">
        <v>602.5454545454545</v>
      </c>
      <c r="H165" s="2">
        <f>SUMIF(RouteID_Conversion!$P$2:$P$745,MD_BoardingByRoute!D165,RouteID_Conversion!$Q$2:$Q$745)</f>
        <v>318.24867248535043</v>
      </c>
      <c r="K165" s="8">
        <v>233</v>
      </c>
      <c r="L165" s="8">
        <v>5.5557045936599998</v>
      </c>
      <c r="M165" s="8">
        <v>30.943700790400001</v>
      </c>
      <c r="N165" s="2">
        <v>54.36363636363636</v>
      </c>
      <c r="O165" s="2">
        <v>1522.9090909090908</v>
      </c>
      <c r="P165" s="1"/>
      <c r="Q165" s="1"/>
      <c r="U165" s="1">
        <v>2054</v>
      </c>
      <c r="V165" s="1">
        <v>215.67439300000001</v>
      </c>
      <c r="W165" s="8">
        <v>3870</v>
      </c>
      <c r="X165" s="8">
        <v>3870</v>
      </c>
      <c r="Y165" s="8">
        <v>138.695526</v>
      </c>
      <c r="Z165" s="8">
        <v>100.216133</v>
      </c>
      <c r="AA165" s="8">
        <v>3870</v>
      </c>
      <c r="AB165" s="8">
        <v>91.447272999999996</v>
      </c>
      <c r="AD165" s="8">
        <v>277.07952899999998</v>
      </c>
      <c r="AF165" s="8">
        <v>3871</v>
      </c>
      <c r="AG165" s="8">
        <v>296.882812</v>
      </c>
      <c r="AH165" s="8">
        <f t="shared" si="10"/>
        <v>-1</v>
      </c>
      <c r="AK165" s="1">
        <v>2055</v>
      </c>
      <c r="AL165" s="1">
        <v>317.22366299999999</v>
      </c>
      <c r="AM165" s="8">
        <v>345.65585299999998</v>
      </c>
    </row>
    <row r="166" spans="2:39" ht="15.75" x14ac:dyDescent="0.25">
      <c r="B166" s="8">
        <v>2051</v>
      </c>
      <c r="C166" s="8" t="s">
        <v>828</v>
      </c>
      <c r="D166" s="8">
        <v>2051</v>
      </c>
      <c r="E166" s="8" t="s">
        <v>827</v>
      </c>
      <c r="F166" s="8" t="str">
        <f t="shared" si="9"/>
        <v>PT</v>
      </c>
      <c r="G166" s="2">
        <v>112.5</v>
      </c>
      <c r="H166" s="2">
        <f>SUMIF(RouteID_Conversion!$P$2:$P$745,MD_BoardingByRoute!D166,RouteID_Conversion!$Q$2:$Q$745)</f>
        <v>106.23470115661604</v>
      </c>
      <c r="K166" s="8">
        <v>234</v>
      </c>
      <c r="L166" s="8">
        <v>57.305702209499998</v>
      </c>
      <c r="M166" s="8">
        <v>33.506496429400002</v>
      </c>
      <c r="N166" s="2">
        <v>8.9090909090909101</v>
      </c>
      <c r="O166" s="2">
        <v>304.31818181818181</v>
      </c>
      <c r="P166" s="1"/>
      <c r="Q166" s="1"/>
      <c r="U166" s="1">
        <v>2055</v>
      </c>
      <c r="V166" s="1">
        <v>317.22366299999999</v>
      </c>
      <c r="W166" s="8">
        <v>3871</v>
      </c>
      <c r="X166" s="8">
        <v>3871</v>
      </c>
      <c r="Y166" s="8">
        <v>296.882812</v>
      </c>
      <c r="Z166" s="8">
        <v>316.25967400000002</v>
      </c>
      <c r="AA166" s="8">
        <v>3871</v>
      </c>
      <c r="AB166" s="8">
        <v>276.001801</v>
      </c>
      <c r="AD166" s="8">
        <v>1.4300000000000001E-4</v>
      </c>
      <c r="AF166" s="8">
        <v>4005</v>
      </c>
      <c r="AG166" s="8">
        <v>0</v>
      </c>
      <c r="AH166" s="8">
        <f t="shared" si="10"/>
        <v>-134</v>
      </c>
      <c r="AK166" s="1">
        <v>2056</v>
      </c>
      <c r="AL166" s="1">
        <v>272.18533300000001</v>
      </c>
      <c r="AM166" s="8">
        <v>375.45196499999997</v>
      </c>
    </row>
    <row r="167" spans="2:39" ht="15.75" x14ac:dyDescent="0.25">
      <c r="B167" s="8">
        <v>2052</v>
      </c>
      <c r="C167" s="8" t="s">
        <v>864</v>
      </c>
      <c r="D167" s="8">
        <v>2052</v>
      </c>
      <c r="E167" s="8" t="s">
        <v>1909</v>
      </c>
      <c r="F167" s="8" t="str">
        <f t="shared" si="9"/>
        <v>PT</v>
      </c>
      <c r="G167" s="2">
        <v>513.86363636363637</v>
      </c>
      <c r="H167" s="2">
        <f>SUMIF(RouteID_Conversion!$P$2:$P$745,MD_BoardingByRoute!D167,RouteID_Conversion!$Q$2:$Q$745)</f>
        <v>201.80259513854952</v>
      </c>
      <c r="K167" s="8">
        <v>235</v>
      </c>
      <c r="L167" s="8">
        <v>47.325065612800003</v>
      </c>
      <c r="M167" s="8">
        <v>31.387060165400001</v>
      </c>
      <c r="N167" s="2">
        <v>2.0454545454545454</v>
      </c>
      <c r="O167" s="2">
        <v>1139.9545454545455</v>
      </c>
      <c r="P167" s="1"/>
      <c r="Q167" s="1"/>
      <c r="U167" s="1">
        <v>2056</v>
      </c>
      <c r="V167" s="1">
        <v>272.18533300000001</v>
      </c>
      <c r="W167" s="8">
        <v>4005</v>
      </c>
      <c r="X167" s="8">
        <v>4005</v>
      </c>
      <c r="Y167" s="8">
        <v>0</v>
      </c>
      <c r="Z167" s="8">
        <v>0</v>
      </c>
      <c r="AA167" s="8">
        <v>4005</v>
      </c>
      <c r="AB167" s="8">
        <v>2.23E-4</v>
      </c>
      <c r="AD167" s="8">
        <v>91.369461000000001</v>
      </c>
      <c r="AF167" s="8">
        <v>4008</v>
      </c>
      <c r="AG167" s="8">
        <v>73.373931999999996</v>
      </c>
      <c r="AH167" s="8">
        <f t="shared" si="10"/>
        <v>-3</v>
      </c>
      <c r="AK167" s="1">
        <v>2057</v>
      </c>
      <c r="AL167" s="1">
        <v>108.295815</v>
      </c>
      <c r="AM167" s="8">
        <v>127.67382000000001</v>
      </c>
    </row>
    <row r="168" spans="2:39" ht="15.75" x14ac:dyDescent="0.25">
      <c r="B168" s="8">
        <v>2053</v>
      </c>
      <c r="C168" s="8" t="s">
        <v>472</v>
      </c>
      <c r="D168" s="8">
        <v>2053</v>
      </c>
      <c r="E168" s="8" t="s">
        <v>926</v>
      </c>
      <c r="F168" s="8" t="str">
        <f t="shared" si="9"/>
        <v>PT</v>
      </c>
      <c r="G168" s="2">
        <v>732.4545454545455</v>
      </c>
      <c r="H168" s="2">
        <f>SUMIF(RouteID_Conversion!$P$2:$P$745,MD_BoardingByRoute!D168,RouteID_Conversion!$Q$2:$Q$745)</f>
        <v>443.65794277191105</v>
      </c>
      <c r="K168" s="8">
        <v>236</v>
      </c>
      <c r="L168" s="8">
        <v>54.7881317139</v>
      </c>
      <c r="M168" s="8">
        <v>33.979831695599998</v>
      </c>
      <c r="N168" s="2">
        <v>37.13636363636364</v>
      </c>
      <c r="O168" s="2">
        <v>1719.818181818182</v>
      </c>
      <c r="P168" s="1"/>
      <c r="Q168" s="1"/>
      <c r="U168" s="1">
        <v>2057</v>
      </c>
      <c r="V168" s="1">
        <v>108.295815</v>
      </c>
      <c r="W168" s="8">
        <v>4008</v>
      </c>
      <c r="X168" s="8">
        <v>4008</v>
      </c>
      <c r="Y168" s="8">
        <v>73.373931999999996</v>
      </c>
      <c r="Z168" s="8">
        <v>100.531448</v>
      </c>
      <c r="AA168" s="8">
        <v>4008</v>
      </c>
      <c r="AB168" s="8">
        <v>91.616981999999993</v>
      </c>
      <c r="AD168" s="8">
        <v>35.692211</v>
      </c>
      <c r="AF168" s="8">
        <v>4009</v>
      </c>
      <c r="AG168" s="8">
        <v>43.819674999999997</v>
      </c>
      <c r="AH168" s="8">
        <f t="shared" si="10"/>
        <v>-1</v>
      </c>
      <c r="AK168" s="1">
        <v>2059</v>
      </c>
      <c r="AL168" s="1">
        <v>57.234848</v>
      </c>
      <c r="AM168" s="8">
        <v>65.613112999999998</v>
      </c>
    </row>
    <row r="169" spans="2:39" ht="15.75" x14ac:dyDescent="0.25">
      <c r="B169" s="8">
        <v>2054</v>
      </c>
      <c r="C169" s="8" t="s">
        <v>360</v>
      </c>
      <c r="D169" s="8">
        <v>2054</v>
      </c>
      <c r="E169" s="8" t="s">
        <v>359</v>
      </c>
      <c r="F169" s="8" t="str">
        <f t="shared" si="9"/>
        <v>PT</v>
      </c>
      <c r="G169" s="2">
        <v>330.13636363636363</v>
      </c>
      <c r="H169" s="2">
        <f>SUMIF(RouteID_Conversion!$P$2:$P$745,MD_BoardingByRoute!D169,RouteID_Conversion!$Q$2:$Q$745)</f>
        <v>236.10782146453829</v>
      </c>
      <c r="K169" s="8">
        <v>237</v>
      </c>
      <c r="L169" s="8">
        <v>33.649604797400002</v>
      </c>
      <c r="M169" s="8">
        <v>48.566013336200001</v>
      </c>
      <c r="N169" s="2">
        <v>0.40909090909090906</v>
      </c>
      <c r="O169" s="2">
        <v>772.5</v>
      </c>
      <c r="P169" s="1"/>
      <c r="Q169" s="1"/>
      <c r="U169" s="1">
        <v>2059</v>
      </c>
      <c r="V169" s="1">
        <v>57.234848</v>
      </c>
      <c r="W169" s="8">
        <v>4009</v>
      </c>
      <c r="X169" s="8">
        <v>4009</v>
      </c>
      <c r="Y169" s="8">
        <v>43.819674999999997</v>
      </c>
      <c r="Z169" s="8">
        <v>50.719185000000003</v>
      </c>
      <c r="AA169" s="8">
        <v>4009</v>
      </c>
      <c r="AB169" s="8">
        <v>35.701003999999998</v>
      </c>
      <c r="AD169" s="8">
        <v>91.577140999999997</v>
      </c>
      <c r="AF169" s="8">
        <v>4012</v>
      </c>
      <c r="AG169" s="8">
        <v>85.963431999999997</v>
      </c>
      <c r="AH169" s="8">
        <f t="shared" si="10"/>
        <v>-3</v>
      </c>
      <c r="AK169" s="1">
        <v>2061</v>
      </c>
      <c r="AL169" s="1">
        <v>207.959564</v>
      </c>
      <c r="AM169" s="8">
        <v>220.15374800000001</v>
      </c>
    </row>
    <row r="170" spans="2:39" ht="15.75" x14ac:dyDescent="0.25">
      <c r="B170" s="8">
        <v>2055</v>
      </c>
      <c r="C170" s="8" t="s">
        <v>356</v>
      </c>
      <c r="D170" s="8">
        <v>2055</v>
      </c>
      <c r="E170" s="8" t="s">
        <v>1910</v>
      </c>
      <c r="F170" s="8" t="str">
        <f t="shared" si="9"/>
        <v>PT</v>
      </c>
      <c r="G170" s="2">
        <v>505.63636363636363</v>
      </c>
      <c r="H170" s="2">
        <f>SUMIF(RouteID_Conversion!$P$2:$P$745,MD_BoardingByRoute!D170,RouteID_Conversion!$Q$2:$Q$745)</f>
        <v>177.4991044998165</v>
      </c>
      <c r="K170" s="8">
        <v>238</v>
      </c>
      <c r="L170" s="8">
        <v>153.86375427199999</v>
      </c>
      <c r="M170" s="8">
        <v>46.2812271118</v>
      </c>
      <c r="N170" s="2">
        <v>0.81818181818181812</v>
      </c>
      <c r="O170" s="2">
        <v>1171.9090909090908</v>
      </c>
      <c r="P170" s="1"/>
      <c r="Q170" s="1"/>
      <c r="U170" s="1">
        <v>2061</v>
      </c>
      <c r="V170" s="1">
        <v>207.959564</v>
      </c>
      <c r="W170" s="8">
        <v>4012</v>
      </c>
      <c r="X170" s="8">
        <v>4012</v>
      </c>
      <c r="Y170" s="8">
        <v>85.963431999999997</v>
      </c>
      <c r="Z170" s="8">
        <v>102.30091899999999</v>
      </c>
      <c r="AA170" s="8">
        <v>4012</v>
      </c>
      <c r="AB170" s="8">
        <v>91.56353</v>
      </c>
      <c r="AD170" s="8">
        <v>188.636032</v>
      </c>
      <c r="AF170" s="8">
        <v>4013</v>
      </c>
      <c r="AG170" s="8">
        <v>201.24418600000001</v>
      </c>
      <c r="AH170" s="8">
        <f t="shared" si="10"/>
        <v>-1</v>
      </c>
      <c r="AK170" s="1">
        <v>2100</v>
      </c>
      <c r="AL170" s="1">
        <v>358.87380999999999</v>
      </c>
      <c r="AM170" s="8">
        <v>513.96423300000004</v>
      </c>
    </row>
    <row r="171" spans="2:39" ht="15.75" x14ac:dyDescent="0.25">
      <c r="B171" s="8">
        <v>2056</v>
      </c>
      <c r="C171" s="8" t="s">
        <v>352</v>
      </c>
      <c r="D171" s="8">
        <v>2056</v>
      </c>
      <c r="E171" s="8" t="s">
        <v>351</v>
      </c>
      <c r="F171" s="8" t="str">
        <f t="shared" si="9"/>
        <v>PT</v>
      </c>
      <c r="G171" s="2">
        <v>193.18181818181819</v>
      </c>
      <c r="H171" s="2">
        <f>SUMIF(RouteID_Conversion!$P$2:$P$745,MD_BoardingByRoute!D171,RouteID_Conversion!$Q$2:$Q$745)</f>
        <v>83.97155666351307</v>
      </c>
      <c r="K171" s="8">
        <v>239</v>
      </c>
      <c r="L171" s="8">
        <v>67.299209594700002</v>
      </c>
      <c r="M171" s="8">
        <v>48.566013336200001</v>
      </c>
      <c r="N171" s="2">
        <v>9.0909090909090912E-2</v>
      </c>
      <c r="O171" s="2">
        <v>544.5</v>
      </c>
      <c r="P171" s="1"/>
      <c r="Q171" s="1"/>
      <c r="U171" s="1">
        <v>2100</v>
      </c>
      <c r="V171" s="1">
        <v>358.87380999999999</v>
      </c>
      <c r="W171" s="8">
        <v>4013</v>
      </c>
      <c r="X171" s="8">
        <v>4013</v>
      </c>
      <c r="Y171" s="8">
        <v>201.24418600000001</v>
      </c>
      <c r="Z171" s="8">
        <v>226.17747499999999</v>
      </c>
      <c r="AA171" s="8">
        <v>4013</v>
      </c>
      <c r="AB171" s="8">
        <v>188.66845699999999</v>
      </c>
      <c r="AD171" s="8">
        <v>167.49595600000001</v>
      </c>
      <c r="AF171" s="8">
        <v>4017</v>
      </c>
      <c r="AG171" s="8">
        <v>180.431793</v>
      </c>
      <c r="AH171" s="8">
        <f t="shared" si="10"/>
        <v>-4</v>
      </c>
      <c r="AK171" s="1">
        <v>2102</v>
      </c>
      <c r="AL171" s="1">
        <v>156.25114400000001</v>
      </c>
      <c r="AM171" s="8">
        <v>460.26556399999998</v>
      </c>
    </row>
    <row r="172" spans="2:39" ht="15.75" x14ac:dyDescent="0.25">
      <c r="B172" s="8">
        <v>2057</v>
      </c>
      <c r="C172" s="8" t="s">
        <v>923</v>
      </c>
      <c r="D172" s="8">
        <v>2057</v>
      </c>
      <c r="E172" s="8" t="s">
        <v>922</v>
      </c>
      <c r="F172" s="8" t="str">
        <f t="shared" si="9"/>
        <v>PT</v>
      </c>
      <c r="G172" s="2">
        <v>582.5454545454545</v>
      </c>
      <c r="H172" s="2">
        <f>SUMIF(RouteID_Conversion!$P$2:$P$745,MD_BoardingByRoute!D172,RouteID_Conversion!$Q$2:$Q$745)</f>
        <v>234.70677471160849</v>
      </c>
      <c r="K172" s="8">
        <v>240</v>
      </c>
      <c r="L172" s="8">
        <v>134.42433166500001</v>
      </c>
      <c r="M172" s="8">
        <v>47.083671569800003</v>
      </c>
      <c r="N172" s="2">
        <v>11.636363636363637</v>
      </c>
      <c r="O172" s="2">
        <v>1174.6818181818182</v>
      </c>
      <c r="P172" s="1"/>
      <c r="Q172" s="1"/>
      <c r="U172" s="1">
        <v>2102</v>
      </c>
      <c r="V172" s="1">
        <v>156.25114400000001</v>
      </c>
      <c r="W172" s="8">
        <v>4017</v>
      </c>
      <c r="X172" s="8">
        <v>4017</v>
      </c>
      <c r="Y172" s="8">
        <v>180.431793</v>
      </c>
      <c r="Z172" s="8">
        <v>204.94313</v>
      </c>
      <c r="AA172" s="8">
        <v>4017</v>
      </c>
      <c r="AB172" s="8">
        <v>167.52398700000001</v>
      </c>
      <c r="AD172" s="8">
        <v>44.786133</v>
      </c>
      <c r="AF172" s="8">
        <v>4020</v>
      </c>
      <c r="AG172" s="8">
        <v>58.403995999999999</v>
      </c>
      <c r="AH172" s="8">
        <f t="shared" si="10"/>
        <v>-3</v>
      </c>
      <c r="AK172" s="1">
        <v>2113</v>
      </c>
      <c r="AL172" s="1">
        <v>17.567976000000002</v>
      </c>
      <c r="AM172" s="8">
        <v>27.944901999999999</v>
      </c>
    </row>
    <row r="173" spans="2:39" ht="15.75" x14ac:dyDescent="0.25">
      <c r="B173" s="8">
        <v>2059</v>
      </c>
      <c r="C173" s="8" t="s">
        <v>767</v>
      </c>
      <c r="D173" s="8">
        <v>2059</v>
      </c>
      <c r="E173" s="8" t="s">
        <v>766</v>
      </c>
      <c r="F173" s="8" t="str">
        <f t="shared" si="9"/>
        <v>PT</v>
      </c>
      <c r="G173" s="2">
        <v>37.545454545454547</v>
      </c>
      <c r="H173" s="2">
        <f>SUMIF(RouteID_Conversion!$P$2:$P$745,MD_BoardingByRoute!D173,RouteID_Conversion!$Q$2:$Q$745)</f>
        <v>22.000683784484831</v>
      </c>
      <c r="K173" s="8">
        <v>241</v>
      </c>
      <c r="L173" s="8">
        <v>74.816864013699998</v>
      </c>
      <c r="M173" s="8">
        <v>48.527107238799999</v>
      </c>
      <c r="N173" s="2">
        <v>9.0909090909090912E-2</v>
      </c>
      <c r="O173" s="2">
        <v>76.318181818181827</v>
      </c>
      <c r="P173" s="1"/>
      <c r="Q173" s="1"/>
      <c r="U173" s="1">
        <v>2113</v>
      </c>
      <c r="V173" s="1">
        <v>17.567976000000002</v>
      </c>
      <c r="W173" s="8">
        <v>4020</v>
      </c>
      <c r="X173" s="8">
        <v>4020</v>
      </c>
      <c r="Y173" s="8">
        <v>58.403995999999999</v>
      </c>
      <c r="Z173" s="8">
        <v>58.728382000000003</v>
      </c>
      <c r="AA173" s="8">
        <v>4020</v>
      </c>
      <c r="AB173" s="8">
        <v>44.771248</v>
      </c>
      <c r="AD173" s="8">
        <v>57.335751000000002</v>
      </c>
      <c r="AF173" s="8">
        <v>4021</v>
      </c>
      <c r="AG173" s="8">
        <v>66.089043000000004</v>
      </c>
      <c r="AH173" s="8">
        <f t="shared" si="10"/>
        <v>-1</v>
      </c>
      <c r="AK173" s="1">
        <v>2202</v>
      </c>
      <c r="AL173" s="1">
        <v>563.67797900000005</v>
      </c>
      <c r="AM173" s="8">
        <v>702.11499000000003</v>
      </c>
    </row>
    <row r="174" spans="2:39" ht="15.75" x14ac:dyDescent="0.25">
      <c r="C174" s="8" t="s">
        <v>1327</v>
      </c>
      <c r="D174" s="8">
        <v>2060</v>
      </c>
      <c r="E174" s="8" t="s">
        <v>1911</v>
      </c>
      <c r="F174" s="8" t="str">
        <f t="shared" si="9"/>
        <v>PT</v>
      </c>
      <c r="G174" s="2">
        <v>0</v>
      </c>
      <c r="H174" s="2">
        <f>SUMIF(RouteID_Conversion!$P$2:$P$745,MD_BoardingByRoute!D174,RouteID_Conversion!$Q$2:$Q$745)</f>
        <v>0</v>
      </c>
      <c r="K174" s="8">
        <v>242</v>
      </c>
      <c r="L174" s="8">
        <v>37.408432006799998</v>
      </c>
      <c r="M174" s="8">
        <v>48.527107238799999</v>
      </c>
      <c r="N174" s="2">
        <v>8.7272727272727266</v>
      </c>
      <c r="O174" s="2">
        <v>36.045454545454547</v>
      </c>
      <c r="P174" s="1"/>
      <c r="Q174" s="1"/>
      <c r="U174" s="1">
        <v>2202</v>
      </c>
      <c r="V174" s="1">
        <v>563.67797900000005</v>
      </c>
      <c r="W174" s="8">
        <v>4021</v>
      </c>
      <c r="X174" s="8">
        <v>4021</v>
      </c>
      <c r="Y174" s="8">
        <v>66.089043000000004</v>
      </c>
      <c r="Z174" s="8">
        <v>78.171172999999996</v>
      </c>
      <c r="AA174" s="8">
        <v>4021</v>
      </c>
      <c r="AB174" s="8">
        <v>57.368740000000003</v>
      </c>
      <c r="AD174" s="8">
        <v>25.316122</v>
      </c>
      <c r="AF174" s="8">
        <v>4023</v>
      </c>
      <c r="AG174" s="8">
        <v>27.346277000000001</v>
      </c>
      <c r="AH174" s="8">
        <f t="shared" si="10"/>
        <v>-2</v>
      </c>
      <c r="AK174" s="1">
        <v>2204</v>
      </c>
      <c r="AL174" s="1">
        <v>649.66253700000004</v>
      </c>
      <c r="AM174" s="8">
        <v>790.92028800000003</v>
      </c>
    </row>
    <row r="175" spans="2:39" ht="15.75" x14ac:dyDescent="0.25">
      <c r="B175" s="8">
        <v>2061</v>
      </c>
      <c r="C175" s="8" t="s">
        <v>1323</v>
      </c>
      <c r="D175" s="8">
        <v>2061</v>
      </c>
      <c r="E175" s="8" t="s">
        <v>1912</v>
      </c>
      <c r="F175" s="8" t="str">
        <f t="shared" si="9"/>
        <v>PT</v>
      </c>
      <c r="G175" s="2">
        <v>83.22727272727272</v>
      </c>
      <c r="H175" s="2">
        <f>SUMIF(RouteID_Conversion!$P$2:$P$745,MD_BoardingByRoute!D175,RouteID_Conversion!$Q$2:$Q$745)</f>
        <v>114.0296435356139</v>
      </c>
      <c r="K175" s="8">
        <v>243</v>
      </c>
      <c r="L175" s="8">
        <v>14.9038257599</v>
      </c>
      <c r="M175" s="8">
        <v>32.374702453600001</v>
      </c>
      <c r="N175" s="2">
        <v>9.2727272727272716</v>
      </c>
      <c r="O175" s="2">
        <v>238.63636363636363</v>
      </c>
      <c r="P175" s="1"/>
      <c r="Q175" s="1"/>
      <c r="U175" s="1">
        <v>2204</v>
      </c>
      <c r="V175" s="1">
        <v>649.66253700000004</v>
      </c>
      <c r="W175" s="8">
        <v>4023</v>
      </c>
      <c r="X175" s="8">
        <v>4023</v>
      </c>
      <c r="Y175" s="8">
        <v>27.346277000000001</v>
      </c>
      <c r="Z175" s="8">
        <v>30.148652999999999</v>
      </c>
      <c r="AA175" s="8">
        <v>4023</v>
      </c>
      <c r="AB175" s="8">
        <v>25.334472999999999</v>
      </c>
      <c r="AD175" s="8">
        <v>56.722580000000001</v>
      </c>
      <c r="AF175" s="8">
        <v>4024</v>
      </c>
      <c r="AG175" s="8">
        <v>71.742294000000001</v>
      </c>
      <c r="AH175" s="8">
        <f t="shared" si="10"/>
        <v>-1</v>
      </c>
      <c r="AK175" s="1">
        <v>2206</v>
      </c>
      <c r="AL175" s="1">
        <v>364.83477800000003</v>
      </c>
      <c r="AM175" s="8">
        <v>474.70233200000001</v>
      </c>
    </row>
    <row r="176" spans="2:39" ht="15.75" x14ac:dyDescent="0.25">
      <c r="B176" s="8">
        <v>2100</v>
      </c>
      <c r="C176" s="8" t="s">
        <v>812</v>
      </c>
      <c r="D176" s="8">
        <v>2100</v>
      </c>
      <c r="E176" s="8" t="s">
        <v>811</v>
      </c>
      <c r="F176" s="8" t="str">
        <f t="shared" si="9"/>
        <v>PT</v>
      </c>
      <c r="G176" s="2">
        <v>244.40909090909091</v>
      </c>
      <c r="H176" s="2">
        <f>SUMIF(RouteID_Conversion!$P$2:$P$745,MD_BoardingByRoute!D176,RouteID_Conversion!$Q$2:$Q$745)</f>
        <v>267.99584960937409</v>
      </c>
      <c r="K176" s="8">
        <v>244</v>
      </c>
      <c r="L176" s="8">
        <v>29.751033783</v>
      </c>
      <c r="M176" s="8">
        <v>32.000057220499997</v>
      </c>
      <c r="N176" s="2">
        <v>2.2727272727272725</v>
      </c>
      <c r="O176" s="2">
        <v>558.5</v>
      </c>
      <c r="P176" s="1"/>
      <c r="Q176" s="1"/>
      <c r="U176" s="1">
        <v>2206</v>
      </c>
      <c r="V176" s="1">
        <v>364.83477800000003</v>
      </c>
      <c r="W176" s="8">
        <v>4024</v>
      </c>
      <c r="X176" s="8">
        <v>4024</v>
      </c>
      <c r="Y176" s="8">
        <v>71.742294000000001</v>
      </c>
      <c r="Z176" s="8">
        <v>71.882362000000001</v>
      </c>
      <c r="AA176" s="8">
        <v>4024</v>
      </c>
      <c r="AB176" s="8">
        <v>56.706088999999999</v>
      </c>
      <c r="AD176" s="8">
        <v>67.158851999999996</v>
      </c>
      <c r="AF176" s="8">
        <v>4025</v>
      </c>
      <c r="AG176" s="8">
        <v>82.648437999999999</v>
      </c>
      <c r="AH176" s="8">
        <f t="shared" si="10"/>
        <v>-1</v>
      </c>
      <c r="AK176" s="1">
        <v>2207</v>
      </c>
      <c r="AL176" s="1">
        <v>71.812568999999996</v>
      </c>
      <c r="AM176" s="8">
        <v>81.837601000000006</v>
      </c>
    </row>
    <row r="177" spans="2:39" ht="15.75" x14ac:dyDescent="0.25">
      <c r="B177" s="8">
        <v>2102</v>
      </c>
      <c r="C177" s="8" t="s">
        <v>1405</v>
      </c>
      <c r="D177" s="8">
        <v>2102</v>
      </c>
      <c r="E177" s="8" t="s">
        <v>1404</v>
      </c>
      <c r="F177" s="8" t="str">
        <f t="shared" si="9"/>
        <v>PT</v>
      </c>
      <c r="G177" s="2">
        <v>0</v>
      </c>
      <c r="H177" s="2">
        <f>SUMIF(RouteID_Conversion!$P$2:$P$745,MD_BoardingByRoute!D177,RouteID_Conversion!$Q$2:$Q$745)</f>
        <v>0</v>
      </c>
      <c r="K177" s="8">
        <v>245</v>
      </c>
      <c r="L177" s="8">
        <v>9.18136310577</v>
      </c>
      <c r="M177" s="8">
        <v>59.364410400399997</v>
      </c>
      <c r="N177" s="2">
        <v>22.954545454545453</v>
      </c>
      <c r="O177" s="2">
        <v>222.54545454545456</v>
      </c>
      <c r="P177" s="1"/>
      <c r="Q177" s="1"/>
      <c r="U177" s="1">
        <v>2207</v>
      </c>
      <c r="V177" s="1">
        <v>71.812568999999996</v>
      </c>
      <c r="W177" s="8">
        <v>4025</v>
      </c>
      <c r="X177" s="8">
        <v>4025</v>
      </c>
      <c r="Y177" s="8">
        <v>82.648437999999999</v>
      </c>
      <c r="Z177" s="8">
        <v>97.718918000000002</v>
      </c>
      <c r="AA177" s="8">
        <v>4025</v>
      </c>
      <c r="AB177" s="8">
        <v>67.187973</v>
      </c>
      <c r="AD177" s="8">
        <v>58.249175999999999</v>
      </c>
      <c r="AF177" s="8">
        <v>4026</v>
      </c>
      <c r="AG177" s="8">
        <v>76.207038999999995</v>
      </c>
      <c r="AH177" s="8">
        <f t="shared" si="10"/>
        <v>-1</v>
      </c>
      <c r="AK177" s="1">
        <v>2212</v>
      </c>
      <c r="AL177" s="1">
        <v>291.414917</v>
      </c>
      <c r="AM177" s="8">
        <v>410.44302399999998</v>
      </c>
    </row>
    <row r="178" spans="2:39" ht="15.75" x14ac:dyDescent="0.25">
      <c r="B178" s="8">
        <v>2113</v>
      </c>
      <c r="C178" s="8" t="s">
        <v>946</v>
      </c>
      <c r="D178" s="8">
        <v>2113</v>
      </c>
      <c r="E178" s="8" t="s">
        <v>945</v>
      </c>
      <c r="F178" s="8" t="str">
        <f t="shared" si="9"/>
        <v>PT</v>
      </c>
      <c r="G178" s="2">
        <v>20.31818181818182</v>
      </c>
      <c r="H178" s="2">
        <f>SUMIF(RouteID_Conversion!$P$2:$P$745,MD_BoardingByRoute!D178,RouteID_Conversion!$Q$2:$Q$745)</f>
        <v>2.2666665092110563</v>
      </c>
      <c r="K178" s="8">
        <v>246</v>
      </c>
      <c r="L178" s="8">
        <v>107.794555664</v>
      </c>
      <c r="M178" s="8">
        <v>48.917755127</v>
      </c>
      <c r="N178" s="2">
        <v>0.36363636363636365</v>
      </c>
      <c r="O178" s="2">
        <v>51.13636363636364</v>
      </c>
      <c r="P178" s="1"/>
      <c r="Q178" s="1"/>
      <c r="U178" s="1">
        <v>2212</v>
      </c>
      <c r="V178" s="1">
        <v>291.414917</v>
      </c>
      <c r="W178" s="8">
        <v>4026</v>
      </c>
      <c r="X178" s="8">
        <v>4026</v>
      </c>
      <c r="Y178" s="8">
        <v>76.207038999999995</v>
      </c>
      <c r="Z178" s="8">
        <v>74.3536</v>
      </c>
      <c r="AA178" s="8">
        <v>4026</v>
      </c>
      <c r="AB178" s="8">
        <v>58.261284000000003</v>
      </c>
      <c r="AD178" s="8">
        <v>83.257339000000002</v>
      </c>
      <c r="AF178" s="8">
        <v>4029</v>
      </c>
      <c r="AG178" s="8">
        <v>93.384117000000003</v>
      </c>
      <c r="AH178" s="8">
        <f t="shared" si="10"/>
        <v>-3</v>
      </c>
      <c r="AK178" s="1">
        <v>2214</v>
      </c>
      <c r="AL178" s="1">
        <v>267.18249500000002</v>
      </c>
      <c r="AM178" s="8">
        <v>302.739014</v>
      </c>
    </row>
    <row r="179" spans="2:39" ht="15.75" x14ac:dyDescent="0.25">
      <c r="B179" s="8">
        <v>2202</v>
      </c>
      <c r="C179" s="8" t="s">
        <v>394</v>
      </c>
      <c r="D179" s="8">
        <v>2202</v>
      </c>
      <c r="E179" s="8" t="s">
        <v>393</v>
      </c>
      <c r="F179" s="8" t="str">
        <f t="shared" si="9"/>
        <v>PT</v>
      </c>
      <c r="G179" s="2">
        <v>709.86363636363626</v>
      </c>
      <c r="H179" s="2">
        <f>SUMIF(RouteID_Conversion!$P$2:$P$745,MD_BoardingByRoute!D179,RouteID_Conversion!$Q$2:$Q$745)</f>
        <v>312.86237144470192</v>
      </c>
      <c r="K179" s="8">
        <v>247</v>
      </c>
      <c r="L179" s="8">
        <v>69.485618591299996</v>
      </c>
      <c r="M179" s="8">
        <v>50.881732940699997</v>
      </c>
      <c r="N179" s="2">
        <v>19.772727272727273</v>
      </c>
      <c r="O179" s="2">
        <v>1621.5</v>
      </c>
      <c r="P179" s="1"/>
      <c r="Q179" s="1"/>
      <c r="U179" s="1">
        <v>2214</v>
      </c>
      <c r="V179" s="1">
        <v>267.18249500000002</v>
      </c>
      <c r="W179" s="8">
        <v>4029</v>
      </c>
      <c r="X179" s="8">
        <v>4029</v>
      </c>
      <c r="Y179" s="8">
        <v>93.384117000000003</v>
      </c>
      <c r="Z179" s="8">
        <v>111.828903</v>
      </c>
      <c r="AA179" s="8">
        <v>4029</v>
      </c>
      <c r="AB179" s="8">
        <v>83.242408999999995</v>
      </c>
      <c r="AD179" s="8">
        <v>102.52916</v>
      </c>
      <c r="AF179" s="8">
        <v>4032</v>
      </c>
      <c r="AG179" s="8">
        <v>93.892928999999995</v>
      </c>
      <c r="AH179" s="8">
        <f t="shared" si="10"/>
        <v>-3</v>
      </c>
      <c r="AK179" s="1">
        <v>2220</v>
      </c>
      <c r="AL179" s="1">
        <v>143.77963299999999</v>
      </c>
      <c r="AM179" s="8">
        <v>179.625168</v>
      </c>
    </row>
    <row r="180" spans="2:39" ht="15.75" x14ac:dyDescent="0.25">
      <c r="B180" s="8">
        <v>2204</v>
      </c>
      <c r="C180" s="8" t="s">
        <v>803</v>
      </c>
      <c r="D180" s="8">
        <v>2204</v>
      </c>
      <c r="E180" s="8" t="s">
        <v>1913</v>
      </c>
      <c r="F180" s="8" t="str">
        <f t="shared" si="9"/>
        <v>PT</v>
      </c>
      <c r="G180" s="2">
        <v>922.18181818181813</v>
      </c>
      <c r="H180" s="2">
        <f>SUMIF(RouteID_Conversion!$P$2:$P$745,MD_BoardingByRoute!D180,RouteID_Conversion!$Q$2:$Q$745)</f>
        <v>607.93283462524346</v>
      </c>
      <c r="K180" s="8">
        <v>248</v>
      </c>
      <c r="L180" s="8">
        <v>69.870544433600003</v>
      </c>
      <c r="M180" s="8">
        <v>51.045265197799999</v>
      </c>
      <c r="N180" s="2">
        <v>34.227272727272727</v>
      </c>
      <c r="O180" s="2">
        <v>2051.681818181818</v>
      </c>
      <c r="P180" s="1"/>
      <c r="Q180" s="1"/>
      <c r="U180" s="1">
        <v>2220</v>
      </c>
      <c r="V180" s="1">
        <v>143.77963299999999</v>
      </c>
      <c r="W180" s="8">
        <v>4032</v>
      </c>
      <c r="X180" s="8">
        <v>4032</v>
      </c>
      <c r="Y180" s="8">
        <v>93.892928999999995</v>
      </c>
      <c r="Z180" s="8">
        <v>120.537285</v>
      </c>
      <c r="AA180" s="8">
        <v>4032</v>
      </c>
      <c r="AB180" s="8">
        <v>102.53035</v>
      </c>
      <c r="AD180" s="8">
        <v>54.413769000000002</v>
      </c>
      <c r="AF180" s="8">
        <v>4034</v>
      </c>
      <c r="AG180" s="8">
        <v>54.468674</v>
      </c>
      <c r="AH180" s="8">
        <f t="shared" si="10"/>
        <v>-2</v>
      </c>
      <c r="AK180" s="1">
        <v>2300</v>
      </c>
      <c r="AL180" s="1">
        <v>364.19833399999999</v>
      </c>
      <c r="AM180" s="8">
        <v>472.44339000000002</v>
      </c>
    </row>
    <row r="181" spans="2:39" ht="15.75" x14ac:dyDescent="0.25">
      <c r="B181" s="8">
        <v>2206</v>
      </c>
      <c r="C181" s="8" t="s">
        <v>390</v>
      </c>
      <c r="D181" s="8">
        <v>2206</v>
      </c>
      <c r="E181" s="8" t="s">
        <v>1914</v>
      </c>
      <c r="F181" s="8" t="str">
        <f t="shared" si="9"/>
        <v>PT</v>
      </c>
      <c r="G181" s="2">
        <v>417.13636363636363</v>
      </c>
      <c r="H181" s="2">
        <f>SUMIF(RouteID_Conversion!$P$2:$P$745,MD_BoardingByRoute!D181,RouteID_Conversion!$Q$2:$Q$745)</f>
        <v>127.47284841537453</v>
      </c>
      <c r="K181" s="8">
        <v>249</v>
      </c>
      <c r="L181" s="8">
        <v>136.16184997600001</v>
      </c>
      <c r="M181" s="8">
        <v>39.193187713599997</v>
      </c>
      <c r="N181" s="2">
        <v>36.590909090909093</v>
      </c>
      <c r="O181" s="2">
        <v>1050</v>
      </c>
      <c r="P181" s="1"/>
      <c r="Q181" s="1"/>
      <c r="U181" s="1">
        <v>2300</v>
      </c>
      <c r="V181" s="1">
        <v>364.19833399999999</v>
      </c>
      <c r="W181" s="8">
        <v>4034</v>
      </c>
      <c r="X181" s="8">
        <v>4034</v>
      </c>
      <c r="Y181" s="8">
        <v>54.468674</v>
      </c>
      <c r="Z181" s="8">
        <v>63.6511</v>
      </c>
      <c r="AA181" s="8">
        <v>4034</v>
      </c>
      <c r="AB181" s="8">
        <v>54.409790000000001</v>
      </c>
      <c r="AD181" s="8">
        <v>4.430758</v>
      </c>
      <c r="AF181" s="8">
        <v>4035</v>
      </c>
      <c r="AG181" s="8">
        <v>5.9490369999999997</v>
      </c>
      <c r="AH181" s="8">
        <f t="shared" si="10"/>
        <v>-1</v>
      </c>
      <c r="AK181" s="1">
        <v>2402</v>
      </c>
      <c r="AL181" s="1">
        <v>1282.9013669999999</v>
      </c>
      <c r="AM181" s="8">
        <v>1433.1850589999999</v>
      </c>
    </row>
    <row r="182" spans="2:39" ht="15.75" x14ac:dyDescent="0.25">
      <c r="B182" s="8">
        <v>2207</v>
      </c>
      <c r="C182" s="8" t="s">
        <v>387</v>
      </c>
      <c r="D182" s="8">
        <v>2207</v>
      </c>
      <c r="E182" s="8" t="s">
        <v>386</v>
      </c>
      <c r="F182" s="8" t="str">
        <f t="shared" si="9"/>
        <v>PT</v>
      </c>
      <c r="G182" s="2">
        <v>12.727272727272727</v>
      </c>
      <c r="H182" s="2">
        <f>SUMIF(RouteID_Conversion!$P$2:$P$745,MD_BoardingByRoute!D182,RouteID_Conversion!$Q$2:$Q$745)</f>
        <v>14.48855090141295</v>
      </c>
      <c r="K182" s="8">
        <v>250</v>
      </c>
      <c r="L182" s="8">
        <v>120.388771057</v>
      </c>
      <c r="M182" s="8">
        <v>77.764457702599998</v>
      </c>
      <c r="N182" s="2">
        <v>4.5454545454545456E-2</v>
      </c>
      <c r="O182" s="2">
        <v>71.681818181818187</v>
      </c>
      <c r="P182" s="1"/>
      <c r="Q182" s="1"/>
      <c r="U182" s="1">
        <v>2402</v>
      </c>
      <c r="V182" s="1">
        <v>1282.9013669999999</v>
      </c>
      <c r="W182" s="8">
        <v>4035</v>
      </c>
      <c r="X182" s="8">
        <v>4035</v>
      </c>
      <c r="Y182" s="8">
        <v>5.9490369999999997</v>
      </c>
      <c r="Z182" s="8">
        <v>6.6339399999999999</v>
      </c>
      <c r="AA182" s="8">
        <v>4035</v>
      </c>
      <c r="AB182" s="8">
        <v>4.4298109999999999</v>
      </c>
      <c r="AD182" s="8">
        <v>4.7191219999999996</v>
      </c>
      <c r="AF182" s="8">
        <v>4036</v>
      </c>
      <c r="AG182" s="8">
        <v>7.3194129999999999</v>
      </c>
      <c r="AH182" s="8">
        <f t="shared" si="10"/>
        <v>-1</v>
      </c>
      <c r="AK182" s="1">
        <v>2406</v>
      </c>
      <c r="AL182" s="1">
        <v>13.040308</v>
      </c>
      <c r="AM182" s="8">
        <v>26.056764999999999</v>
      </c>
    </row>
    <row r="183" spans="2:39" ht="15.75" x14ac:dyDescent="0.25">
      <c r="B183" s="8">
        <v>2212</v>
      </c>
      <c r="C183" s="8" t="s">
        <v>799</v>
      </c>
      <c r="D183" s="8">
        <v>2212</v>
      </c>
      <c r="E183" s="8" t="s">
        <v>798</v>
      </c>
      <c r="F183" s="8" t="str">
        <f t="shared" si="9"/>
        <v>PT</v>
      </c>
      <c r="G183" s="2">
        <v>368.59090909090912</v>
      </c>
      <c r="H183" s="2">
        <f>SUMIF(RouteID_Conversion!$P$2:$P$745,MD_BoardingByRoute!D183,RouteID_Conversion!$Q$2:$Q$745)</f>
        <v>95.659781455993283</v>
      </c>
      <c r="K183" s="8">
        <v>251</v>
      </c>
      <c r="L183" s="8">
        <v>11.7753047943</v>
      </c>
      <c r="M183" s="8">
        <v>45.505279541</v>
      </c>
      <c r="N183" s="2">
        <v>2.9545454545454546</v>
      </c>
      <c r="O183" s="2">
        <v>816.77272727272737</v>
      </c>
      <c r="P183" s="1"/>
      <c r="Q183" s="1"/>
      <c r="U183" s="1">
        <v>2406</v>
      </c>
      <c r="V183" s="1">
        <v>13.040308</v>
      </c>
      <c r="W183" s="8">
        <v>4037</v>
      </c>
      <c r="X183" s="8">
        <v>4036</v>
      </c>
      <c r="Y183" s="8">
        <v>7.3194129999999999</v>
      </c>
      <c r="Z183" s="8">
        <v>26.531609</v>
      </c>
      <c r="AA183" s="8">
        <v>4036</v>
      </c>
      <c r="AB183" s="8">
        <v>4.7188080000000001</v>
      </c>
      <c r="AD183" s="8">
        <v>20.711804999999998</v>
      </c>
      <c r="AF183" s="8">
        <v>4037</v>
      </c>
      <c r="AG183" s="8">
        <v>25.615189000000001</v>
      </c>
      <c r="AH183" s="8">
        <f t="shared" si="10"/>
        <v>-1</v>
      </c>
      <c r="AK183" s="1">
        <v>2407</v>
      </c>
      <c r="AL183" s="1">
        <v>5.6715150000000003</v>
      </c>
      <c r="AM183" s="8">
        <v>6.9809369999999999</v>
      </c>
    </row>
    <row r="184" spans="2:39" ht="15.75" x14ac:dyDescent="0.25">
      <c r="B184" s="8">
        <v>2214</v>
      </c>
      <c r="C184" s="8" t="s">
        <v>1009</v>
      </c>
      <c r="D184" s="8">
        <v>2214</v>
      </c>
      <c r="E184" s="8" t="s">
        <v>1008</v>
      </c>
      <c r="F184" s="8" t="str">
        <f t="shared" si="9"/>
        <v>PT</v>
      </c>
      <c r="G184" s="2">
        <v>547.63636363636363</v>
      </c>
      <c r="H184" s="2">
        <f>SUMIF(RouteID_Conversion!$P$2:$P$745,MD_BoardingByRoute!D184,RouteID_Conversion!$Q$2:$Q$745)</f>
        <v>120.86738109588606</v>
      </c>
      <c r="K184" s="8">
        <v>252</v>
      </c>
      <c r="L184" s="8">
        <v>25.575796127299999</v>
      </c>
      <c r="M184" s="8">
        <v>35.361461639399998</v>
      </c>
      <c r="N184" s="2">
        <v>21.772727272727273</v>
      </c>
      <c r="O184" s="2">
        <v>1070.590909090909</v>
      </c>
      <c r="P184" s="1"/>
      <c r="Q184" s="1"/>
      <c r="U184" s="1">
        <v>2407</v>
      </c>
      <c r="V184" s="1">
        <v>5.6715150000000003</v>
      </c>
      <c r="W184" s="8">
        <v>4041</v>
      </c>
      <c r="X184" s="8">
        <v>4037</v>
      </c>
      <c r="Y184" s="8">
        <v>25.615189000000001</v>
      </c>
      <c r="Z184" s="8">
        <v>5.2769999999999996E-3</v>
      </c>
      <c r="AA184" s="8">
        <v>4037</v>
      </c>
      <c r="AB184" s="8">
        <v>20.711818999999998</v>
      </c>
      <c r="AD184" s="8">
        <v>6.182E-3</v>
      </c>
      <c r="AF184" s="8">
        <v>4041</v>
      </c>
      <c r="AG184" s="8">
        <v>1.2085E-2</v>
      </c>
      <c r="AH184" s="8">
        <f t="shared" si="10"/>
        <v>-4</v>
      </c>
      <c r="AK184" s="1">
        <v>2408</v>
      </c>
      <c r="AL184" s="1">
        <v>15.193134000000001</v>
      </c>
      <c r="AM184" s="8">
        <v>18.198259</v>
      </c>
    </row>
    <row r="185" spans="2:39" ht="15.75" x14ac:dyDescent="0.25">
      <c r="B185" s="8">
        <v>2220</v>
      </c>
      <c r="C185" s="8" t="s">
        <v>383</v>
      </c>
      <c r="D185" s="8">
        <v>2220</v>
      </c>
      <c r="E185" s="8" t="s">
        <v>382</v>
      </c>
      <c r="F185" s="8" t="str">
        <f t="shared" si="9"/>
        <v>PT</v>
      </c>
      <c r="G185" s="2">
        <v>173.90909090909091</v>
      </c>
      <c r="H185" s="2">
        <f>SUMIF(RouteID_Conversion!$P$2:$P$745,MD_BoardingByRoute!D185,RouteID_Conversion!$Q$2:$Q$745)</f>
        <v>115.26035976409894</v>
      </c>
      <c r="K185" s="8">
        <v>253</v>
      </c>
      <c r="L185" s="8">
        <v>25.575796127299999</v>
      </c>
      <c r="M185" s="8">
        <v>33.1239280701</v>
      </c>
      <c r="N185" s="2">
        <v>0.13636363636363635</v>
      </c>
      <c r="O185" s="2">
        <v>397.72727272727269</v>
      </c>
      <c r="P185" s="1"/>
      <c r="Q185" s="1"/>
      <c r="U185" s="1">
        <v>2408</v>
      </c>
      <c r="V185" s="1">
        <v>15.193134000000001</v>
      </c>
      <c r="W185" s="8">
        <v>4043</v>
      </c>
      <c r="X185" s="8">
        <v>4041</v>
      </c>
      <c r="Y185" s="8">
        <v>1.2085E-2</v>
      </c>
      <c r="Z185" s="8">
        <v>17.686726</v>
      </c>
      <c r="AA185" s="8">
        <v>4041</v>
      </c>
      <c r="AB185" s="8">
        <v>6.1720000000000004E-3</v>
      </c>
      <c r="AD185" s="8">
        <v>15.244572</v>
      </c>
      <c r="AF185" s="8">
        <v>4043</v>
      </c>
      <c r="AG185" s="8">
        <v>14.470514</v>
      </c>
      <c r="AH185" s="8">
        <f t="shared" si="10"/>
        <v>-2</v>
      </c>
      <c r="AK185" s="1">
        <v>2409</v>
      </c>
      <c r="AL185" s="1">
        <v>369.70111100000003</v>
      </c>
      <c r="AM185" s="8">
        <v>441.59634399999999</v>
      </c>
    </row>
    <row r="186" spans="2:39" ht="15.75" x14ac:dyDescent="0.25">
      <c r="B186" s="8">
        <v>2300</v>
      </c>
      <c r="C186" s="8" t="s">
        <v>791</v>
      </c>
      <c r="D186" s="8">
        <v>2300</v>
      </c>
      <c r="E186" s="8" t="s">
        <v>790</v>
      </c>
      <c r="F186" s="8" t="str">
        <f t="shared" si="9"/>
        <v>PT</v>
      </c>
      <c r="G186" s="2">
        <v>480.81818181818181</v>
      </c>
      <c r="H186" s="2">
        <f>SUMIF(RouteID_Conversion!$P$2:$P$745,MD_BoardingByRoute!D186,RouteID_Conversion!$Q$2:$Q$745)</f>
        <v>515.1978740692133</v>
      </c>
      <c r="K186" s="8">
        <v>254</v>
      </c>
      <c r="L186" s="8">
        <v>111.26597595200001</v>
      </c>
      <c r="M186" s="8">
        <v>78.239219665500002</v>
      </c>
      <c r="N186" s="2">
        <v>23.40909090909091</v>
      </c>
      <c r="O186" s="2">
        <v>1077.1363636363637</v>
      </c>
      <c r="P186" s="1"/>
      <c r="Q186" s="1"/>
      <c r="U186" s="1">
        <v>2409</v>
      </c>
      <c r="V186" s="1">
        <v>369.70111100000003</v>
      </c>
      <c r="W186" s="8">
        <v>4086</v>
      </c>
      <c r="X186" s="8">
        <v>4043</v>
      </c>
      <c r="Y186" s="8">
        <v>14.470514</v>
      </c>
      <c r="Z186" s="8">
        <v>15.813684</v>
      </c>
      <c r="AA186" s="8">
        <v>4043</v>
      </c>
      <c r="AB186" s="8">
        <v>15.241051000000001</v>
      </c>
      <c r="AD186" s="8">
        <v>11.938836</v>
      </c>
      <c r="AF186" s="8">
        <v>4086</v>
      </c>
      <c r="AG186" s="8">
        <v>11.107894</v>
      </c>
      <c r="AH186" s="8">
        <f t="shared" si="10"/>
        <v>-43</v>
      </c>
      <c r="AK186" s="1">
        <v>2410</v>
      </c>
      <c r="AL186" s="1">
        <v>571.35711700000002</v>
      </c>
      <c r="AM186" s="8">
        <v>649.17627000000005</v>
      </c>
    </row>
    <row r="187" spans="2:39" ht="15.75" x14ac:dyDescent="0.25">
      <c r="B187" s="8">
        <v>2402</v>
      </c>
      <c r="C187" s="8" t="s">
        <v>1390</v>
      </c>
      <c r="D187" s="8">
        <v>2402</v>
      </c>
      <c r="E187" s="8" t="s">
        <v>1389</v>
      </c>
      <c r="F187" s="8" t="str">
        <f t="shared" si="9"/>
        <v>PT</v>
      </c>
      <c r="G187" s="2">
        <v>891.59090909090901</v>
      </c>
      <c r="H187" s="2">
        <f>SUMIF(RouteID_Conversion!$P$2:$P$745,MD_BoardingByRoute!D187,RouteID_Conversion!$Q$2:$Q$745)</f>
        <v>767.32243156432867</v>
      </c>
      <c r="K187" s="8">
        <v>255</v>
      </c>
      <c r="L187" s="8">
        <v>41.1907310486</v>
      </c>
      <c r="M187" s="8">
        <v>33.0083694458</v>
      </c>
      <c r="N187" s="2">
        <v>34</v>
      </c>
      <c r="O187" s="2">
        <v>1984.2272727272725</v>
      </c>
      <c r="P187" s="1"/>
      <c r="Q187" s="1"/>
      <c r="U187" s="1">
        <v>2410</v>
      </c>
      <c r="V187" s="1">
        <v>571.35711700000002</v>
      </c>
      <c r="W187" s="8">
        <v>4090</v>
      </c>
      <c r="X187" s="8">
        <v>4086</v>
      </c>
      <c r="Y187" s="8">
        <v>11.107894</v>
      </c>
      <c r="Z187" s="8">
        <v>101.395477</v>
      </c>
      <c r="AA187" s="8">
        <v>4086</v>
      </c>
      <c r="AB187" s="8">
        <v>11.930892999999999</v>
      </c>
      <c r="AD187" s="8">
        <v>83.948914000000002</v>
      </c>
      <c r="AF187" s="8">
        <v>4090</v>
      </c>
      <c r="AG187" s="8">
        <v>89.457488999999995</v>
      </c>
      <c r="AH187" s="8">
        <f t="shared" si="10"/>
        <v>-4</v>
      </c>
      <c r="AK187" s="1">
        <v>2413</v>
      </c>
      <c r="AL187" s="1">
        <v>99.851310999999995</v>
      </c>
      <c r="AM187" s="8">
        <v>109.23073599999999</v>
      </c>
    </row>
    <row r="188" spans="2:39" ht="15.75" x14ac:dyDescent="0.25">
      <c r="B188" s="8">
        <v>2406</v>
      </c>
      <c r="C188" s="8" t="s">
        <v>1468</v>
      </c>
      <c r="D188" s="8">
        <v>2406</v>
      </c>
      <c r="E188" s="8" t="s">
        <v>1467</v>
      </c>
      <c r="F188" s="8" t="str">
        <f t="shared" si="9"/>
        <v>PT</v>
      </c>
      <c r="G188" s="2">
        <v>15.863636363636363</v>
      </c>
      <c r="H188" s="2">
        <f>SUMIF(RouteID_Conversion!$P$2:$P$745,MD_BoardingByRoute!D188,RouteID_Conversion!$Q$2:$Q$745)</f>
        <v>1.833333343267439</v>
      </c>
      <c r="K188" s="8">
        <v>256</v>
      </c>
      <c r="L188" s="8">
        <v>151.38636779800001</v>
      </c>
      <c r="M188" s="8">
        <v>40.940246582</v>
      </c>
      <c r="N188" s="2">
        <v>0</v>
      </c>
      <c r="O188" s="2">
        <v>45.772727272727273</v>
      </c>
      <c r="P188" s="1"/>
      <c r="Q188" s="1"/>
      <c r="U188" s="1">
        <v>2413</v>
      </c>
      <c r="V188" s="1">
        <v>99.851310999999995</v>
      </c>
      <c r="W188" s="8">
        <v>4091</v>
      </c>
      <c r="X188" s="8">
        <v>4090</v>
      </c>
      <c r="Y188" s="8">
        <v>89.457488999999995</v>
      </c>
      <c r="Z188" s="8">
        <v>2.8628619999999998</v>
      </c>
      <c r="AA188" s="8">
        <v>4090</v>
      </c>
      <c r="AB188" s="8">
        <v>83.683723000000001</v>
      </c>
      <c r="AD188" s="8">
        <v>2.7578930000000001</v>
      </c>
      <c r="AF188" s="8">
        <v>4091</v>
      </c>
      <c r="AG188" s="8">
        <v>2.438596</v>
      </c>
      <c r="AH188" s="8">
        <f t="shared" si="10"/>
        <v>-1</v>
      </c>
      <c r="AK188" s="1">
        <v>2444</v>
      </c>
      <c r="AL188" s="1">
        <v>44.777186999999998</v>
      </c>
      <c r="AM188" s="8">
        <v>47.15654</v>
      </c>
    </row>
    <row r="189" spans="2:39" ht="15.75" x14ac:dyDescent="0.25">
      <c r="B189" s="8">
        <v>2407</v>
      </c>
      <c r="C189" s="8" t="s">
        <v>787</v>
      </c>
      <c r="D189" s="8">
        <v>2407</v>
      </c>
      <c r="E189" s="8" t="s">
        <v>1915</v>
      </c>
      <c r="F189" s="8" t="str">
        <f t="shared" si="9"/>
        <v>PT</v>
      </c>
      <c r="G189" s="2">
        <v>26.909090909090907</v>
      </c>
      <c r="H189" s="2">
        <f>SUMIF(RouteID_Conversion!$P$2:$P$745,MD_BoardingByRoute!D189,RouteID_Conversion!$Q$2:$Q$745)</f>
        <v>5.6666665673255814</v>
      </c>
      <c r="K189" s="8">
        <v>257</v>
      </c>
      <c r="L189" s="8">
        <v>47.793998718300003</v>
      </c>
      <c r="M189" s="8">
        <v>45.907588958700003</v>
      </c>
      <c r="N189" s="2">
        <v>0</v>
      </c>
      <c r="O189" s="2">
        <v>49.409090909090907</v>
      </c>
      <c r="P189" s="1"/>
      <c r="Q189" s="1"/>
      <c r="U189" s="1">
        <v>2444</v>
      </c>
      <c r="V189" s="1">
        <v>44.777186999999998</v>
      </c>
      <c r="W189" s="8">
        <v>4092</v>
      </c>
      <c r="X189" s="8">
        <v>4091</v>
      </c>
      <c r="Y189" s="8">
        <v>2.438596</v>
      </c>
      <c r="Z189" s="8">
        <v>108.53286</v>
      </c>
      <c r="AA189" s="8">
        <v>4091</v>
      </c>
      <c r="AB189" s="8">
        <v>2.737222</v>
      </c>
      <c r="AD189" s="8">
        <v>96.181892000000005</v>
      </c>
      <c r="AF189" s="8">
        <v>4092</v>
      </c>
      <c r="AG189" s="8">
        <v>97.089744999999994</v>
      </c>
      <c r="AH189" s="8">
        <f t="shared" si="10"/>
        <v>-1</v>
      </c>
      <c r="AK189" s="1">
        <v>2490</v>
      </c>
      <c r="AL189" s="1">
        <v>279.48355099999998</v>
      </c>
      <c r="AM189" s="8">
        <v>398.13797</v>
      </c>
    </row>
    <row r="190" spans="2:39" ht="15.75" x14ac:dyDescent="0.25">
      <c r="B190" s="8">
        <v>2408</v>
      </c>
      <c r="C190" s="8" t="s">
        <v>379</v>
      </c>
      <c r="D190" s="8">
        <v>2408</v>
      </c>
      <c r="E190" s="8" t="s">
        <v>1916</v>
      </c>
      <c r="F190" s="8" t="str">
        <f t="shared" si="9"/>
        <v>PT</v>
      </c>
      <c r="G190" s="2">
        <v>66.045454545454547</v>
      </c>
      <c r="H190" s="2">
        <f>SUMIF(RouteID_Conversion!$P$2:$P$745,MD_BoardingByRoute!D190,RouteID_Conversion!$Q$2:$Q$745)</f>
        <v>38.900000095367368</v>
      </c>
      <c r="K190" s="8">
        <v>258</v>
      </c>
      <c r="L190" s="8">
        <v>54.934841155999997</v>
      </c>
      <c r="M190" s="8">
        <v>45.586906433099998</v>
      </c>
      <c r="N190" s="2">
        <v>0</v>
      </c>
      <c r="O190" s="2">
        <v>118.68181818181819</v>
      </c>
      <c r="P190" s="1"/>
      <c r="Q190" s="1"/>
      <c r="U190" s="1">
        <v>2490</v>
      </c>
      <c r="V190" s="1">
        <v>279.48355099999998</v>
      </c>
      <c r="W190" s="8">
        <v>7002</v>
      </c>
      <c r="X190" s="8">
        <v>4092</v>
      </c>
      <c r="Y190" s="8">
        <v>97.089744999999994</v>
      </c>
      <c r="Z190" s="8">
        <v>232.16911300000001</v>
      </c>
      <c r="AA190" s="8">
        <v>4092</v>
      </c>
      <c r="AB190" s="8">
        <v>96.129043999999993</v>
      </c>
      <c r="AD190" s="8">
        <v>184.70867899999999</v>
      </c>
      <c r="AF190" s="8">
        <v>7002</v>
      </c>
      <c r="AG190" s="8">
        <v>234.51835600000001</v>
      </c>
      <c r="AH190" s="8">
        <f t="shared" si="10"/>
        <v>-2910</v>
      </c>
      <c r="AK190" s="1">
        <v>2495</v>
      </c>
      <c r="AL190" s="1">
        <v>66.686340000000001</v>
      </c>
      <c r="AM190" s="8">
        <v>187.65913399999999</v>
      </c>
    </row>
    <row r="191" spans="2:39" ht="15.75" x14ac:dyDescent="0.25">
      <c r="B191" s="8">
        <v>2409</v>
      </c>
      <c r="C191" s="8" t="s">
        <v>487</v>
      </c>
      <c r="D191" s="8">
        <v>2409</v>
      </c>
      <c r="E191" s="8" t="s">
        <v>1917</v>
      </c>
      <c r="F191" s="8" t="str">
        <f t="shared" si="9"/>
        <v>PT</v>
      </c>
      <c r="G191" s="2">
        <v>211.72727272727272</v>
      </c>
      <c r="H191" s="2">
        <f>SUMIF(RouteID_Conversion!$P$2:$P$745,MD_BoardingByRoute!D191,RouteID_Conversion!$Q$2:$Q$745)</f>
        <v>185.48677825927712</v>
      </c>
      <c r="K191" s="8">
        <v>259</v>
      </c>
      <c r="L191" s="8">
        <v>0</v>
      </c>
      <c r="M191" s="8">
        <v>11.6433210373</v>
      </c>
      <c r="N191" s="2">
        <v>16.136363636363637</v>
      </c>
      <c r="O191" s="2">
        <v>549.63636363636363</v>
      </c>
      <c r="P191" s="1"/>
      <c r="Q191" s="1"/>
      <c r="U191" s="1">
        <v>2495</v>
      </c>
      <c r="V191" s="1">
        <v>66.686340000000001</v>
      </c>
      <c r="W191" s="8">
        <v>7003</v>
      </c>
      <c r="X191" s="8">
        <v>7002</v>
      </c>
      <c r="Y191" s="8">
        <v>234.51835600000001</v>
      </c>
      <c r="Z191" s="8">
        <v>411.93173200000001</v>
      </c>
      <c r="AA191" s="8">
        <v>7002</v>
      </c>
      <c r="AB191" s="8">
        <v>184.80595400000001</v>
      </c>
      <c r="AD191" s="8">
        <v>305.488922</v>
      </c>
      <c r="AF191" s="8">
        <v>7003</v>
      </c>
      <c r="AG191" s="8">
        <v>315.60983299999998</v>
      </c>
      <c r="AH191" s="8">
        <f t="shared" si="10"/>
        <v>-1</v>
      </c>
      <c r="AK191" s="1">
        <v>2496</v>
      </c>
      <c r="AL191" s="1">
        <v>99.338127</v>
      </c>
      <c r="AM191" s="8">
        <v>338.34310900000003</v>
      </c>
    </row>
    <row r="192" spans="2:39" ht="15.75" x14ac:dyDescent="0.25">
      <c r="B192" s="8">
        <v>2410</v>
      </c>
      <c r="C192" s="8" t="s">
        <v>373</v>
      </c>
      <c r="D192" s="8">
        <v>2410</v>
      </c>
      <c r="E192" s="8" t="s">
        <v>372</v>
      </c>
      <c r="F192" s="8" t="str">
        <f t="shared" si="9"/>
        <v>PT</v>
      </c>
      <c r="G192" s="2">
        <v>570.18181818181824</v>
      </c>
      <c r="H192" s="2">
        <f>SUMIF(RouteID_Conversion!$P$2:$P$745,MD_BoardingByRoute!D192,RouteID_Conversion!$Q$2:$Q$745)</f>
        <v>271.50067520141567</v>
      </c>
      <c r="K192" s="8">
        <v>260</v>
      </c>
      <c r="L192" s="8">
        <v>0</v>
      </c>
      <c r="M192" s="8">
        <v>15.2146577835</v>
      </c>
      <c r="N192" s="2">
        <v>8.8181818181818183</v>
      </c>
      <c r="O192" s="2">
        <v>1316.6363636363637</v>
      </c>
      <c r="P192" s="1"/>
      <c r="Q192" s="1"/>
      <c r="U192" s="1">
        <v>2496</v>
      </c>
      <c r="V192" s="1">
        <v>99.338127</v>
      </c>
      <c r="W192" s="8">
        <v>7004</v>
      </c>
      <c r="X192" s="8">
        <v>7003</v>
      </c>
      <c r="Y192" s="8">
        <v>315.60983299999998</v>
      </c>
      <c r="Z192" s="8">
        <v>136.69120799999999</v>
      </c>
      <c r="AA192" s="8">
        <v>7003</v>
      </c>
      <c r="AB192" s="8">
        <v>305.56158399999998</v>
      </c>
      <c r="AD192" s="8">
        <v>95.666381999999999</v>
      </c>
      <c r="AF192" s="8">
        <v>7004</v>
      </c>
      <c r="AG192" s="8">
        <v>123.07328</v>
      </c>
      <c r="AH192" s="8">
        <f t="shared" si="10"/>
        <v>-1</v>
      </c>
      <c r="AK192" s="1">
        <v>2497</v>
      </c>
      <c r="AL192" s="1">
        <v>28.028590999999999</v>
      </c>
      <c r="AM192" s="8">
        <v>33.948726999999998</v>
      </c>
    </row>
    <row r="193" spans="2:39" ht="15.75" x14ac:dyDescent="0.25">
      <c r="B193" s="8">
        <v>2413</v>
      </c>
      <c r="C193" s="8" t="s">
        <v>933</v>
      </c>
      <c r="D193" s="8">
        <v>2413</v>
      </c>
      <c r="E193" s="8" t="s">
        <v>932</v>
      </c>
      <c r="F193" s="8" t="str">
        <f t="shared" si="9"/>
        <v>PT</v>
      </c>
      <c r="G193" s="2">
        <v>59.272727272727266</v>
      </c>
      <c r="H193" s="2">
        <f>SUMIF(RouteID_Conversion!$P$2:$P$745,MD_BoardingByRoute!D193,RouteID_Conversion!$Q$2:$Q$745)</f>
        <v>35.841933012008511</v>
      </c>
      <c r="K193" s="8">
        <v>261</v>
      </c>
      <c r="L193" s="8">
        <v>0.82673561572999998</v>
      </c>
      <c r="M193" s="8">
        <v>13.143661499</v>
      </c>
      <c r="N193" s="2">
        <v>4.5</v>
      </c>
      <c r="O193" s="2">
        <v>168.22727272727269</v>
      </c>
      <c r="P193" s="1"/>
      <c r="Q193" s="1"/>
      <c r="U193" s="1">
        <v>2497</v>
      </c>
      <c r="V193" s="1">
        <v>28.028590999999999</v>
      </c>
      <c r="W193" s="8">
        <v>7005</v>
      </c>
      <c r="X193" s="8">
        <v>7004</v>
      </c>
      <c r="Y193" s="8">
        <v>123.07328</v>
      </c>
      <c r="Z193" s="8">
        <v>15.551886</v>
      </c>
      <c r="AA193" s="8">
        <v>7004</v>
      </c>
      <c r="AB193" s="8">
        <v>95.581588999999994</v>
      </c>
      <c r="AD193" s="8">
        <v>11.989345</v>
      </c>
      <c r="AF193" s="8">
        <v>7005</v>
      </c>
      <c r="AG193" s="8">
        <v>24.358575999999999</v>
      </c>
      <c r="AH193" s="8">
        <f t="shared" si="10"/>
        <v>-1</v>
      </c>
      <c r="AK193" s="1">
        <v>2500</v>
      </c>
      <c r="AL193" s="1">
        <v>418.13690200000002</v>
      </c>
      <c r="AM193" s="8">
        <v>561.83587599999998</v>
      </c>
    </row>
    <row r="194" spans="2:39" ht="15.75" x14ac:dyDescent="0.25">
      <c r="B194" s="8">
        <v>2444</v>
      </c>
      <c r="C194" s="8" t="s">
        <v>780</v>
      </c>
      <c r="D194" s="8">
        <v>2444</v>
      </c>
      <c r="E194" s="8" t="s">
        <v>1918</v>
      </c>
      <c r="F194" s="8" t="str">
        <f t="shared" ref="F194:F257" si="11">MID(C194,1,2)</f>
        <v>PT</v>
      </c>
      <c r="G194" s="2">
        <v>32.863636363636367</v>
      </c>
      <c r="H194" s="2">
        <f>SUMIF(RouteID_Conversion!$P$2:$P$745,MD_BoardingByRoute!D194,RouteID_Conversion!$Q$2:$Q$745)</f>
        <v>4.7605437524616638</v>
      </c>
      <c r="K194" s="8">
        <v>262</v>
      </c>
      <c r="L194" s="8">
        <v>0</v>
      </c>
      <c r="M194" s="8">
        <v>12.895961761500001</v>
      </c>
      <c r="N194" s="2">
        <v>4.0454545454545459</v>
      </c>
      <c r="O194" s="2">
        <v>78.454545454545467</v>
      </c>
      <c r="P194" s="1"/>
      <c r="Q194" s="1"/>
      <c r="U194" s="1">
        <v>2500</v>
      </c>
      <c r="V194" s="1">
        <v>418.13690200000002</v>
      </c>
      <c r="W194" s="8">
        <v>7007</v>
      </c>
      <c r="X194" s="8">
        <v>7005</v>
      </c>
      <c r="Y194" s="8">
        <v>24.358575999999999</v>
      </c>
      <c r="Z194" s="8">
        <v>437.036743</v>
      </c>
      <c r="AA194" s="8">
        <v>7005</v>
      </c>
      <c r="AB194" s="8">
        <v>11.989926000000001</v>
      </c>
      <c r="AD194" s="8">
        <v>345.335846</v>
      </c>
      <c r="AF194" s="8">
        <v>7007</v>
      </c>
      <c r="AG194" s="8">
        <v>397.702606</v>
      </c>
      <c r="AH194" s="8">
        <f t="shared" si="10"/>
        <v>-2</v>
      </c>
      <c r="AK194" s="1">
        <v>2501</v>
      </c>
      <c r="AL194" s="1">
        <v>577.41009499999996</v>
      </c>
      <c r="AM194" s="8">
        <v>784.58203100000003</v>
      </c>
    </row>
    <row r="195" spans="2:39" ht="15.75" x14ac:dyDescent="0.25">
      <c r="C195" s="8" t="s">
        <v>1919</v>
      </c>
      <c r="D195" s="8">
        <v>2446</v>
      </c>
      <c r="E195" s="8" t="s">
        <v>1920</v>
      </c>
      <c r="F195" s="8" t="str">
        <f t="shared" si="11"/>
        <v>PT</v>
      </c>
      <c r="G195" s="2">
        <v>9.9090909090909101</v>
      </c>
      <c r="H195" s="2">
        <f>SUMIF(RouteID_Conversion!$P$2:$P$745,MD_BoardingByRoute!D195,RouteID_Conversion!$Q$2:$Q$745)</f>
        <v>0</v>
      </c>
      <c r="K195" s="8">
        <v>263</v>
      </c>
      <c r="L195" s="8">
        <v>139.30734252900001</v>
      </c>
      <c r="M195" s="8">
        <v>44.3093566895</v>
      </c>
      <c r="N195" s="2">
        <v>2.6363636363636362</v>
      </c>
      <c r="O195" s="2">
        <v>29</v>
      </c>
      <c r="P195" s="1"/>
      <c r="Q195" s="1"/>
      <c r="U195" s="1">
        <v>2501</v>
      </c>
      <c r="V195" s="1">
        <v>577.41009499999996</v>
      </c>
      <c r="W195" s="8">
        <v>7008</v>
      </c>
      <c r="X195" s="8">
        <v>7007</v>
      </c>
      <c r="Y195" s="8">
        <v>397.702606</v>
      </c>
      <c r="Z195" s="8">
        <v>167.559021</v>
      </c>
      <c r="AA195" s="8">
        <v>7007</v>
      </c>
      <c r="AB195" s="8">
        <v>345.07849099999999</v>
      </c>
      <c r="AD195" s="8">
        <v>119.965439</v>
      </c>
      <c r="AF195" s="8">
        <v>7008</v>
      </c>
      <c r="AG195" s="8">
        <v>139.71920800000001</v>
      </c>
      <c r="AH195" s="8">
        <f t="shared" si="10"/>
        <v>-1</v>
      </c>
      <c r="AK195" s="1">
        <v>2601</v>
      </c>
      <c r="AL195" s="1">
        <v>20.339988999999999</v>
      </c>
      <c r="AM195" s="8">
        <v>39.373412999999999</v>
      </c>
    </row>
    <row r="196" spans="2:39" ht="15.75" x14ac:dyDescent="0.25">
      <c r="B196" s="8">
        <v>2500</v>
      </c>
      <c r="C196" s="8" t="s">
        <v>530</v>
      </c>
      <c r="D196" s="8">
        <v>2500</v>
      </c>
      <c r="E196" s="8" t="s">
        <v>529</v>
      </c>
      <c r="F196" s="8" t="str">
        <f t="shared" si="11"/>
        <v>PT</v>
      </c>
      <c r="G196" s="2">
        <v>576.9545454545455</v>
      </c>
      <c r="H196" s="2">
        <f>SUMIF(RouteID_Conversion!$P$2:$P$745,MD_BoardingByRoute!D196,RouteID_Conversion!$Q$2:$Q$745)</f>
        <v>700.98898696899278</v>
      </c>
      <c r="K196" s="8">
        <v>268</v>
      </c>
      <c r="L196" s="8">
        <v>115.973693848</v>
      </c>
      <c r="M196" s="8">
        <v>80.412582397500003</v>
      </c>
      <c r="N196" s="2">
        <v>79.954545454545453</v>
      </c>
      <c r="O196" s="2">
        <v>1374.5</v>
      </c>
      <c r="P196" s="1"/>
      <c r="Q196" s="1"/>
      <c r="U196" s="1">
        <v>3106</v>
      </c>
      <c r="V196" s="1">
        <v>154.294479</v>
      </c>
      <c r="W196" s="8">
        <v>7018</v>
      </c>
      <c r="X196" s="8">
        <v>7017</v>
      </c>
      <c r="Y196" s="8">
        <v>135.79809599999999</v>
      </c>
      <c r="Z196" s="8">
        <v>118.66803</v>
      </c>
      <c r="AA196" s="8">
        <v>7017</v>
      </c>
      <c r="AB196" s="8">
        <v>109.98838000000001</v>
      </c>
      <c r="AD196" s="8">
        <v>101.939896</v>
      </c>
      <c r="AF196" s="8">
        <v>7018</v>
      </c>
      <c r="AG196" s="8">
        <v>121.75546300000001</v>
      </c>
      <c r="AH196" s="8">
        <f t="shared" si="10"/>
        <v>-1</v>
      </c>
      <c r="AK196" s="1">
        <v>3110</v>
      </c>
      <c r="AL196" s="1">
        <v>140.68553199999999</v>
      </c>
      <c r="AM196" s="8">
        <v>183.65791300000001</v>
      </c>
    </row>
    <row r="197" spans="2:39" ht="15.75" x14ac:dyDescent="0.25">
      <c r="B197" s="8">
        <v>2501</v>
      </c>
      <c r="C197" s="8" t="s">
        <v>772</v>
      </c>
      <c r="D197" s="8">
        <v>2501</v>
      </c>
      <c r="E197" s="8" t="s">
        <v>1924</v>
      </c>
      <c r="F197" s="8" t="str">
        <f t="shared" si="11"/>
        <v>PT</v>
      </c>
      <c r="G197" s="2">
        <v>240.27272727272725</v>
      </c>
      <c r="H197" s="2">
        <f>SUMIF(RouteID_Conversion!$P$2:$P$745,MD_BoardingByRoute!D197,RouteID_Conversion!$Q$2:$Q$745)</f>
        <v>314.92627191543534</v>
      </c>
      <c r="K197" s="8">
        <v>269</v>
      </c>
      <c r="L197" s="8">
        <v>21.287094116199999</v>
      </c>
      <c r="M197" s="8">
        <v>25.5341072083</v>
      </c>
      <c r="N197" s="2">
        <v>32.18181818181818</v>
      </c>
      <c r="O197" s="2">
        <v>775.36363636363637</v>
      </c>
      <c r="P197" s="1"/>
      <c r="Q197" s="1"/>
      <c r="U197" s="1">
        <v>3110</v>
      </c>
      <c r="V197" s="1">
        <v>140.68553199999999</v>
      </c>
      <c r="W197" s="8">
        <v>7025</v>
      </c>
      <c r="X197" s="8">
        <v>7018</v>
      </c>
      <c r="Y197" s="8">
        <v>121.75546300000001</v>
      </c>
      <c r="Z197" s="8">
        <v>125.772209</v>
      </c>
      <c r="AA197" s="8">
        <v>7018</v>
      </c>
      <c r="AB197" s="8">
        <v>101.779465</v>
      </c>
      <c r="AD197" s="8">
        <v>80.905929999999998</v>
      </c>
      <c r="AF197" s="8">
        <v>7025</v>
      </c>
      <c r="AG197" s="8">
        <v>112.95622299999999</v>
      </c>
      <c r="AH197" s="8">
        <f t="shared" si="10"/>
        <v>-7</v>
      </c>
      <c r="AK197" s="1">
        <v>3112</v>
      </c>
      <c r="AL197" s="1">
        <v>563.38177499999995</v>
      </c>
      <c r="AM197" s="8">
        <v>616.97699</v>
      </c>
    </row>
    <row r="198" spans="2:39" ht="15.75" x14ac:dyDescent="0.25">
      <c r="B198" s="8">
        <v>2603</v>
      </c>
      <c r="C198" s="8" t="s">
        <v>824</v>
      </c>
      <c r="D198" s="8">
        <v>2603</v>
      </c>
      <c r="E198" s="8" t="s">
        <v>823</v>
      </c>
      <c r="F198" s="8" t="str">
        <f t="shared" si="11"/>
        <v>PT</v>
      </c>
      <c r="G198" s="2">
        <v>7.545454545454545</v>
      </c>
      <c r="H198" s="2">
        <f>SUMIF(RouteID_Conversion!$P$2:$P$745,MD_BoardingByRoute!D198,RouteID_Conversion!$Q$2:$Q$745)</f>
        <v>13.311619967222208</v>
      </c>
      <c r="K198" s="8">
        <v>271</v>
      </c>
      <c r="L198" s="8">
        <v>67.773818969700002</v>
      </c>
      <c r="M198" s="8">
        <v>58.051368713400002</v>
      </c>
      <c r="N198" s="2">
        <v>0</v>
      </c>
      <c r="O198" s="2">
        <v>136.95454545454544</v>
      </c>
      <c r="P198" s="1"/>
      <c r="Q198" s="1"/>
      <c r="U198" s="1">
        <v>3113</v>
      </c>
      <c r="V198" s="1">
        <v>1262.059448</v>
      </c>
      <c r="W198" s="8">
        <v>7029</v>
      </c>
      <c r="X198" s="8">
        <v>7027</v>
      </c>
      <c r="Y198" s="8">
        <v>129.06456</v>
      </c>
      <c r="Z198" s="8">
        <v>265.45141599999999</v>
      </c>
      <c r="AA198" s="8">
        <v>7027</v>
      </c>
      <c r="AB198" s="8">
        <v>117.861412</v>
      </c>
      <c r="AD198" s="8">
        <v>209.64233400000001</v>
      </c>
      <c r="AF198" s="8">
        <v>7029</v>
      </c>
      <c r="AG198" s="8">
        <v>236.933212</v>
      </c>
      <c r="AH198" s="8">
        <f t="shared" si="10"/>
        <v>-2</v>
      </c>
      <c r="AK198" s="1">
        <v>3115</v>
      </c>
      <c r="AL198" s="1">
        <v>1389.9111330000001</v>
      </c>
      <c r="AM198" s="8">
        <v>1604.239014</v>
      </c>
    </row>
    <row r="199" spans="2:39" ht="15.75" x14ac:dyDescent="0.25">
      <c r="B199" s="8">
        <v>3101</v>
      </c>
      <c r="C199" s="8" t="s">
        <v>635</v>
      </c>
      <c r="D199" s="8">
        <v>3101</v>
      </c>
      <c r="E199" s="8" t="s">
        <v>1925</v>
      </c>
      <c r="F199" s="8" t="str">
        <f t="shared" si="11"/>
        <v>CT</v>
      </c>
      <c r="G199" s="2">
        <v>783.83948504216551</v>
      </c>
      <c r="H199" s="2">
        <f>SUMIF(RouteID_Conversion!$P$2:$P$745,MD_BoardingByRoute!D199,RouteID_Conversion!$Q$2:$Q$745)</f>
        <v>592.28664398193246</v>
      </c>
      <c r="K199" s="8">
        <v>272</v>
      </c>
      <c r="L199" s="8">
        <v>112.956359863</v>
      </c>
      <c r="M199" s="8">
        <v>58.051368713400002</v>
      </c>
      <c r="N199" s="2">
        <v>149.95752136281632</v>
      </c>
      <c r="O199" s="2">
        <v>2094.5</v>
      </c>
      <c r="P199" s="1"/>
      <c r="Q199" s="1"/>
      <c r="U199" s="1">
        <v>3115</v>
      </c>
      <c r="V199" s="1">
        <v>1389.9111330000001</v>
      </c>
      <c r="W199" s="8">
        <v>7701</v>
      </c>
      <c r="X199" s="8">
        <v>7029</v>
      </c>
      <c r="Y199" s="8">
        <v>236.933212</v>
      </c>
      <c r="Z199" s="8">
        <v>135.973511</v>
      </c>
      <c r="AA199" s="8">
        <v>7029</v>
      </c>
      <c r="AB199" s="8">
        <v>209.69274899999999</v>
      </c>
      <c r="AD199" s="8">
        <v>110.343948</v>
      </c>
      <c r="AF199" s="8">
        <v>7701</v>
      </c>
      <c r="AG199" s="8">
        <v>125.311806</v>
      </c>
      <c r="AH199" s="8">
        <f t="shared" si="10"/>
        <v>-672</v>
      </c>
      <c r="AK199" s="1">
        <v>3116</v>
      </c>
      <c r="AL199" s="1">
        <v>1151.7257079999999</v>
      </c>
      <c r="AM199" s="8">
        <v>1331.2969969999999</v>
      </c>
    </row>
    <row r="200" spans="2:39" ht="15.75" x14ac:dyDescent="0.25">
      <c r="B200" s="8">
        <v>3105</v>
      </c>
      <c r="C200" s="8" t="s">
        <v>630</v>
      </c>
      <c r="D200" s="8">
        <v>3105</v>
      </c>
      <c r="E200" s="8" t="s">
        <v>1926</v>
      </c>
      <c r="F200" s="8" t="str">
        <f t="shared" si="11"/>
        <v>CT</v>
      </c>
      <c r="G200" s="2">
        <v>160.48232317408704</v>
      </c>
      <c r="H200" s="2">
        <f>SUMIF(RouteID_Conversion!$P$2:$P$745,MD_BoardingByRoute!D200,RouteID_Conversion!$Q$2:$Q$745)</f>
        <v>220.73761558532692</v>
      </c>
      <c r="K200" s="8">
        <v>273</v>
      </c>
      <c r="L200" s="8">
        <v>45.182540893599999</v>
      </c>
      <c r="M200" s="8">
        <v>58.051368713400002</v>
      </c>
      <c r="N200" s="2">
        <v>41.848248918397843</v>
      </c>
      <c r="O200" s="2">
        <v>853.22727272727286</v>
      </c>
      <c r="P200" s="1"/>
      <c r="Q200" s="1"/>
      <c r="U200" s="1">
        <v>3116</v>
      </c>
      <c r="V200" s="1">
        <v>1151.7257079999999</v>
      </c>
      <c r="W200" s="8">
        <v>3121</v>
      </c>
      <c r="X200" s="8">
        <v>7701</v>
      </c>
      <c r="Y200" s="8">
        <v>125.311806</v>
      </c>
      <c r="Z200" s="8">
        <v>93.016220000000004</v>
      </c>
      <c r="AA200" s="8">
        <v>7701</v>
      </c>
      <c r="AB200" s="8">
        <v>110.18119799999999</v>
      </c>
      <c r="AD200" s="8">
        <v>65.988640000000004</v>
      </c>
      <c r="AF200" s="8">
        <v>3121</v>
      </c>
      <c r="AG200" s="8">
        <v>90.934235000000001</v>
      </c>
      <c r="AH200" s="8">
        <f t="shared" si="10"/>
        <v>4580</v>
      </c>
      <c r="AK200" s="1">
        <v>3118</v>
      </c>
      <c r="AL200" s="1">
        <v>606.27728300000001</v>
      </c>
      <c r="AM200" s="8">
        <v>686.98236099999997</v>
      </c>
    </row>
    <row r="201" spans="2:39" ht="15.75" x14ac:dyDescent="0.25">
      <c r="B201" s="8">
        <v>3106</v>
      </c>
      <c r="C201" s="8" t="s">
        <v>519</v>
      </c>
      <c r="D201" s="8">
        <v>3106</v>
      </c>
      <c r="E201" s="8" t="s">
        <v>1927</v>
      </c>
      <c r="F201" s="8" t="str">
        <f t="shared" si="11"/>
        <v>CT</v>
      </c>
      <c r="G201" s="2">
        <v>183.24262882336731</v>
      </c>
      <c r="H201" s="2">
        <f>SUMIF(RouteID_Conversion!$P$2:$P$745,MD_BoardingByRoute!D201,RouteID_Conversion!$Q$2:$Q$745)</f>
        <v>200.08937454223607</v>
      </c>
      <c r="K201" s="8">
        <v>274</v>
      </c>
      <c r="L201" s="8">
        <v>45.182540893599999</v>
      </c>
      <c r="M201" s="8">
        <v>58.051368713400002</v>
      </c>
      <c r="N201" s="2"/>
      <c r="O201" s="2">
        <v>202.5</v>
      </c>
      <c r="P201" s="1"/>
      <c r="Q201" s="1"/>
      <c r="U201" s="1">
        <v>3118</v>
      </c>
      <c r="V201" s="1">
        <v>606.27728300000001</v>
      </c>
      <c r="W201" s="8">
        <v>3130</v>
      </c>
      <c r="X201" s="8">
        <v>3121</v>
      </c>
      <c r="Y201" s="8">
        <v>90.934235000000001</v>
      </c>
      <c r="Z201" s="8">
        <v>254.80508399999999</v>
      </c>
      <c r="AA201" s="8">
        <v>3121</v>
      </c>
      <c r="AB201" s="8">
        <v>65.660820000000001</v>
      </c>
      <c r="AD201" s="8">
        <v>195.86479199999999</v>
      </c>
      <c r="AF201" s="8">
        <v>3130</v>
      </c>
      <c r="AG201" s="8">
        <v>244.71608000000001</v>
      </c>
      <c r="AH201" s="8">
        <f t="shared" si="10"/>
        <v>-9</v>
      </c>
      <c r="AK201" s="1">
        <v>3119</v>
      </c>
      <c r="AL201" s="1">
        <v>185.51412999999999</v>
      </c>
      <c r="AM201" s="8">
        <v>197.02140800000001</v>
      </c>
    </row>
    <row r="202" spans="2:39" ht="15.75" x14ac:dyDescent="0.25">
      <c r="B202" s="8">
        <v>3110</v>
      </c>
      <c r="C202" s="8" t="s">
        <v>1188</v>
      </c>
      <c r="D202" s="8">
        <v>3110</v>
      </c>
      <c r="E202" s="8" t="s">
        <v>1928</v>
      </c>
      <c r="F202" s="8" t="str">
        <f t="shared" si="11"/>
        <v>CT</v>
      </c>
      <c r="G202" s="2">
        <v>164.60096015474633</v>
      </c>
      <c r="H202" s="2">
        <f>SUMIF(RouteID_Conversion!$P$2:$P$745,MD_BoardingByRoute!D202,RouteID_Conversion!$Q$2:$Q$745)</f>
        <v>117.44294714927662</v>
      </c>
      <c r="K202" s="8">
        <v>275</v>
      </c>
      <c r="L202" s="8">
        <v>85.911170959499998</v>
      </c>
      <c r="M202" s="8">
        <v>59.629917144799997</v>
      </c>
      <c r="N202" s="2">
        <v>6.5184442562573075</v>
      </c>
      <c r="O202" s="2">
        <v>426.40909090909093</v>
      </c>
      <c r="P202" s="1"/>
      <c r="Q202" s="1"/>
      <c r="U202" s="1">
        <v>3119</v>
      </c>
      <c r="V202" s="1">
        <v>185.51412999999999</v>
      </c>
      <c r="W202" s="8">
        <v>3131</v>
      </c>
      <c r="X202" s="8">
        <v>3130</v>
      </c>
      <c r="Y202" s="8">
        <v>244.71608000000001</v>
      </c>
      <c r="Z202" s="8">
        <v>440.72412100000003</v>
      </c>
      <c r="AA202" s="8">
        <v>3130</v>
      </c>
      <c r="AB202" s="8">
        <v>196.76731899999999</v>
      </c>
      <c r="AD202" s="8">
        <v>359.62042200000002</v>
      </c>
      <c r="AF202" s="8">
        <v>3131</v>
      </c>
      <c r="AG202" s="8">
        <v>436.05721999999997</v>
      </c>
      <c r="AH202" s="8">
        <f t="shared" si="10"/>
        <v>-1</v>
      </c>
      <c r="AK202" s="1">
        <v>3120</v>
      </c>
      <c r="AL202" s="1">
        <v>34.833134000000001</v>
      </c>
      <c r="AM202" s="8">
        <v>36.724594000000003</v>
      </c>
    </row>
    <row r="203" spans="2:39" ht="15.75" x14ac:dyDescent="0.25">
      <c r="B203" s="8">
        <v>3112</v>
      </c>
      <c r="C203" s="8" t="s">
        <v>1132</v>
      </c>
      <c r="D203" s="8">
        <v>3112</v>
      </c>
      <c r="E203" s="8" t="s">
        <v>1929</v>
      </c>
      <c r="F203" s="8" t="str">
        <f t="shared" si="11"/>
        <v>CT</v>
      </c>
      <c r="G203" s="2">
        <v>477.2090780324491</v>
      </c>
      <c r="H203" s="2">
        <f>SUMIF(RouteID_Conversion!$P$2:$P$745,MD_BoardingByRoute!D203,RouteID_Conversion!$Q$2:$Q$745)</f>
        <v>169.56048344075671</v>
      </c>
      <c r="K203" s="8">
        <v>276</v>
      </c>
      <c r="L203" s="8">
        <v>40.450778961200001</v>
      </c>
      <c r="M203" s="8">
        <v>57.143333435099997</v>
      </c>
      <c r="N203" s="2">
        <v>30.662331530603481</v>
      </c>
      <c r="O203" s="2">
        <v>1118.9545454545453</v>
      </c>
      <c r="P203" s="1"/>
      <c r="Q203" s="1"/>
      <c r="U203" s="1">
        <v>3120</v>
      </c>
      <c r="V203" s="1">
        <v>34.833134000000001</v>
      </c>
      <c r="W203" s="8">
        <v>3201</v>
      </c>
      <c r="X203" s="8">
        <v>3131</v>
      </c>
      <c r="Y203" s="8">
        <v>436.05721999999997</v>
      </c>
      <c r="Z203" s="8">
        <v>1339.9243160000001</v>
      </c>
      <c r="AA203" s="8">
        <v>3131</v>
      </c>
      <c r="AB203" s="8">
        <v>359.18862899999999</v>
      </c>
      <c r="AD203" s="8">
        <v>1100.1096190000001</v>
      </c>
      <c r="AF203" s="8">
        <v>3201</v>
      </c>
      <c r="AG203" s="8">
        <v>1143.4976810000001</v>
      </c>
      <c r="AH203" s="8">
        <f t="shared" ref="AH203:AH241" si="12">AA203-AF203</f>
        <v>-70</v>
      </c>
      <c r="AK203" s="1">
        <v>3121</v>
      </c>
      <c r="AL203" s="1">
        <v>443.334473</v>
      </c>
      <c r="AM203" s="8">
        <v>449.66677900000002</v>
      </c>
    </row>
    <row r="204" spans="2:39" ht="15.75" x14ac:dyDescent="0.25">
      <c r="B204" s="8">
        <v>3113</v>
      </c>
      <c r="C204" s="8" t="s">
        <v>1232</v>
      </c>
      <c r="D204" s="8">
        <v>3113</v>
      </c>
      <c r="E204" s="8" t="s">
        <v>1930</v>
      </c>
      <c r="F204" s="8" t="str">
        <f t="shared" si="11"/>
        <v>CT</v>
      </c>
      <c r="G204" s="2">
        <v>483.48175508535769</v>
      </c>
      <c r="H204" s="2">
        <f>SUMIF(RouteID_Conversion!$P$2:$P$745,MD_BoardingByRoute!D204,RouteID_Conversion!$Q$2:$Q$745)</f>
        <v>652.48388290405114</v>
      </c>
      <c r="K204" s="8">
        <v>277</v>
      </c>
      <c r="L204" s="8">
        <v>35.879394531300001</v>
      </c>
      <c r="M204" s="8">
        <v>40.428306579599997</v>
      </c>
      <c r="N204" s="2">
        <v>62.2934645014955</v>
      </c>
      <c r="O204" s="2">
        <v>1178.4090909090912</v>
      </c>
      <c r="P204" s="1"/>
      <c r="Q204" s="1"/>
      <c r="U204" s="1">
        <v>3121</v>
      </c>
      <c r="V204" s="1">
        <v>443.334473</v>
      </c>
      <c r="W204" s="8">
        <v>3202</v>
      </c>
      <c r="X204" s="8">
        <v>3201</v>
      </c>
      <c r="Y204" s="8">
        <v>1143.4976810000001</v>
      </c>
      <c r="Z204" s="8">
        <v>1445.355957</v>
      </c>
      <c r="AA204" s="8">
        <v>3201</v>
      </c>
      <c r="AB204" s="8">
        <v>1101.585693</v>
      </c>
      <c r="AD204" s="8">
        <v>1183.5517580000001</v>
      </c>
      <c r="AF204" s="8">
        <v>3202</v>
      </c>
      <c r="AG204" s="8">
        <v>1260.524658</v>
      </c>
      <c r="AH204" s="8">
        <f t="shared" si="12"/>
        <v>-1</v>
      </c>
      <c r="AK204" s="1">
        <v>3130</v>
      </c>
      <c r="AL204" s="1">
        <v>148.10574299999999</v>
      </c>
      <c r="AM204" s="8">
        <v>173.283691</v>
      </c>
    </row>
    <row r="205" spans="2:39" ht="15.75" x14ac:dyDescent="0.25">
      <c r="B205" s="8">
        <v>3115</v>
      </c>
      <c r="C205" s="8" t="s">
        <v>1241</v>
      </c>
      <c r="D205" s="8">
        <v>3115</v>
      </c>
      <c r="E205" s="8" t="s">
        <v>1931</v>
      </c>
      <c r="F205" s="8" t="str">
        <f t="shared" si="11"/>
        <v>CT</v>
      </c>
      <c r="G205" s="2">
        <v>721.22551208227299</v>
      </c>
      <c r="H205" s="2">
        <f>SUMIF(RouteID_Conversion!$P$2:$P$745,MD_BoardingByRoute!D205,RouteID_Conversion!$Q$2:$Q$745)</f>
        <v>0</v>
      </c>
      <c r="K205" s="8">
        <v>278</v>
      </c>
      <c r="L205" s="8">
        <v>47.269374847400002</v>
      </c>
      <c r="M205" s="8">
        <v>36.748592376700003</v>
      </c>
      <c r="N205" s="2">
        <v>30.516554557785796</v>
      </c>
      <c r="O205" s="2">
        <v>1584.7727272727273</v>
      </c>
      <c r="P205" s="1"/>
      <c r="Q205" s="1"/>
      <c r="U205" s="1">
        <v>3130</v>
      </c>
      <c r="V205" s="1">
        <v>148.10574299999999</v>
      </c>
      <c r="W205" s="8">
        <v>3221</v>
      </c>
      <c r="X205" s="8">
        <v>3202</v>
      </c>
      <c r="Y205" s="8">
        <v>1260.524658</v>
      </c>
      <c r="Z205" s="8">
        <v>294.849243</v>
      </c>
      <c r="AA205" s="8">
        <v>3202</v>
      </c>
      <c r="AB205" s="8">
        <v>1184.9433590000001</v>
      </c>
      <c r="AD205" s="8">
        <v>240.25775100000001</v>
      </c>
      <c r="AF205" s="8">
        <v>3221</v>
      </c>
      <c r="AG205" s="8">
        <v>260.39163200000002</v>
      </c>
      <c r="AH205" s="8">
        <f t="shared" si="12"/>
        <v>-19</v>
      </c>
      <c r="AK205" s="1">
        <v>3131</v>
      </c>
      <c r="AL205" s="1">
        <v>316.03539999999998</v>
      </c>
      <c r="AM205" s="8">
        <v>378.89392099999998</v>
      </c>
    </row>
    <row r="206" spans="2:39" ht="15.75" x14ac:dyDescent="0.25">
      <c r="B206" s="8">
        <v>3116</v>
      </c>
      <c r="C206" s="8" t="s">
        <v>1237</v>
      </c>
      <c r="D206" s="8">
        <v>3116</v>
      </c>
      <c r="E206" s="8" t="s">
        <v>1932</v>
      </c>
      <c r="F206" s="8" t="str">
        <f t="shared" si="11"/>
        <v>CT</v>
      </c>
      <c r="G206" s="2">
        <v>642.6143049360071</v>
      </c>
      <c r="H206" s="2">
        <f>SUMIF(RouteID_Conversion!$P$2:$P$745,MD_BoardingByRoute!D206,RouteID_Conversion!$Q$2:$Q$745)</f>
        <v>789.39698791503861</v>
      </c>
      <c r="K206" s="8">
        <v>279</v>
      </c>
      <c r="L206" s="8">
        <v>5.5459022522000003</v>
      </c>
      <c r="M206" s="8">
        <v>26.506528854399999</v>
      </c>
      <c r="N206" s="2">
        <v>39.061028075200234</v>
      </c>
      <c r="O206" s="2">
        <v>1499.863636363636</v>
      </c>
      <c r="P206" s="1"/>
      <c r="Q206" s="1"/>
      <c r="U206" s="1">
        <v>3131</v>
      </c>
      <c r="V206" s="1">
        <v>316.03539999999998</v>
      </c>
      <c r="W206" s="8">
        <v>3222</v>
      </c>
      <c r="X206" s="8">
        <v>3221</v>
      </c>
      <c r="Y206" s="8">
        <v>260.39163200000002</v>
      </c>
      <c r="Z206" s="8">
        <v>231.764725</v>
      </c>
      <c r="AA206" s="8">
        <v>3221</v>
      </c>
      <c r="AB206" s="8">
        <v>240.358521</v>
      </c>
      <c r="AD206" s="8">
        <v>183.367569</v>
      </c>
      <c r="AF206" s="8">
        <v>3222</v>
      </c>
      <c r="AG206" s="8">
        <v>203.81587200000001</v>
      </c>
      <c r="AH206" s="8">
        <f t="shared" si="12"/>
        <v>-1</v>
      </c>
      <c r="AK206" s="1">
        <v>3190</v>
      </c>
      <c r="AL206" s="1">
        <v>95.624504000000002</v>
      </c>
      <c r="AM206" s="8">
        <v>95.040870999999996</v>
      </c>
    </row>
    <row r="207" spans="2:39" ht="15.75" x14ac:dyDescent="0.25">
      <c r="B207" s="8">
        <v>3118</v>
      </c>
      <c r="C207" s="8" t="s">
        <v>1227</v>
      </c>
      <c r="D207" s="8">
        <v>3118</v>
      </c>
      <c r="E207" s="8" t="s">
        <v>1933</v>
      </c>
      <c r="F207" s="8" t="str">
        <f t="shared" si="11"/>
        <v>CT</v>
      </c>
      <c r="G207" s="2">
        <v>738.85168356975589</v>
      </c>
      <c r="H207" s="2">
        <f>SUMIF(RouteID_Conversion!$P$2:$P$745,MD_BoardingByRoute!D207,RouteID_Conversion!$Q$2:$Q$745)</f>
        <v>399.83426856994527</v>
      </c>
      <c r="K207" s="8">
        <v>280</v>
      </c>
      <c r="L207" s="8">
        <v>32.538005828899998</v>
      </c>
      <c r="M207" s="8">
        <v>27.4225254059</v>
      </c>
      <c r="N207" s="2">
        <v>32.758479763576027</v>
      </c>
      <c r="O207" s="2">
        <v>1547.5454545454547</v>
      </c>
      <c r="P207" s="1"/>
      <c r="Q207" s="1"/>
      <c r="U207" s="1">
        <v>3190</v>
      </c>
      <c r="V207" s="1">
        <v>95.624504000000002</v>
      </c>
      <c r="W207" s="8">
        <v>3240</v>
      </c>
      <c r="X207" s="8">
        <v>3222</v>
      </c>
      <c r="Y207" s="8">
        <v>203.81587200000001</v>
      </c>
      <c r="Z207" s="8">
        <v>279.48812900000001</v>
      </c>
      <c r="AA207" s="8">
        <v>3222</v>
      </c>
      <c r="AB207" s="8">
        <v>183.29835499999999</v>
      </c>
      <c r="AD207" s="8">
        <v>228.213165</v>
      </c>
      <c r="AF207" s="8">
        <v>3240</v>
      </c>
      <c r="AG207" s="8">
        <v>238.65817300000001</v>
      </c>
      <c r="AH207" s="8">
        <f t="shared" si="12"/>
        <v>-18</v>
      </c>
      <c r="AK207" s="1">
        <v>3200</v>
      </c>
      <c r="AL207" s="1">
        <v>733.15991199999996</v>
      </c>
      <c r="AM207" s="8">
        <v>1040.3267820000001</v>
      </c>
    </row>
    <row r="208" spans="2:39" ht="15.75" x14ac:dyDescent="0.25">
      <c r="B208" s="8">
        <v>3119</v>
      </c>
      <c r="C208" s="8" t="s">
        <v>1222</v>
      </c>
      <c r="D208" s="8">
        <v>3119</v>
      </c>
      <c r="E208" s="8" t="s">
        <v>1934</v>
      </c>
      <c r="F208" s="8" t="str">
        <f t="shared" si="11"/>
        <v>CT</v>
      </c>
      <c r="G208" s="2">
        <v>89.855412612622729</v>
      </c>
      <c r="H208" s="2">
        <f>SUMIF(RouteID_Conversion!$P$2:$P$745,MD_BoardingByRoute!D208,RouteID_Conversion!$Q$2:$Q$745)</f>
        <v>30.009523987769981</v>
      </c>
      <c r="K208" s="8">
        <v>281</v>
      </c>
      <c r="L208" s="8">
        <v>6.3353638648999997</v>
      </c>
      <c r="M208" s="8">
        <v>25.627573013300001</v>
      </c>
      <c r="N208" s="2">
        <v>4.2314460524454525</v>
      </c>
      <c r="O208" s="2">
        <v>259.90909090909099</v>
      </c>
      <c r="P208" s="1"/>
      <c r="Q208" s="1"/>
      <c r="U208" s="1">
        <v>3200</v>
      </c>
      <c r="V208" s="1">
        <v>733.15991199999996</v>
      </c>
      <c r="W208" s="8">
        <v>3270</v>
      </c>
      <c r="X208" s="8">
        <v>3240</v>
      </c>
      <c r="Y208" s="8">
        <v>238.65817300000001</v>
      </c>
      <c r="Z208" s="8">
        <v>452.004974</v>
      </c>
      <c r="AA208" s="8">
        <v>3240</v>
      </c>
      <c r="AB208" s="8">
        <v>228.78286700000001</v>
      </c>
      <c r="AD208" s="8">
        <v>385.024384</v>
      </c>
      <c r="AF208" s="8">
        <v>3270</v>
      </c>
      <c r="AG208" s="8">
        <v>368.63638300000002</v>
      </c>
      <c r="AH208" s="8">
        <f t="shared" si="12"/>
        <v>-30</v>
      </c>
      <c r="AK208" s="1">
        <v>3201</v>
      </c>
      <c r="AL208" s="1">
        <v>1352.2579350000001</v>
      </c>
      <c r="AM208" s="8">
        <v>1991.385254</v>
      </c>
    </row>
    <row r="209" spans="2:39" ht="15.75" x14ac:dyDescent="0.25">
      <c r="B209" s="8">
        <v>3120</v>
      </c>
      <c r="C209" s="8" t="s">
        <v>441</v>
      </c>
      <c r="D209" s="8">
        <v>3120</v>
      </c>
      <c r="E209" s="8" t="s">
        <v>1935</v>
      </c>
      <c r="F209" s="8" t="str">
        <f t="shared" si="11"/>
        <v>CT</v>
      </c>
      <c r="G209" s="2">
        <v>196.59603932531007</v>
      </c>
      <c r="H209" s="2">
        <f>SUMIF(RouteID_Conversion!$P$2:$P$745,MD_BoardingByRoute!D209,RouteID_Conversion!$Q$2:$Q$745)</f>
        <v>151.75186824798573</v>
      </c>
      <c r="K209" s="8">
        <v>282</v>
      </c>
      <c r="L209" s="8">
        <v>120.983924866</v>
      </c>
      <c r="M209" s="8">
        <v>79.942626953100003</v>
      </c>
      <c r="N209" s="2">
        <v>5.0128599339388558</v>
      </c>
      <c r="O209" s="2">
        <v>281.63636363636368</v>
      </c>
      <c r="P209" s="1"/>
      <c r="Q209" s="1"/>
      <c r="U209" s="1">
        <v>3201</v>
      </c>
      <c r="V209" s="1">
        <v>1352.2579350000001</v>
      </c>
      <c r="W209" s="8">
        <v>3275</v>
      </c>
      <c r="X209" s="8">
        <v>3270</v>
      </c>
      <c r="Y209" s="8">
        <v>368.63638300000002</v>
      </c>
      <c r="Z209" s="8">
        <v>331.40954599999998</v>
      </c>
      <c r="AA209" s="8">
        <v>3270</v>
      </c>
      <c r="AB209" s="8">
        <v>385.52185100000003</v>
      </c>
      <c r="AD209" s="8">
        <v>259.405731</v>
      </c>
      <c r="AF209" s="8">
        <v>3275</v>
      </c>
      <c r="AG209" s="8">
        <v>275.16281099999998</v>
      </c>
      <c r="AH209" s="8">
        <f t="shared" si="12"/>
        <v>-5</v>
      </c>
      <c r="AK209" s="1">
        <v>3202</v>
      </c>
      <c r="AL209" s="1">
        <v>619.80835000000002</v>
      </c>
      <c r="AM209" s="8">
        <v>777.27020300000004</v>
      </c>
    </row>
    <row r="210" spans="2:39" ht="15.75" x14ac:dyDescent="0.25">
      <c r="B210" s="8">
        <v>3121</v>
      </c>
      <c r="C210" s="8" t="s">
        <v>627</v>
      </c>
      <c r="D210" s="8">
        <v>3121</v>
      </c>
      <c r="E210" s="8" t="s">
        <v>1936</v>
      </c>
      <c r="F210" s="8" t="str">
        <f t="shared" si="11"/>
        <v>CT</v>
      </c>
      <c r="G210" s="2">
        <v>57.298999236961151</v>
      </c>
      <c r="H210" s="2">
        <f>SUMIF(RouteID_Conversion!$P$2:$P$745,MD_BoardingByRoute!D210,RouteID_Conversion!$Q$2:$Q$745)</f>
        <v>31.379199981689357</v>
      </c>
      <c r="K210" s="8">
        <v>283</v>
      </c>
      <c r="L210" s="8">
        <v>14.8598308563</v>
      </c>
      <c r="M210" s="8">
        <v>46.753944396999998</v>
      </c>
      <c r="N210" s="2">
        <v>24.146153317069494</v>
      </c>
      <c r="O210" s="2">
        <v>438.81818181818176</v>
      </c>
      <c r="P210" s="1"/>
      <c r="Q210" s="1"/>
      <c r="U210" s="1">
        <v>3202</v>
      </c>
      <c r="V210" s="1">
        <v>619.80835000000002</v>
      </c>
      <c r="W210" s="8">
        <v>3280</v>
      </c>
      <c r="X210" s="8">
        <v>3275</v>
      </c>
      <c r="Y210" s="8">
        <v>275.16281099999998</v>
      </c>
      <c r="Z210" s="8">
        <v>515.73449700000003</v>
      </c>
      <c r="AA210" s="8">
        <v>3275</v>
      </c>
      <c r="AB210" s="8">
        <v>259.74978599999997</v>
      </c>
      <c r="AD210" s="8">
        <v>399.87939499999999</v>
      </c>
      <c r="AF210" s="8">
        <v>3280</v>
      </c>
      <c r="AG210" s="8">
        <v>464.17175300000002</v>
      </c>
      <c r="AH210" s="8">
        <f t="shared" si="12"/>
        <v>-5</v>
      </c>
      <c r="AK210" s="1">
        <v>3221</v>
      </c>
      <c r="AL210" s="1">
        <v>280.28097500000001</v>
      </c>
      <c r="AM210" s="8">
        <v>346.33703600000001</v>
      </c>
    </row>
    <row r="211" spans="2:39" ht="15.75" x14ac:dyDescent="0.25">
      <c r="B211" s="8">
        <v>3130</v>
      </c>
      <c r="C211" s="8" t="s">
        <v>622</v>
      </c>
      <c r="D211" s="8">
        <v>3130</v>
      </c>
      <c r="E211" s="8" t="s">
        <v>1937</v>
      </c>
      <c r="F211" s="8" t="str">
        <f t="shared" si="11"/>
        <v>CT</v>
      </c>
      <c r="G211" s="2">
        <v>204.98273349230865</v>
      </c>
      <c r="H211" s="2">
        <f>SUMIF(RouteID_Conversion!$P$2:$P$745,MD_BoardingByRoute!D211,RouteID_Conversion!$Q$2:$Q$745)</f>
        <v>143.90548801422105</v>
      </c>
      <c r="K211" s="8">
        <v>284</v>
      </c>
      <c r="L211" s="8">
        <v>30.7609138489</v>
      </c>
      <c r="M211" s="8">
        <v>39.661487579300001</v>
      </c>
      <c r="N211" s="2">
        <v>6.9805598353865879</v>
      </c>
      <c r="O211" s="2">
        <v>516.4545454545455</v>
      </c>
      <c r="P211" s="1"/>
      <c r="Q211" s="1"/>
      <c r="U211" s="1">
        <v>3221</v>
      </c>
      <c r="V211" s="1">
        <v>280.28097500000001</v>
      </c>
      <c r="W211" s="8">
        <v>3402</v>
      </c>
      <c r="X211" s="8">
        <v>3280</v>
      </c>
      <c r="Y211" s="8">
        <v>464.17175300000002</v>
      </c>
      <c r="Z211" s="8">
        <v>26.781181</v>
      </c>
      <c r="AA211" s="8">
        <v>3280</v>
      </c>
      <c r="AB211" s="8">
        <v>400.55157500000001</v>
      </c>
      <c r="AD211" s="8">
        <v>21.064079</v>
      </c>
      <c r="AF211" s="8">
        <v>3402</v>
      </c>
      <c r="AG211" s="8">
        <v>23.839884000000001</v>
      </c>
      <c r="AH211" s="8">
        <f t="shared" si="12"/>
        <v>-122</v>
      </c>
      <c r="AK211" s="1">
        <v>3222</v>
      </c>
      <c r="AL211" s="1">
        <v>172.110062</v>
      </c>
      <c r="AM211" s="8">
        <v>214.540649</v>
      </c>
    </row>
    <row r="212" spans="2:39" ht="15.75" x14ac:dyDescent="0.25">
      <c r="B212" s="8">
        <v>3131</v>
      </c>
      <c r="C212" s="8" t="s">
        <v>1183</v>
      </c>
      <c r="D212" s="8">
        <v>3131</v>
      </c>
      <c r="E212" s="8" t="s">
        <v>1938</v>
      </c>
      <c r="F212" s="8" t="str">
        <f t="shared" si="11"/>
        <v>CT</v>
      </c>
      <c r="G212" s="2">
        <v>312.31321415631868</v>
      </c>
      <c r="H212" s="2">
        <f>SUMIF(RouteID_Conversion!$P$2:$P$745,MD_BoardingByRoute!D212,RouteID_Conversion!$Q$2:$Q$745)</f>
        <v>255.7358026504514</v>
      </c>
      <c r="K212" s="8">
        <v>285</v>
      </c>
      <c r="L212" s="8">
        <v>42.030464172400002</v>
      </c>
      <c r="M212" s="8">
        <v>63.4869804382</v>
      </c>
      <c r="N212" s="2">
        <v>11.457461344372613</v>
      </c>
      <c r="O212" s="2">
        <v>631</v>
      </c>
      <c r="P212" s="1"/>
      <c r="Q212" s="1"/>
      <c r="U212" s="1">
        <v>3222</v>
      </c>
      <c r="V212" s="1">
        <v>172.110062</v>
      </c>
      <c r="W212" s="8">
        <v>3414</v>
      </c>
      <c r="X212" s="8">
        <v>3402</v>
      </c>
      <c r="Y212" s="8">
        <v>23.839884000000001</v>
      </c>
      <c r="Z212" s="8">
        <v>176.17591899999999</v>
      </c>
      <c r="AA212" s="8">
        <v>3402</v>
      </c>
      <c r="AB212" s="8">
        <v>21.245562</v>
      </c>
      <c r="AD212" s="8">
        <v>152.74572800000001</v>
      </c>
      <c r="AF212" s="8">
        <v>3414</v>
      </c>
      <c r="AG212" s="8">
        <v>172.59841900000001</v>
      </c>
      <c r="AH212" s="8">
        <f t="shared" si="12"/>
        <v>-12</v>
      </c>
      <c r="AK212" s="1">
        <v>3230</v>
      </c>
      <c r="AL212" s="1">
        <v>71.122176999999994</v>
      </c>
      <c r="AM212" s="8">
        <v>101.268936</v>
      </c>
    </row>
    <row r="213" spans="2:39" ht="15.75" x14ac:dyDescent="0.25">
      <c r="B213" s="8">
        <v>3190</v>
      </c>
      <c r="C213" s="8" t="s">
        <v>619</v>
      </c>
      <c r="D213" s="8">
        <v>3190</v>
      </c>
      <c r="E213" s="8" t="s">
        <v>1939</v>
      </c>
      <c r="F213" s="8" t="str">
        <f t="shared" si="11"/>
        <v>CT</v>
      </c>
      <c r="G213" s="2">
        <v>102.93327213407061</v>
      </c>
      <c r="H213" s="2">
        <f>SUMIF(RouteID_Conversion!$P$2:$P$745,MD_BoardingByRoute!D213,RouteID_Conversion!$Q$2:$Q$745)</f>
        <v>0</v>
      </c>
      <c r="K213" s="8">
        <v>286</v>
      </c>
      <c r="L213" s="8">
        <v>27.0326461792</v>
      </c>
      <c r="M213" s="8">
        <v>47.109188079799999</v>
      </c>
      <c r="N213" s="2"/>
      <c r="O213" s="2">
        <v>214.63636363636363</v>
      </c>
      <c r="P213" s="1"/>
      <c r="Q213" s="1"/>
      <c r="U213" s="1">
        <v>3230</v>
      </c>
      <c r="V213" s="1">
        <v>71.122176999999994</v>
      </c>
      <c r="W213" s="8">
        <v>3421</v>
      </c>
      <c r="X213" s="8">
        <v>3414</v>
      </c>
      <c r="Y213" s="8">
        <v>172.59841900000001</v>
      </c>
      <c r="Z213" s="8">
        <v>13.005558000000001</v>
      </c>
      <c r="AA213" s="8">
        <v>3414</v>
      </c>
      <c r="AB213" s="8">
        <v>151.31274400000001</v>
      </c>
      <c r="AD213" s="8">
        <v>9.8749310000000001</v>
      </c>
      <c r="AF213" s="8">
        <v>3421</v>
      </c>
      <c r="AG213" s="8">
        <v>11.756679999999999</v>
      </c>
      <c r="AH213" s="8">
        <f t="shared" si="12"/>
        <v>-7</v>
      </c>
      <c r="AK213" s="1">
        <v>3240</v>
      </c>
      <c r="AL213" s="1">
        <v>206.45614599999999</v>
      </c>
      <c r="AM213" s="8">
        <v>257.18344100000002</v>
      </c>
    </row>
    <row r="214" spans="2:39" ht="15.75" x14ac:dyDescent="0.25">
      <c r="B214" s="8">
        <v>3200</v>
      </c>
      <c r="C214" s="8" t="s">
        <v>1628</v>
      </c>
      <c r="D214" s="8">
        <v>3200</v>
      </c>
      <c r="E214" s="8" t="s">
        <v>1940</v>
      </c>
      <c r="F214" s="8" t="str">
        <f t="shared" si="11"/>
        <v>CT</v>
      </c>
      <c r="G214" s="2">
        <v>37.535422724315914</v>
      </c>
      <c r="H214" s="2">
        <f>SUMIF(RouteID_Conversion!$P$2:$P$745,MD_BoardingByRoute!D214,RouteID_Conversion!$Q$2:$Q$745)</f>
        <v>0</v>
      </c>
      <c r="K214" s="8">
        <v>287</v>
      </c>
      <c r="L214" s="8">
        <v>26.175857543900001</v>
      </c>
      <c r="M214" s="8">
        <v>26.861055374100001</v>
      </c>
      <c r="N214" s="2">
        <v>76.145627206677887</v>
      </c>
      <c r="O214" s="2">
        <v>464.59090909090901</v>
      </c>
      <c r="P214" s="1"/>
      <c r="Q214" s="1"/>
      <c r="U214" s="1">
        <v>3240</v>
      </c>
      <c r="V214" s="1">
        <v>206.45614599999999</v>
      </c>
      <c r="W214" s="8">
        <v>3855</v>
      </c>
      <c r="X214" s="8">
        <v>3421</v>
      </c>
      <c r="Y214" s="8">
        <v>11.756679999999999</v>
      </c>
      <c r="Z214" s="8">
        <v>35.873916999999999</v>
      </c>
      <c r="AA214" s="8">
        <v>3421</v>
      </c>
      <c r="AB214" s="8">
        <v>9.8615670000000009</v>
      </c>
      <c r="AD214" s="8">
        <v>34.719070000000002</v>
      </c>
      <c r="AF214" s="8">
        <v>3855</v>
      </c>
      <c r="AG214" s="8">
        <v>50.994357999999998</v>
      </c>
      <c r="AH214" s="8">
        <f t="shared" si="12"/>
        <v>-434</v>
      </c>
      <c r="AK214" s="1">
        <v>3270</v>
      </c>
      <c r="AL214" s="1">
        <v>441.16394000000003</v>
      </c>
      <c r="AM214" s="8">
        <v>757.26348900000005</v>
      </c>
    </row>
    <row r="215" spans="2:39" ht="15.75" x14ac:dyDescent="0.25">
      <c r="B215" s="8">
        <v>3201</v>
      </c>
      <c r="C215" s="8" t="s">
        <v>1625</v>
      </c>
      <c r="D215" s="8">
        <v>3201</v>
      </c>
      <c r="E215" s="8" t="s">
        <v>1941</v>
      </c>
      <c r="F215" s="8" t="str">
        <f t="shared" si="11"/>
        <v>CT</v>
      </c>
      <c r="G215" s="2">
        <v>659.44795256752207</v>
      </c>
      <c r="H215" s="2">
        <f>SUMIF(RouteID_Conversion!$P$2:$P$745,MD_BoardingByRoute!D215,RouteID_Conversion!$Q$2:$Q$745)</f>
        <v>1240.4783096313445</v>
      </c>
      <c r="K215" s="8">
        <v>288</v>
      </c>
      <c r="L215" s="8">
        <v>23.6433486938</v>
      </c>
      <c r="M215" s="8">
        <v>19.4147853851</v>
      </c>
      <c r="N215" s="2">
        <v>87.800582639857438</v>
      </c>
      <c r="O215" s="2">
        <v>1551.6363636363637</v>
      </c>
      <c r="P215" s="1"/>
      <c r="Q215" s="1"/>
      <c r="U215" s="1">
        <v>3270</v>
      </c>
      <c r="V215" s="1">
        <v>441.16394000000003</v>
      </c>
      <c r="W215" s="8">
        <v>3870</v>
      </c>
      <c r="X215" s="8">
        <v>3855</v>
      </c>
      <c r="Y215" s="8">
        <v>50.994357999999998</v>
      </c>
      <c r="Z215" s="8">
        <v>100.216133</v>
      </c>
      <c r="AA215" s="8">
        <v>3855</v>
      </c>
      <c r="AB215" s="8">
        <v>34.830956</v>
      </c>
      <c r="AD215" s="8">
        <v>90.664664999999999</v>
      </c>
      <c r="AF215" s="8">
        <v>3870</v>
      </c>
      <c r="AG215" s="8">
        <v>138.695526</v>
      </c>
      <c r="AH215" s="8">
        <f t="shared" si="12"/>
        <v>-15</v>
      </c>
      <c r="AK215" s="1">
        <v>3275</v>
      </c>
      <c r="AL215" s="1">
        <v>287.29409800000002</v>
      </c>
      <c r="AM215" s="8">
        <v>420.363159</v>
      </c>
    </row>
    <row r="216" spans="2:39" ht="15.75" x14ac:dyDescent="0.25">
      <c r="B216" s="8">
        <v>3202</v>
      </c>
      <c r="C216" s="8" t="s">
        <v>1621</v>
      </c>
      <c r="D216" s="8">
        <v>3202</v>
      </c>
      <c r="E216" s="8" t="s">
        <v>1942</v>
      </c>
      <c r="F216" s="8" t="str">
        <f t="shared" si="11"/>
        <v>CT</v>
      </c>
      <c r="G216" s="2">
        <v>586.08140833406799</v>
      </c>
      <c r="H216" s="2">
        <f>SUMIF(RouteID_Conversion!$P$2:$P$745,MD_BoardingByRoute!D216,RouteID_Conversion!$Q$2:$Q$745)</f>
        <v>1318.7976078987101</v>
      </c>
      <c r="K216" s="8">
        <v>289</v>
      </c>
      <c r="L216" s="8">
        <v>35.448181152300002</v>
      </c>
      <c r="M216" s="8">
        <v>115.928825378</v>
      </c>
      <c r="N216" s="2">
        <v>44.37744755589393</v>
      </c>
      <c r="O216" s="2">
        <v>1136.136363636364</v>
      </c>
      <c r="P216" s="1"/>
      <c r="Q216" s="1"/>
      <c r="U216" s="1">
        <v>3275</v>
      </c>
      <c r="V216" s="1">
        <v>287.29409800000002</v>
      </c>
      <c r="W216" s="8">
        <v>3871</v>
      </c>
      <c r="X216" s="8">
        <v>3870</v>
      </c>
      <c r="Y216" s="8">
        <v>138.695526</v>
      </c>
      <c r="Z216" s="8">
        <v>316.25967400000002</v>
      </c>
      <c r="AA216" s="8">
        <v>3870</v>
      </c>
      <c r="AB216" s="8">
        <v>91.447272999999996</v>
      </c>
      <c r="AD216" s="8">
        <v>277.07952899999998</v>
      </c>
      <c r="AF216" s="8">
        <v>3871</v>
      </c>
      <c r="AG216" s="8">
        <v>296.882812</v>
      </c>
      <c r="AH216" s="8">
        <f t="shared" si="12"/>
        <v>-1</v>
      </c>
      <c r="AK216" s="1">
        <v>3280</v>
      </c>
      <c r="AL216" s="1">
        <v>475.80703699999998</v>
      </c>
      <c r="AM216" s="8">
        <v>616.80346699999996</v>
      </c>
    </row>
    <row r="217" spans="2:39" ht="15.75" x14ac:dyDescent="0.25">
      <c r="C217" s="8" t="s">
        <v>1943</v>
      </c>
      <c r="D217" s="8">
        <v>3207</v>
      </c>
      <c r="E217" s="8" t="s">
        <v>1944</v>
      </c>
      <c r="F217" s="8" t="str">
        <f t="shared" si="11"/>
        <v>CT</v>
      </c>
      <c r="G217" s="2">
        <v>16.070649673905116</v>
      </c>
      <c r="H217" s="2">
        <f>SUMIF(RouteID_Conversion!$P$2:$P$745,MD_BoardingByRoute!D217,RouteID_Conversion!$Q$2:$Q$745)</f>
        <v>0</v>
      </c>
      <c r="I217" s="8">
        <v>25.569513320900001</v>
      </c>
      <c r="K217" s="8">
        <v>290</v>
      </c>
      <c r="L217" s="8">
        <v>8.1333332061799997</v>
      </c>
      <c r="M217" s="8">
        <v>25.433574676500001</v>
      </c>
      <c r="N217" s="2">
        <v>38.100739575161121</v>
      </c>
      <c r="O217" s="2">
        <v>67.681818181818187</v>
      </c>
      <c r="P217" s="1"/>
      <c r="Q217" s="1"/>
      <c r="U217" s="1">
        <v>3280</v>
      </c>
      <c r="V217" s="1">
        <v>475.80703699999998</v>
      </c>
      <c r="W217" s="8">
        <v>4005</v>
      </c>
      <c r="X217" s="8">
        <v>3871</v>
      </c>
      <c r="Y217" s="8">
        <v>296.882812</v>
      </c>
      <c r="Z217" s="8">
        <v>0</v>
      </c>
      <c r="AA217" s="8">
        <v>3871</v>
      </c>
      <c r="AB217" s="8">
        <v>276.001801</v>
      </c>
      <c r="AD217" s="8">
        <v>1.4300000000000001E-4</v>
      </c>
      <c r="AF217" s="8">
        <v>3880</v>
      </c>
      <c r="AG217" s="8">
        <v>0</v>
      </c>
      <c r="AH217" s="8">
        <f t="shared" si="12"/>
        <v>-9</v>
      </c>
      <c r="AK217" s="1">
        <v>3401</v>
      </c>
      <c r="AL217" s="1">
        <v>317.24713100000002</v>
      </c>
      <c r="AM217" s="8">
        <v>290.208191</v>
      </c>
    </row>
    <row r="218" spans="2:39" ht="15.75" x14ac:dyDescent="0.25">
      <c r="B218" s="8">
        <v>3221</v>
      </c>
      <c r="C218" s="8" t="s">
        <v>614</v>
      </c>
      <c r="D218" s="8">
        <v>3221</v>
      </c>
      <c r="E218" s="8" t="s">
        <v>1945</v>
      </c>
      <c r="F218" s="8" t="str">
        <f t="shared" si="11"/>
        <v>CT</v>
      </c>
      <c r="G218" s="2">
        <v>115.40949147870826</v>
      </c>
      <c r="H218" s="2">
        <f>SUMIF(RouteID_Conversion!$P$2:$P$745,MD_BoardingByRoute!D218,RouteID_Conversion!$Q$2:$Q$745)</f>
        <v>93.265482425689569</v>
      </c>
      <c r="I218" s="8">
        <v>26.2948627472</v>
      </c>
      <c r="K218" s="8">
        <v>291</v>
      </c>
      <c r="L218" s="8">
        <v>25.613368988000001</v>
      </c>
      <c r="M218" s="8">
        <v>25.673450469999999</v>
      </c>
      <c r="N218" s="2">
        <v>5.6637023289999551</v>
      </c>
      <c r="O218" s="2">
        <v>248.59090909090915</v>
      </c>
      <c r="P218" s="1"/>
      <c r="Q218" s="1"/>
      <c r="U218" s="1">
        <v>3401</v>
      </c>
      <c r="V218" s="1">
        <v>317.24713100000002</v>
      </c>
      <c r="W218" s="8">
        <v>4008</v>
      </c>
      <c r="X218" s="8">
        <v>3880</v>
      </c>
      <c r="Y218" s="8">
        <v>0</v>
      </c>
      <c r="Z218" s="8">
        <v>100.531448</v>
      </c>
      <c r="AA218" s="8">
        <v>4005</v>
      </c>
      <c r="AB218" s="8">
        <v>2.23E-4</v>
      </c>
      <c r="AD218" s="8">
        <v>91.369461000000001</v>
      </c>
      <c r="AF218" s="8">
        <v>4008</v>
      </c>
      <c r="AG218" s="8">
        <v>73.373931999999996</v>
      </c>
      <c r="AH218" s="8">
        <f t="shared" si="12"/>
        <v>-3</v>
      </c>
      <c r="AK218" s="1">
        <v>3402</v>
      </c>
      <c r="AL218" s="1">
        <v>469.12200899999999</v>
      </c>
      <c r="AM218" s="8">
        <v>439.925049</v>
      </c>
    </row>
    <row r="219" spans="2:39" ht="15.75" x14ac:dyDescent="0.25">
      <c r="B219" s="8">
        <v>3222</v>
      </c>
      <c r="C219" s="8" t="s">
        <v>1178</v>
      </c>
      <c r="D219" s="8">
        <v>3222</v>
      </c>
      <c r="E219" s="8" t="s">
        <v>1946</v>
      </c>
      <c r="F219" s="8" t="str">
        <f t="shared" si="11"/>
        <v>CT</v>
      </c>
      <c r="G219" s="2">
        <v>104.47812394764402</v>
      </c>
      <c r="H219" s="2">
        <f>SUMIF(RouteID_Conversion!$P$2:$P$745,MD_BoardingByRoute!D219,RouteID_Conversion!$Q$2:$Q$745)</f>
        <v>48.662911415100041</v>
      </c>
      <c r="I219" s="8">
        <v>131.91217040999999</v>
      </c>
      <c r="K219" s="8">
        <v>292</v>
      </c>
      <c r="L219" s="8">
        <v>17.442846298199999</v>
      </c>
      <c r="M219" s="8">
        <v>114.741218567</v>
      </c>
      <c r="N219" s="2">
        <v>11.602661836159969</v>
      </c>
      <c r="O219" s="2">
        <v>266.13636363636368</v>
      </c>
      <c r="P219" s="1"/>
      <c r="Q219" s="1"/>
      <c r="U219" s="1">
        <v>3402</v>
      </c>
      <c r="V219" s="1">
        <v>469.12200899999999</v>
      </c>
      <c r="W219" s="8">
        <v>4009</v>
      </c>
      <c r="X219" s="8">
        <v>4008</v>
      </c>
      <c r="Y219" s="8">
        <v>73.373931999999996</v>
      </c>
      <c r="Z219" s="8">
        <v>50.719185000000003</v>
      </c>
      <c r="AA219" s="8">
        <v>4008</v>
      </c>
      <c r="AB219" s="8">
        <v>91.616981999999993</v>
      </c>
      <c r="AD219" s="8">
        <v>35.692211</v>
      </c>
      <c r="AF219" s="8">
        <v>4009</v>
      </c>
      <c r="AG219" s="8">
        <v>43.819674999999997</v>
      </c>
      <c r="AH219" s="8">
        <f t="shared" si="12"/>
        <v>-1</v>
      </c>
      <c r="AK219" s="1">
        <v>3404</v>
      </c>
      <c r="AL219" s="1">
        <v>372.70541400000002</v>
      </c>
      <c r="AM219" s="8">
        <v>319.17746</v>
      </c>
    </row>
    <row r="220" spans="2:39" ht="15.75" x14ac:dyDescent="0.25">
      <c r="C220" s="8" t="s">
        <v>1947</v>
      </c>
      <c r="D220" s="8">
        <v>3227</v>
      </c>
      <c r="E220" s="8" t="s">
        <v>1948</v>
      </c>
      <c r="F220" s="8" t="str">
        <f t="shared" si="11"/>
        <v>CT</v>
      </c>
      <c r="G220" s="2">
        <v>20.157888901054879</v>
      </c>
      <c r="H220" s="2">
        <f>SUMIF(RouteID_Conversion!$P$2:$P$745,MD_BoardingByRoute!D220,RouteID_Conversion!$Q$2:$Q$745)</f>
        <v>54.498458147048865</v>
      </c>
      <c r="I220" s="8">
        <v>24.228078842199999</v>
      </c>
      <c r="K220" s="8">
        <v>293</v>
      </c>
      <c r="L220" s="8">
        <v>2.1999998092699999</v>
      </c>
      <c r="M220" s="8">
        <v>24.143802642800001</v>
      </c>
      <c r="N220" s="2">
        <v>39.138588165504963</v>
      </c>
      <c r="O220" s="2">
        <v>70.772727272727252</v>
      </c>
      <c r="P220" s="1"/>
      <c r="Q220" s="1"/>
      <c r="U220" s="1">
        <v>3404</v>
      </c>
      <c r="V220" s="1">
        <v>372.70541400000002</v>
      </c>
      <c r="W220" s="8">
        <v>4012</v>
      </c>
      <c r="X220" s="8">
        <v>4009</v>
      </c>
      <c r="Y220" s="8">
        <v>43.819674999999997</v>
      </c>
      <c r="Z220" s="8">
        <v>102.30091899999999</v>
      </c>
      <c r="AA220" s="8">
        <v>4009</v>
      </c>
      <c r="AB220" s="8">
        <v>35.701003999999998</v>
      </c>
      <c r="AD220" s="8">
        <v>91.577140999999997</v>
      </c>
      <c r="AF220" s="8">
        <v>4012</v>
      </c>
      <c r="AG220" s="8">
        <v>85.963431999999997</v>
      </c>
      <c r="AH220" s="8">
        <f t="shared" si="12"/>
        <v>-3</v>
      </c>
      <c r="AK220" s="1">
        <v>3406</v>
      </c>
      <c r="AL220" s="1">
        <v>480.15548699999999</v>
      </c>
      <c r="AM220" s="8">
        <v>419.22699</v>
      </c>
    </row>
    <row r="221" spans="2:39" ht="15.75" x14ac:dyDescent="0.25">
      <c r="B221" s="8">
        <v>3240</v>
      </c>
      <c r="C221" s="8" t="s">
        <v>1065</v>
      </c>
      <c r="D221" s="8">
        <v>3240</v>
      </c>
      <c r="E221" s="8" t="s">
        <v>1950</v>
      </c>
      <c r="F221" s="8" t="str">
        <f t="shared" si="11"/>
        <v>CT</v>
      </c>
      <c r="G221" s="2">
        <v>185.4538820489378</v>
      </c>
      <c r="H221" s="2">
        <f>SUMIF(RouteID_Conversion!$P$2:$P$745,MD_BoardingByRoute!D221,RouteID_Conversion!$Q$2:$Q$745)</f>
        <v>110.08405709266651</v>
      </c>
      <c r="I221" s="8">
        <v>60.369647979699998</v>
      </c>
      <c r="K221" s="8">
        <v>295</v>
      </c>
      <c r="L221" s="8">
        <v>17.7773323059</v>
      </c>
      <c r="M221" s="8">
        <v>56.492149353000002</v>
      </c>
      <c r="N221" s="2">
        <v>17.608900288719077</v>
      </c>
      <c r="O221" s="2">
        <v>382.40909090909099</v>
      </c>
      <c r="P221" s="1"/>
      <c r="Q221" s="1"/>
      <c r="U221" s="1">
        <v>3408</v>
      </c>
      <c r="V221" s="1">
        <v>546.32232699999997</v>
      </c>
      <c r="W221" s="8">
        <v>4017</v>
      </c>
      <c r="X221" s="8">
        <v>4013</v>
      </c>
      <c r="Y221" s="8">
        <v>201.24418600000001</v>
      </c>
      <c r="Z221" s="8">
        <v>204.94313</v>
      </c>
      <c r="AA221" s="8">
        <v>4013</v>
      </c>
      <c r="AB221" s="8">
        <v>188.66845699999999</v>
      </c>
      <c r="AD221" s="8">
        <v>167.49595600000001</v>
      </c>
      <c r="AF221" s="8">
        <v>4017</v>
      </c>
      <c r="AG221" s="8">
        <v>180.431793</v>
      </c>
      <c r="AH221" s="8">
        <f t="shared" si="12"/>
        <v>-4</v>
      </c>
      <c r="AK221" s="1">
        <v>3410</v>
      </c>
      <c r="AL221" s="1">
        <v>469.99240099999997</v>
      </c>
      <c r="AM221" s="8">
        <v>471.55038500000001</v>
      </c>
    </row>
    <row r="222" spans="2:39" ht="15.75" x14ac:dyDescent="0.25">
      <c r="C222" s="8" t="s">
        <v>1951</v>
      </c>
      <c r="D222" s="8">
        <v>3247</v>
      </c>
      <c r="E222" s="8" t="s">
        <v>1952</v>
      </c>
      <c r="F222" s="8" t="str">
        <f t="shared" si="11"/>
        <v>CT</v>
      </c>
      <c r="G222" s="2">
        <v>62.064490330085789</v>
      </c>
      <c r="H222" s="2">
        <f>SUMIF(RouteID_Conversion!$P$2:$P$745,MD_BoardingByRoute!D222,RouteID_Conversion!$Q$2:$Q$745)</f>
        <v>2.2098421901464418</v>
      </c>
      <c r="I222" s="8">
        <v>50.826206207299997</v>
      </c>
      <c r="K222" s="8">
        <v>296</v>
      </c>
      <c r="L222" s="8">
        <v>158.147613525</v>
      </c>
      <c r="M222" s="8">
        <v>50.138900756799998</v>
      </c>
      <c r="N222" s="2">
        <v>129.35509669914205</v>
      </c>
      <c r="O222" s="2">
        <v>240</v>
      </c>
      <c r="P222" s="1"/>
      <c r="Q222" s="1"/>
      <c r="U222" s="1">
        <v>3410</v>
      </c>
      <c r="V222" s="1">
        <v>469.99240099999997</v>
      </c>
      <c r="W222" s="8">
        <v>4020</v>
      </c>
      <c r="X222" s="8">
        <v>4017</v>
      </c>
      <c r="Y222" s="8">
        <v>180.431793</v>
      </c>
      <c r="Z222" s="8">
        <v>58.728382000000003</v>
      </c>
      <c r="AA222" s="8">
        <v>4017</v>
      </c>
      <c r="AB222" s="8">
        <v>167.52398700000001</v>
      </c>
      <c r="AD222" s="8">
        <v>44.786133</v>
      </c>
      <c r="AF222" s="8">
        <v>4020</v>
      </c>
      <c r="AG222" s="8">
        <v>58.403995999999999</v>
      </c>
      <c r="AH222" s="8">
        <f t="shared" si="12"/>
        <v>-3</v>
      </c>
      <c r="AK222" s="1">
        <v>3411</v>
      </c>
      <c r="AL222" s="1">
        <v>492.59728999999999</v>
      </c>
      <c r="AM222" s="8">
        <v>475.76666299999999</v>
      </c>
    </row>
    <row r="223" spans="2:39" ht="15.75" x14ac:dyDescent="0.25">
      <c r="B223" s="8">
        <v>3270</v>
      </c>
      <c r="C223" s="8" t="s">
        <v>1088</v>
      </c>
      <c r="D223" s="8">
        <v>3270</v>
      </c>
      <c r="E223" s="8" t="s">
        <v>1953</v>
      </c>
      <c r="F223" s="8" t="str">
        <f t="shared" si="11"/>
        <v>CT</v>
      </c>
      <c r="G223" s="2">
        <v>251.50545846891086</v>
      </c>
      <c r="H223" s="2">
        <f>SUMIF(RouteID_Conversion!$P$2:$P$745,MD_BoardingByRoute!D223,RouteID_Conversion!$Q$2:$Q$745)</f>
        <v>170.42531394958462</v>
      </c>
      <c r="I223" s="8">
        <v>70.429542541499998</v>
      </c>
      <c r="K223" s="8">
        <v>297</v>
      </c>
      <c r="L223" s="8">
        <v>354.02188110399999</v>
      </c>
      <c r="M223" s="8">
        <v>63.237247467000003</v>
      </c>
      <c r="N223" s="2">
        <v>4.8026365767297454</v>
      </c>
      <c r="O223" s="2">
        <v>534.31818181818187</v>
      </c>
      <c r="P223" s="1"/>
      <c r="Q223" s="1"/>
      <c r="U223" s="1">
        <v>3411</v>
      </c>
      <c r="V223" s="1">
        <v>492.59728999999999</v>
      </c>
      <c r="W223" s="8">
        <v>4021</v>
      </c>
      <c r="X223" s="8">
        <v>4020</v>
      </c>
      <c r="Y223" s="8">
        <v>58.403995999999999</v>
      </c>
      <c r="Z223" s="8">
        <v>78.171172999999996</v>
      </c>
      <c r="AA223" s="8">
        <v>4020</v>
      </c>
      <c r="AB223" s="8">
        <v>44.771248</v>
      </c>
      <c r="AD223" s="8">
        <v>57.335751000000002</v>
      </c>
      <c r="AF223" s="8">
        <v>4021</v>
      </c>
      <c r="AG223" s="8">
        <v>66.089043000000004</v>
      </c>
      <c r="AH223" s="8">
        <f t="shared" si="12"/>
        <v>-1</v>
      </c>
      <c r="AK223" s="1">
        <v>3412</v>
      </c>
      <c r="AL223" s="1">
        <v>720.83233600000005</v>
      </c>
      <c r="AM223" s="8">
        <v>709.33166500000004</v>
      </c>
    </row>
    <row r="224" spans="2:39" ht="15.75" x14ac:dyDescent="0.25">
      <c r="B224" s="8">
        <v>3275</v>
      </c>
      <c r="C224" s="8" t="s">
        <v>1102</v>
      </c>
      <c r="D224" s="8">
        <v>3275</v>
      </c>
      <c r="E224" s="8" t="s">
        <v>1956</v>
      </c>
      <c r="F224" s="8" t="str">
        <f t="shared" si="11"/>
        <v>CT</v>
      </c>
      <c r="G224" s="2">
        <v>167.99451455866779</v>
      </c>
      <c r="H224" s="2">
        <f>SUMIF(RouteID_Conversion!$P$2:$P$745,MD_BoardingByRoute!D224,RouteID_Conversion!$Q$2:$Q$745)</f>
        <v>140.4704723358152</v>
      </c>
      <c r="I224" s="8">
        <v>26.665056228600001</v>
      </c>
      <c r="K224" s="8">
        <v>299</v>
      </c>
      <c r="L224" s="8">
        <v>75.092239379899993</v>
      </c>
      <c r="M224" s="8">
        <v>25.850627899199999</v>
      </c>
      <c r="N224" s="2">
        <v>25.821978843544425</v>
      </c>
      <c r="O224" s="2">
        <v>354.68181818181819</v>
      </c>
      <c r="P224" s="1"/>
      <c r="Q224" s="1"/>
      <c r="U224" s="1">
        <v>3414</v>
      </c>
      <c r="V224" s="1">
        <v>212.05995200000001</v>
      </c>
      <c r="W224" s="8">
        <v>4024</v>
      </c>
      <c r="X224" s="8">
        <v>4023</v>
      </c>
      <c r="Y224" s="8">
        <v>27.346277000000001</v>
      </c>
      <c r="Z224" s="8">
        <v>71.882362000000001</v>
      </c>
      <c r="AA224" s="8">
        <v>4023</v>
      </c>
      <c r="AB224" s="8">
        <v>25.334472999999999</v>
      </c>
      <c r="AD224" s="8">
        <v>56.722580000000001</v>
      </c>
      <c r="AF224" s="8">
        <v>4024</v>
      </c>
      <c r="AG224" s="8">
        <v>71.742294000000001</v>
      </c>
      <c r="AH224" s="8">
        <f t="shared" si="12"/>
        <v>-1</v>
      </c>
      <c r="AK224" s="1">
        <v>3415</v>
      </c>
      <c r="AL224" s="1">
        <v>471.68585200000001</v>
      </c>
      <c r="AM224" s="8">
        <v>487.868134</v>
      </c>
    </row>
    <row r="225" spans="2:39" ht="15.75" x14ac:dyDescent="0.25">
      <c r="C225" s="8" t="s">
        <v>1957</v>
      </c>
      <c r="D225" s="8">
        <v>3277</v>
      </c>
      <c r="E225" s="8" t="s">
        <v>1958</v>
      </c>
      <c r="F225" s="8" t="str">
        <f t="shared" si="11"/>
        <v>CT</v>
      </c>
      <c r="G225" s="2">
        <v>37.159761912095682</v>
      </c>
      <c r="H225" s="2">
        <f>SUMIF(RouteID_Conversion!$P$2:$P$745,MD_BoardingByRoute!D225,RouteID_Conversion!$Q$2:$Q$745)</f>
        <v>0</v>
      </c>
      <c r="I225" s="8">
        <v>26.409296035800001</v>
      </c>
      <c r="K225" s="8">
        <v>300</v>
      </c>
      <c r="L225" s="8">
        <v>37.435432434100001</v>
      </c>
      <c r="M225" s="8">
        <v>25.5949935913</v>
      </c>
      <c r="N225" s="2">
        <v>42.000105151242529</v>
      </c>
      <c r="O225" s="2">
        <v>89.363636363636346</v>
      </c>
      <c r="P225" s="1"/>
      <c r="Q225" s="1"/>
      <c r="U225" s="1">
        <v>3415</v>
      </c>
      <c r="V225" s="1">
        <v>471.68585200000001</v>
      </c>
      <c r="W225" s="8">
        <v>4025</v>
      </c>
      <c r="X225" s="8">
        <v>4024</v>
      </c>
      <c r="Y225" s="8">
        <v>71.742294000000001</v>
      </c>
      <c r="Z225" s="8">
        <v>97.718918000000002</v>
      </c>
      <c r="AA225" s="8">
        <v>4024</v>
      </c>
      <c r="AB225" s="8">
        <v>56.706088999999999</v>
      </c>
      <c r="AD225" s="8">
        <v>67.158851999999996</v>
      </c>
      <c r="AF225" s="8">
        <v>4025</v>
      </c>
      <c r="AG225" s="8">
        <v>82.648437999999999</v>
      </c>
      <c r="AH225" s="8">
        <f t="shared" si="12"/>
        <v>-1</v>
      </c>
      <c r="AK225" s="1">
        <v>3416</v>
      </c>
      <c r="AL225" s="1">
        <v>402.64120500000001</v>
      </c>
      <c r="AM225" s="8">
        <v>406.19760100000002</v>
      </c>
    </row>
    <row r="226" spans="2:39" ht="15.75" x14ac:dyDescent="0.25">
      <c r="B226" s="8">
        <v>3280</v>
      </c>
      <c r="C226" s="8" t="s">
        <v>608</v>
      </c>
      <c r="D226" s="8">
        <v>3280</v>
      </c>
      <c r="E226" s="8" t="s">
        <v>1959</v>
      </c>
      <c r="F226" s="8" t="str">
        <f t="shared" si="11"/>
        <v>CT</v>
      </c>
      <c r="G226" s="2">
        <v>208.50893680838499</v>
      </c>
      <c r="H226" s="2">
        <f>SUMIF(RouteID_Conversion!$P$2:$P$745,MD_BoardingByRoute!D226,RouteID_Conversion!$Q$2:$Q$745)</f>
        <v>357.76782035827603</v>
      </c>
      <c r="I226" s="8">
        <v>85.707183837900004</v>
      </c>
      <c r="K226" s="8">
        <v>301</v>
      </c>
      <c r="L226" s="8">
        <v>177.44934082</v>
      </c>
      <c r="M226" s="8">
        <v>79.190711975100001</v>
      </c>
      <c r="N226" s="2">
        <v>41.954237644794318</v>
      </c>
      <c r="O226" s="2">
        <v>531.81818181818198</v>
      </c>
      <c r="P226" s="1"/>
      <c r="Q226" s="1"/>
      <c r="U226" s="1">
        <v>3416</v>
      </c>
      <c r="V226" s="1">
        <v>402.64120500000001</v>
      </c>
      <c r="W226" s="8">
        <v>4026</v>
      </c>
      <c r="X226" s="8">
        <v>4025</v>
      </c>
      <c r="Y226" s="8">
        <v>82.648437999999999</v>
      </c>
      <c r="Z226" s="8">
        <v>74.3536</v>
      </c>
      <c r="AA226" s="8">
        <v>4025</v>
      </c>
      <c r="AB226" s="8">
        <v>67.187973</v>
      </c>
      <c r="AD226" s="8">
        <v>58.249175999999999</v>
      </c>
      <c r="AF226" s="8">
        <v>4026</v>
      </c>
      <c r="AG226" s="8">
        <v>76.207038999999995</v>
      </c>
      <c r="AH226" s="8">
        <f t="shared" si="12"/>
        <v>-1</v>
      </c>
      <c r="AK226" s="1">
        <v>3417</v>
      </c>
      <c r="AL226" s="1">
        <v>214.89009100000001</v>
      </c>
      <c r="AM226" s="8">
        <v>215.37266500000001</v>
      </c>
    </row>
    <row r="227" spans="2:39" ht="15.75" x14ac:dyDescent="0.25">
      <c r="B227" s="8">
        <v>3401</v>
      </c>
      <c r="C227" s="8" t="s">
        <v>1740</v>
      </c>
      <c r="D227" s="8">
        <v>3401</v>
      </c>
      <c r="E227" s="8" t="s">
        <v>1960</v>
      </c>
      <c r="F227" s="8" t="str">
        <f t="shared" si="11"/>
        <v>CT</v>
      </c>
      <c r="G227" s="2">
        <v>17.590901334015594</v>
      </c>
      <c r="H227" s="2">
        <f>SUMIF(RouteID_Conversion!$P$2:$P$745,MD_BoardingByRoute!D227,RouteID_Conversion!$Q$2:$Q$745)</f>
        <v>0</v>
      </c>
      <c r="I227" s="8">
        <v>79.020324707</v>
      </c>
      <c r="K227" s="8">
        <v>302</v>
      </c>
      <c r="L227" s="8">
        <v>118.283828735</v>
      </c>
      <c r="M227" s="8">
        <v>72.509140014600007</v>
      </c>
      <c r="N227" s="2">
        <v>145.36361102372868</v>
      </c>
      <c r="O227" s="2">
        <v>839.13636363636363</v>
      </c>
      <c r="P227" s="1"/>
      <c r="Q227" s="1"/>
      <c r="U227" s="1">
        <v>3417</v>
      </c>
      <c r="V227" s="1">
        <v>214.89009100000001</v>
      </c>
      <c r="W227" s="8">
        <v>4029</v>
      </c>
      <c r="X227" s="8">
        <v>4026</v>
      </c>
      <c r="Y227" s="8">
        <v>76.207038999999995</v>
      </c>
      <c r="Z227" s="8">
        <v>111.828903</v>
      </c>
      <c r="AA227" s="8">
        <v>4026</v>
      </c>
      <c r="AB227" s="8">
        <v>58.261284000000003</v>
      </c>
      <c r="AD227" s="8">
        <v>83.257339000000002</v>
      </c>
      <c r="AF227" s="8">
        <v>4029</v>
      </c>
      <c r="AG227" s="8">
        <v>93.384117000000003</v>
      </c>
      <c r="AH227" s="8">
        <f t="shared" si="12"/>
        <v>-3</v>
      </c>
      <c r="AK227" s="1">
        <v>3421</v>
      </c>
      <c r="AL227" s="1">
        <v>213.769745</v>
      </c>
      <c r="AM227" s="8">
        <v>286.86025999999998</v>
      </c>
    </row>
    <row r="228" spans="2:39" ht="15.75" x14ac:dyDescent="0.25">
      <c r="B228" s="8">
        <v>3414</v>
      </c>
      <c r="C228" s="8" t="s">
        <v>1717</v>
      </c>
      <c r="D228" s="8">
        <v>3414</v>
      </c>
      <c r="E228" s="8" t="s">
        <v>1971</v>
      </c>
      <c r="F228" s="8" t="str">
        <f t="shared" si="11"/>
        <v>CT</v>
      </c>
      <c r="G228" s="2">
        <v>154.53025193140991</v>
      </c>
      <c r="H228" s="2">
        <f>SUMIF(RouteID_Conversion!$P$2:$P$745,MD_BoardingByRoute!D228,RouteID_Conversion!$Q$2:$Q$745)</f>
        <v>226.65803813934303</v>
      </c>
      <c r="I228" s="8">
        <v>39.3806762695</v>
      </c>
      <c r="K228" s="8">
        <v>312</v>
      </c>
      <c r="L228" s="8">
        <v>27.499019622799999</v>
      </c>
      <c r="M228" s="8">
        <v>38.983345031699997</v>
      </c>
      <c r="N228" s="2"/>
      <c r="O228" s="2">
        <v>256.45454545454538</v>
      </c>
      <c r="P228" s="1"/>
      <c r="Q228" s="1"/>
      <c r="U228" s="1">
        <v>3860</v>
      </c>
      <c r="V228" s="1">
        <v>616.20855700000004</v>
      </c>
      <c r="W228" s="8">
        <v>6510</v>
      </c>
      <c r="X228" s="8">
        <v>4091</v>
      </c>
      <c r="Y228" s="8">
        <v>2.438596</v>
      </c>
      <c r="Z228" s="8">
        <v>645.26556400000004</v>
      </c>
      <c r="AA228" s="8">
        <v>4091</v>
      </c>
      <c r="AB228" s="8">
        <v>2.737222</v>
      </c>
      <c r="AD228" s="8">
        <v>96.181892000000005</v>
      </c>
      <c r="AF228" s="8">
        <v>4092</v>
      </c>
      <c r="AG228" s="8">
        <v>97.089744999999994</v>
      </c>
      <c r="AH228" s="8">
        <f t="shared" si="12"/>
        <v>-1</v>
      </c>
      <c r="AK228" s="1">
        <v>3870</v>
      </c>
      <c r="AL228" s="1">
        <v>210.49923699999999</v>
      </c>
      <c r="AM228" s="8">
        <v>156.33753999999999</v>
      </c>
    </row>
    <row r="229" spans="2:39" ht="15.75" x14ac:dyDescent="0.25">
      <c r="B229" s="8">
        <v>3421</v>
      </c>
      <c r="C229" s="8" t="s">
        <v>1618</v>
      </c>
      <c r="D229" s="8">
        <v>3421</v>
      </c>
      <c r="E229" s="8" t="s">
        <v>1975</v>
      </c>
      <c r="F229" s="8" t="str">
        <f t="shared" si="11"/>
        <v>CT</v>
      </c>
      <c r="G229" s="2">
        <v>36.195389442589196</v>
      </c>
      <c r="H229" s="2">
        <f>SUMIF(RouteID_Conversion!$P$2:$P$745,MD_BoardingByRoute!D229,RouteID_Conversion!$Q$2:$Q$745)</f>
        <v>6.6551545858383001</v>
      </c>
      <c r="I229" s="8">
        <v>18.850269317599999</v>
      </c>
      <c r="K229" s="8">
        <v>316</v>
      </c>
      <c r="L229" s="8">
        <v>1.09020876884</v>
      </c>
      <c r="M229" s="8">
        <v>18.525169372600001</v>
      </c>
      <c r="N229" s="2">
        <v>47.804045195991719</v>
      </c>
      <c r="O229" s="2">
        <v>506.31818181818181</v>
      </c>
      <c r="P229" s="1"/>
      <c r="Q229" s="1"/>
      <c r="U229" s="1">
        <v>4005</v>
      </c>
      <c r="V229" s="1">
        <v>5.9299679999999997</v>
      </c>
      <c r="W229" s="8">
        <v>6535</v>
      </c>
      <c r="X229" s="8">
        <v>6522</v>
      </c>
      <c r="Y229" s="8">
        <v>786.75799600000005</v>
      </c>
      <c r="Z229" s="8">
        <v>1256.171143</v>
      </c>
      <c r="AA229" s="8">
        <v>6522</v>
      </c>
      <c r="AB229" s="8">
        <v>713.62097200000005</v>
      </c>
      <c r="AD229" s="8">
        <v>84.573181000000005</v>
      </c>
      <c r="AF229" s="8">
        <v>6532</v>
      </c>
      <c r="AG229" s="8">
        <v>87.223312000000007</v>
      </c>
      <c r="AH229" s="8">
        <f t="shared" si="12"/>
        <v>-10</v>
      </c>
      <c r="AK229" s="1">
        <v>4008</v>
      </c>
      <c r="AL229" s="1">
        <v>12.625111</v>
      </c>
      <c r="AM229" s="8">
        <v>15.330057999999999</v>
      </c>
    </row>
    <row r="230" spans="2:39" ht="15.75" x14ac:dyDescent="0.25">
      <c r="C230" s="8" t="s">
        <v>1599</v>
      </c>
      <c r="D230" s="8">
        <v>3701</v>
      </c>
      <c r="E230" s="8" t="s">
        <v>2149</v>
      </c>
      <c r="F230" s="8" t="str">
        <f t="shared" si="11"/>
        <v>CT</v>
      </c>
      <c r="G230" s="2">
        <v>1146.2800761412398</v>
      </c>
      <c r="H230" s="2">
        <f>SUMIF(RouteID_Conversion!$P$2:$P$745,MD_BoardingByRoute!D230,RouteID_Conversion!$Q$2:$Q$745)</f>
        <v>2236.2080841064417</v>
      </c>
      <c r="I230" s="8">
        <v>97.569519043</v>
      </c>
      <c r="K230" s="8">
        <v>323</v>
      </c>
      <c r="L230" s="8">
        <v>34.474460601799997</v>
      </c>
      <c r="M230" s="8">
        <v>96.616531372099999</v>
      </c>
      <c r="N230" s="2">
        <v>197.21664009511792</v>
      </c>
      <c r="O230" s="2">
        <v>3029.6640422514542</v>
      </c>
      <c r="P230" s="1"/>
      <c r="Q230" s="1"/>
      <c r="U230" s="1">
        <v>4019</v>
      </c>
      <c r="V230" s="1">
        <v>5.7004250000000001</v>
      </c>
      <c r="W230" s="8">
        <v>6560</v>
      </c>
      <c r="X230" s="8">
        <v>6555</v>
      </c>
      <c r="Y230" s="8">
        <v>49.380726000000003</v>
      </c>
      <c r="Z230" s="8">
        <v>943.964111</v>
      </c>
      <c r="AA230" s="8">
        <v>6555</v>
      </c>
      <c r="AB230" s="8">
        <v>57.303825000000003</v>
      </c>
      <c r="AD230" s="8">
        <v>76.196563999999995</v>
      </c>
      <c r="AF230" s="8">
        <v>6556</v>
      </c>
      <c r="AG230" s="8">
        <v>79.601333999999994</v>
      </c>
      <c r="AH230" s="8">
        <f t="shared" si="12"/>
        <v>-1</v>
      </c>
      <c r="AK230" s="1">
        <v>4020</v>
      </c>
      <c r="AL230" s="1">
        <v>72.698905999999994</v>
      </c>
      <c r="AM230" s="8">
        <v>5.6329599999999997</v>
      </c>
    </row>
    <row r="231" spans="2:39" ht="15.75" x14ac:dyDescent="0.25">
      <c r="B231" s="8">
        <v>3851</v>
      </c>
      <c r="C231" s="8" t="s">
        <v>1264</v>
      </c>
      <c r="D231" s="8">
        <v>3851</v>
      </c>
      <c r="E231" s="8" t="s">
        <v>1987</v>
      </c>
      <c r="F231" s="8" t="str">
        <f t="shared" si="11"/>
        <v>CT</v>
      </c>
      <c r="G231" s="2">
        <v>21.775953472706586</v>
      </c>
      <c r="H231" s="2">
        <f>SUMIF(RouteID_Conversion!$P$2:$P$745,MD_BoardingByRoute!D231,RouteID_Conversion!$Q$2:$Q$745)</f>
        <v>0</v>
      </c>
      <c r="I231" s="8">
        <v>60.227909088099999</v>
      </c>
      <c r="K231" s="8">
        <v>327</v>
      </c>
      <c r="L231" s="8">
        <v>17.065498352100001</v>
      </c>
      <c r="M231" s="8">
        <v>58.328491210899998</v>
      </c>
      <c r="N231" s="2"/>
      <c r="O231" s="2">
        <v>302.86363636363637</v>
      </c>
      <c r="P231" s="1"/>
      <c r="Q231" s="1"/>
      <c r="U231" s="1">
        <v>4023</v>
      </c>
      <c r="V231" s="1">
        <v>11.583727</v>
      </c>
      <c r="W231" s="8">
        <v>6578</v>
      </c>
      <c r="X231" s="8">
        <v>6574</v>
      </c>
      <c r="Y231" s="8">
        <v>644.74774200000002</v>
      </c>
      <c r="Z231" s="8">
        <v>862.00750700000003</v>
      </c>
      <c r="AA231" s="8">
        <v>6574</v>
      </c>
      <c r="AB231" s="8">
        <v>825.93633999999997</v>
      </c>
      <c r="AD231" s="8">
        <v>48.255913</v>
      </c>
      <c r="AF231" s="8">
        <v>6577</v>
      </c>
      <c r="AG231" s="8">
        <v>44.119892</v>
      </c>
      <c r="AH231" s="8">
        <f t="shared" si="12"/>
        <v>-3</v>
      </c>
      <c r="AK231" s="1">
        <v>4024</v>
      </c>
      <c r="AL231" s="1">
        <v>52.682406999999998</v>
      </c>
      <c r="AM231" s="8">
        <v>12.495934</v>
      </c>
    </row>
    <row r="232" spans="2:39" ht="15.75" x14ac:dyDescent="0.25">
      <c r="B232" s="8">
        <v>3855</v>
      </c>
      <c r="C232" s="8" t="s">
        <v>1262</v>
      </c>
      <c r="D232" s="8">
        <v>3855</v>
      </c>
      <c r="E232" s="8" t="s">
        <v>1988</v>
      </c>
      <c r="F232" s="8" t="str">
        <f t="shared" si="11"/>
        <v>CT</v>
      </c>
      <c r="G232" s="2">
        <v>90.976715643560397</v>
      </c>
      <c r="H232" s="2">
        <f>SUMIF(RouteID_Conversion!$P$2:$P$745,MD_BoardingByRoute!D232,RouteID_Conversion!$Q$2:$Q$745)</f>
        <v>27.957697868347147</v>
      </c>
      <c r="I232" s="8">
        <v>9.3127975463899997</v>
      </c>
      <c r="K232" s="8">
        <v>328</v>
      </c>
      <c r="L232" s="8">
        <v>6.8687152862499996</v>
      </c>
      <c r="M232" s="8">
        <v>9.2495279312100003</v>
      </c>
      <c r="N232" s="2"/>
      <c r="O232" s="2">
        <v>571.77272727272725</v>
      </c>
      <c r="P232" s="1"/>
      <c r="Q232" s="1"/>
      <c r="U232" s="1">
        <v>4024</v>
      </c>
      <c r="V232" s="1">
        <v>52.682406999999998</v>
      </c>
      <c r="W232" s="8">
        <v>6586</v>
      </c>
      <c r="X232" s="8">
        <v>6577</v>
      </c>
      <c r="Y232" s="8">
        <v>44.119892</v>
      </c>
      <c r="Z232" s="8">
        <v>31.480425</v>
      </c>
      <c r="AA232" s="8">
        <v>6577</v>
      </c>
      <c r="AB232" s="8">
        <v>48.573875000000001</v>
      </c>
      <c r="AD232" s="8">
        <v>801.49975600000005</v>
      </c>
      <c r="AF232" s="8">
        <v>6578</v>
      </c>
      <c r="AG232" s="8">
        <v>676.03472899999997</v>
      </c>
      <c r="AH232" s="8">
        <f t="shared" si="12"/>
        <v>-1</v>
      </c>
      <c r="AK232" s="1">
        <v>4025</v>
      </c>
      <c r="AL232" s="1">
        <v>54.342185999999998</v>
      </c>
      <c r="AM232" s="8">
        <v>70.087531999999996</v>
      </c>
    </row>
    <row r="233" spans="2:39" ht="15.75" x14ac:dyDescent="0.25">
      <c r="B233" s="8">
        <v>3860</v>
      </c>
      <c r="C233" s="8" t="s">
        <v>1073</v>
      </c>
      <c r="D233" s="8">
        <v>3860</v>
      </c>
      <c r="E233" s="8" t="s">
        <v>1989</v>
      </c>
      <c r="F233" s="8" t="str">
        <f t="shared" si="11"/>
        <v>CT</v>
      </c>
      <c r="G233" s="2">
        <v>127.35574838024924</v>
      </c>
      <c r="H233" s="2">
        <f>SUMIF(RouteID_Conversion!$P$2:$P$745,MD_BoardingByRoute!D233,RouteID_Conversion!$Q$2:$Q$745)</f>
        <v>0</v>
      </c>
      <c r="I233" s="8">
        <v>11.486166000400001</v>
      </c>
      <c r="K233" s="8">
        <v>329</v>
      </c>
      <c r="L233" s="8">
        <v>13.8194036484</v>
      </c>
      <c r="M233" s="8">
        <v>11.4844379425</v>
      </c>
      <c r="N233" s="2"/>
      <c r="O233" s="2">
        <v>440.9545454545455</v>
      </c>
      <c r="P233" s="1"/>
      <c r="Q233" s="1"/>
      <c r="U233" s="1">
        <v>4025</v>
      </c>
      <c r="V233" s="1">
        <v>54.342185999999998</v>
      </c>
      <c r="W233" s="8">
        <v>6590</v>
      </c>
      <c r="X233" s="8">
        <v>6578</v>
      </c>
      <c r="Y233" s="8">
        <v>676.03472899999997</v>
      </c>
      <c r="Z233" s="8">
        <v>178.91223099999999</v>
      </c>
      <c r="AA233" s="8">
        <v>6578</v>
      </c>
      <c r="AB233" s="8">
        <v>804.85199</v>
      </c>
      <c r="AD233" s="8">
        <v>25.997316000000001</v>
      </c>
      <c r="AF233" s="8">
        <v>6586</v>
      </c>
      <c r="AG233" s="8">
        <v>32.264564999999997</v>
      </c>
      <c r="AH233" s="8">
        <f t="shared" si="12"/>
        <v>-8</v>
      </c>
      <c r="AK233" s="1">
        <v>4026</v>
      </c>
      <c r="AL233" s="1">
        <v>43.450504000000002</v>
      </c>
      <c r="AM233" s="8">
        <v>71.183723000000001</v>
      </c>
    </row>
    <row r="234" spans="2:39" ht="15.75" x14ac:dyDescent="0.25">
      <c r="B234" s="8">
        <v>3870</v>
      </c>
      <c r="C234" s="8" t="s">
        <v>1166</v>
      </c>
      <c r="D234" s="8">
        <v>3870</v>
      </c>
      <c r="E234" s="8" t="s">
        <v>1990</v>
      </c>
      <c r="F234" s="8" t="str">
        <f t="shared" si="11"/>
        <v>CT</v>
      </c>
      <c r="G234" s="2">
        <v>14.789603279017047</v>
      </c>
      <c r="H234" s="2">
        <f>SUMIF(RouteID_Conversion!$P$2:$P$745,MD_BoardingByRoute!D234,RouteID_Conversion!$Q$2:$Q$745)</f>
        <v>95.129059314727726</v>
      </c>
      <c r="I234" s="8">
        <v>49.495624542199998</v>
      </c>
      <c r="K234" s="8">
        <v>330</v>
      </c>
      <c r="L234" s="8">
        <v>124.994430542</v>
      </c>
      <c r="M234" s="8">
        <v>48.440483093300003</v>
      </c>
      <c r="N234" s="2"/>
      <c r="O234" s="2">
        <v>253.95454545454547</v>
      </c>
      <c r="P234" s="1"/>
      <c r="Q234" s="1"/>
      <c r="U234" s="1">
        <v>4026</v>
      </c>
      <c r="V234" s="1">
        <v>43.450504000000002</v>
      </c>
      <c r="W234" s="8">
        <v>6592</v>
      </c>
      <c r="X234" s="8">
        <v>6586</v>
      </c>
      <c r="Y234" s="8">
        <v>32.264564999999997</v>
      </c>
      <c r="Z234" s="8">
        <v>198.988754</v>
      </c>
      <c r="AA234" s="8">
        <v>6586</v>
      </c>
      <c r="AB234" s="8">
        <v>25.917368</v>
      </c>
      <c r="AD234" s="8">
        <v>150.35510300000001</v>
      </c>
      <c r="AF234" s="8">
        <v>6590</v>
      </c>
      <c r="AG234" s="8">
        <v>113.187355</v>
      </c>
      <c r="AH234" s="8">
        <f t="shared" si="12"/>
        <v>-4</v>
      </c>
      <c r="AK234" s="1">
        <v>4029</v>
      </c>
      <c r="AL234" s="1">
        <v>32.468314999999997</v>
      </c>
      <c r="AM234" s="8">
        <v>63.114868000000001</v>
      </c>
    </row>
    <row r="235" spans="2:39" ht="15.75" x14ac:dyDescent="0.25">
      <c r="B235" s="8">
        <v>3871</v>
      </c>
      <c r="C235" s="8" t="s">
        <v>1259</v>
      </c>
      <c r="D235" s="8">
        <v>3871</v>
      </c>
      <c r="E235" s="8" t="s">
        <v>1991</v>
      </c>
      <c r="F235" s="8" t="str">
        <f t="shared" si="11"/>
        <v>CT</v>
      </c>
      <c r="G235" s="2">
        <v>81.166869558801849</v>
      </c>
      <c r="H235" s="2">
        <f>SUMIF(RouteID_Conversion!$P$2:$P$745,MD_BoardingByRoute!D235,RouteID_Conversion!$Q$2:$Q$745)</f>
        <v>135.4749994277953</v>
      </c>
      <c r="I235" s="8">
        <v>49.746368408199999</v>
      </c>
      <c r="K235" s="8">
        <v>331</v>
      </c>
      <c r="L235" s="8">
        <v>20.804649352999999</v>
      </c>
      <c r="M235" s="8">
        <v>48.635364532499999</v>
      </c>
      <c r="N235" s="2">
        <v>30.554767462137981</v>
      </c>
      <c r="O235" s="2">
        <v>131.68181818181822</v>
      </c>
      <c r="P235" s="1"/>
      <c r="Q235" s="1"/>
      <c r="U235" s="1">
        <v>4029</v>
      </c>
      <c r="V235" s="1">
        <v>32.468314999999997</v>
      </c>
      <c r="W235" s="8">
        <v>6594</v>
      </c>
      <c r="X235" s="8">
        <v>6590</v>
      </c>
      <c r="Y235" s="8">
        <v>113.187355</v>
      </c>
      <c r="Z235" s="8">
        <v>800.23053000000004</v>
      </c>
      <c r="AA235" s="8">
        <v>6590</v>
      </c>
      <c r="AB235" s="8">
        <v>151.73587000000001</v>
      </c>
      <c r="AD235" s="8">
        <v>168.682007</v>
      </c>
      <c r="AF235" s="8">
        <v>6592</v>
      </c>
      <c r="AG235" s="8">
        <v>121.472481</v>
      </c>
      <c r="AH235" s="8">
        <f t="shared" si="12"/>
        <v>-2</v>
      </c>
      <c r="AK235" s="1">
        <v>4032</v>
      </c>
      <c r="AL235" s="1">
        <v>24.938700000000001</v>
      </c>
      <c r="AM235" s="8">
        <v>42.711463999999999</v>
      </c>
    </row>
    <row r="236" spans="2:39" ht="15.75" x14ac:dyDescent="0.25">
      <c r="B236" s="8">
        <v>4005</v>
      </c>
      <c r="C236" s="8" t="s">
        <v>491</v>
      </c>
      <c r="D236" s="8">
        <v>4005</v>
      </c>
      <c r="E236" s="8" t="s">
        <v>490</v>
      </c>
      <c r="F236" s="8" t="str">
        <f t="shared" si="11"/>
        <v>KT</v>
      </c>
      <c r="G236" s="2">
        <v>111</v>
      </c>
      <c r="H236" s="2">
        <f>SUMIF(RouteID_Conversion!$P$2:$P$745,MD_BoardingByRoute!D236,RouteID_Conversion!$Q$2:$Q$745)</f>
        <v>0</v>
      </c>
      <c r="I236" s="8">
        <v>100.407318115</v>
      </c>
      <c r="K236" s="8">
        <v>334</v>
      </c>
      <c r="L236" s="8">
        <v>116.256217957</v>
      </c>
      <c r="M236" s="8">
        <v>87.945060729999994</v>
      </c>
      <c r="N236" s="2">
        <v>9</v>
      </c>
      <c r="O236" s="2">
        <v>232</v>
      </c>
      <c r="P236" s="1"/>
      <c r="Q236" s="1"/>
      <c r="U236" s="1">
        <v>4034</v>
      </c>
      <c r="V236" s="1">
        <v>27.471074999999999</v>
      </c>
      <c r="W236" s="8">
        <v>7003</v>
      </c>
      <c r="X236" s="8">
        <v>6599</v>
      </c>
      <c r="Y236" s="8">
        <v>919.737976</v>
      </c>
      <c r="Z236" s="8">
        <v>411.93173200000001</v>
      </c>
      <c r="AA236" s="8">
        <v>6599</v>
      </c>
      <c r="AB236" s="8">
        <v>1019.895813</v>
      </c>
      <c r="AD236" s="8">
        <v>184.70867899999999</v>
      </c>
      <c r="AF236" s="8">
        <v>7002</v>
      </c>
      <c r="AG236" s="8">
        <v>234.51835600000001</v>
      </c>
      <c r="AH236" s="8">
        <f t="shared" si="12"/>
        <v>-403</v>
      </c>
      <c r="AK236" s="1">
        <v>4035</v>
      </c>
      <c r="AL236" s="1">
        <v>0.475379</v>
      </c>
      <c r="AM236" s="8">
        <v>35.701542000000003</v>
      </c>
    </row>
    <row r="237" spans="2:39" ht="15.75" x14ac:dyDescent="0.25">
      <c r="B237" s="8">
        <v>4008</v>
      </c>
      <c r="C237" s="8" t="s">
        <v>494</v>
      </c>
      <c r="D237" s="8">
        <v>4008</v>
      </c>
      <c r="E237" s="8" t="s">
        <v>1995</v>
      </c>
      <c r="F237" s="8" t="str">
        <f t="shared" si="11"/>
        <v>KT</v>
      </c>
      <c r="G237" s="2">
        <v>81</v>
      </c>
      <c r="H237" s="2">
        <f>SUMIF(RouteID_Conversion!$P$2:$P$745,MD_BoardingByRoute!D237,RouteID_Conversion!$Q$2:$Q$745)</f>
        <v>104.05042886733992</v>
      </c>
      <c r="I237" s="8">
        <v>34.892913818399997</v>
      </c>
      <c r="K237" s="8">
        <v>335</v>
      </c>
      <c r="L237" s="8">
        <v>66.237823486300002</v>
      </c>
      <c r="M237" s="8">
        <v>33.068359375</v>
      </c>
      <c r="N237" s="2">
        <v>0</v>
      </c>
      <c r="O237" s="2">
        <v>137</v>
      </c>
      <c r="P237" s="1"/>
      <c r="Q237" s="1"/>
      <c r="U237" s="1">
        <v>4035</v>
      </c>
      <c r="V237" s="1">
        <v>0.475379</v>
      </c>
      <c r="W237" s="8">
        <v>7004</v>
      </c>
      <c r="X237" s="8">
        <v>7002</v>
      </c>
      <c r="Y237" s="8">
        <v>234.51835600000001</v>
      </c>
      <c r="Z237" s="8">
        <v>136.69120799999999</v>
      </c>
      <c r="AA237" s="8">
        <v>7002</v>
      </c>
      <c r="AB237" s="8">
        <v>184.80595400000001</v>
      </c>
      <c r="AD237" s="8">
        <v>305.488922</v>
      </c>
      <c r="AF237" s="8">
        <v>7003</v>
      </c>
      <c r="AG237" s="8">
        <v>315.60983299999998</v>
      </c>
      <c r="AH237" s="8">
        <f t="shared" si="12"/>
        <v>-1</v>
      </c>
      <c r="AK237" s="1">
        <v>4036</v>
      </c>
      <c r="AL237" s="1">
        <v>7.3965839999999998</v>
      </c>
      <c r="AM237" s="8">
        <v>0.79437100000000005</v>
      </c>
    </row>
    <row r="238" spans="2:39" ht="15.75" x14ac:dyDescent="0.25">
      <c r="B238" s="8">
        <v>4009</v>
      </c>
      <c r="C238" s="8" t="s">
        <v>1437</v>
      </c>
      <c r="D238" s="8">
        <v>4009</v>
      </c>
      <c r="E238" s="8" t="s">
        <v>1996</v>
      </c>
      <c r="F238" s="8" t="str">
        <f t="shared" si="11"/>
        <v>KT</v>
      </c>
      <c r="G238" s="2">
        <v>121</v>
      </c>
      <c r="H238" s="2">
        <f>SUMIF(RouteID_Conversion!$P$2:$P$745,MD_BoardingByRoute!D238,RouteID_Conversion!$Q$2:$Q$745)</f>
        <v>41.666665792465139</v>
      </c>
      <c r="I238" s="8">
        <v>29.363740921000002</v>
      </c>
      <c r="K238" s="8">
        <v>336</v>
      </c>
      <c r="L238" s="8">
        <v>58.926811218300003</v>
      </c>
      <c r="M238" s="8">
        <v>28.957216262799999</v>
      </c>
      <c r="N238" s="2">
        <v>0</v>
      </c>
      <c r="O238" s="2">
        <v>206</v>
      </c>
      <c r="P238" s="1"/>
      <c r="Q238" s="1"/>
      <c r="U238" s="1">
        <v>4036</v>
      </c>
      <c r="V238" s="1">
        <v>7.3965839999999998</v>
      </c>
      <c r="W238" s="8">
        <v>7005</v>
      </c>
      <c r="X238" s="8">
        <v>7003</v>
      </c>
      <c r="Y238" s="8">
        <v>315.60983299999998</v>
      </c>
      <c r="Z238" s="8">
        <v>15.551886</v>
      </c>
      <c r="AA238" s="8">
        <v>7003</v>
      </c>
      <c r="AB238" s="8">
        <v>305.56158399999998</v>
      </c>
      <c r="AD238" s="8">
        <v>95.666381999999999</v>
      </c>
      <c r="AF238" s="8">
        <v>7004</v>
      </c>
      <c r="AG238" s="8">
        <v>123.07328</v>
      </c>
      <c r="AH238" s="8">
        <f t="shared" si="12"/>
        <v>-1</v>
      </c>
      <c r="AK238" s="1">
        <v>4037</v>
      </c>
      <c r="AL238" s="1">
        <v>4.2459480000000003</v>
      </c>
      <c r="AM238" s="8">
        <v>11.765415000000001</v>
      </c>
    </row>
    <row r="239" spans="2:39" ht="15.75" x14ac:dyDescent="0.25">
      <c r="C239" s="8" t="s">
        <v>846</v>
      </c>
      <c r="D239" s="8">
        <v>4011</v>
      </c>
      <c r="E239" s="8" t="s">
        <v>1997</v>
      </c>
      <c r="F239" s="8" t="str">
        <f t="shared" si="11"/>
        <v>KT</v>
      </c>
      <c r="G239" s="2">
        <v>583</v>
      </c>
      <c r="H239" s="2">
        <f>SUMIF(RouteID_Conversion!$P$2:$P$745,MD_BoardingByRoute!D239,RouteID_Conversion!$Q$2:$Q$745)</f>
        <v>91.883780956268254</v>
      </c>
      <c r="I239" s="8">
        <v>45.283836364700001</v>
      </c>
      <c r="K239" s="8">
        <v>337</v>
      </c>
      <c r="L239" s="8">
        <v>17.685846328699999</v>
      </c>
      <c r="M239" s="8">
        <v>44.5321540833</v>
      </c>
      <c r="N239" s="2">
        <v>2</v>
      </c>
      <c r="O239" s="2">
        <v>1127</v>
      </c>
      <c r="P239" s="2" t="e">
        <f t="shared" ref="P239:P260" si="13">SUM(L239:N239)+I239+F239</f>
        <v>#VALUE!</v>
      </c>
      <c r="Q239" s="1"/>
      <c r="U239" s="1">
        <v>4037</v>
      </c>
      <c r="V239" s="1">
        <v>4.2459480000000003</v>
      </c>
      <c r="W239" s="8">
        <v>7007</v>
      </c>
      <c r="X239" s="8">
        <v>7004</v>
      </c>
      <c r="Y239" s="8">
        <v>123.07328</v>
      </c>
      <c r="Z239" s="8">
        <v>437.036743</v>
      </c>
      <c r="AA239" s="8">
        <v>7004</v>
      </c>
      <c r="AB239" s="8">
        <v>95.581588999999994</v>
      </c>
      <c r="AD239" s="8">
        <v>11.989345</v>
      </c>
      <c r="AF239" s="8">
        <v>7005</v>
      </c>
      <c r="AG239" s="8">
        <v>24.358575999999999</v>
      </c>
      <c r="AH239" s="8">
        <f t="shared" si="12"/>
        <v>-1</v>
      </c>
      <c r="AK239" s="1">
        <v>4041</v>
      </c>
      <c r="AL239" s="1">
        <v>8.9962E-2</v>
      </c>
      <c r="AM239" s="8">
        <v>4.4132490000000004</v>
      </c>
    </row>
    <row r="240" spans="2:39" ht="15.75" x14ac:dyDescent="0.25">
      <c r="B240" s="8">
        <v>4012</v>
      </c>
      <c r="C240" s="8" t="s">
        <v>675</v>
      </c>
      <c r="D240" s="8">
        <v>4012</v>
      </c>
      <c r="E240" s="8" t="s">
        <v>674</v>
      </c>
      <c r="F240" s="8" t="str">
        <f t="shared" si="11"/>
        <v>KT</v>
      </c>
      <c r="G240" s="2">
        <v>199</v>
      </c>
      <c r="H240" s="2">
        <f>SUMIF(RouteID_Conversion!$P$2:$P$745,MD_BoardingByRoute!D240,RouteID_Conversion!$Q$2:$Q$745)</f>
        <v>52.645617604255627</v>
      </c>
      <c r="I240" s="8">
        <v>58.5003242493</v>
      </c>
      <c r="K240" s="8">
        <v>338</v>
      </c>
      <c r="L240" s="8">
        <v>64.675949096699995</v>
      </c>
      <c r="M240" s="8">
        <v>50.8316574097</v>
      </c>
      <c r="N240" s="2">
        <v>0</v>
      </c>
      <c r="O240" s="2">
        <v>391</v>
      </c>
      <c r="P240" s="2" t="e">
        <f t="shared" si="13"/>
        <v>#VALUE!</v>
      </c>
      <c r="Q240" s="1"/>
      <c r="U240" s="1">
        <v>4041</v>
      </c>
      <c r="V240" s="1">
        <v>8.9962E-2</v>
      </c>
      <c r="W240" s="8">
        <v>7008</v>
      </c>
      <c r="X240" s="8">
        <v>7005</v>
      </c>
      <c r="Y240" s="8">
        <v>24.358575999999999</v>
      </c>
      <c r="Z240" s="8">
        <v>167.559021</v>
      </c>
      <c r="AA240" s="8">
        <v>7005</v>
      </c>
      <c r="AB240" s="8">
        <v>11.989926000000001</v>
      </c>
      <c r="AD240" s="8">
        <v>345.335846</v>
      </c>
      <c r="AF240" s="8">
        <v>7007</v>
      </c>
      <c r="AG240" s="8">
        <v>397.702606</v>
      </c>
      <c r="AH240" s="8">
        <f t="shared" si="12"/>
        <v>-2</v>
      </c>
      <c r="AK240" s="1">
        <v>4081</v>
      </c>
      <c r="AL240" s="1">
        <v>2.4224619999999999</v>
      </c>
      <c r="AM240" s="8">
        <v>0.144896</v>
      </c>
    </row>
    <row r="241" spans="2:39" ht="15.75" x14ac:dyDescent="0.25">
      <c r="B241" s="8">
        <v>4013</v>
      </c>
      <c r="C241" s="8" t="s">
        <v>1442</v>
      </c>
      <c r="D241" s="8">
        <v>4013</v>
      </c>
      <c r="E241" s="8" t="s">
        <v>1441</v>
      </c>
      <c r="F241" s="8" t="str">
        <f t="shared" si="11"/>
        <v>KT</v>
      </c>
      <c r="G241" s="2">
        <v>243</v>
      </c>
      <c r="H241" s="2">
        <f>SUMIF(RouteID_Conversion!$P$2:$P$745,MD_BoardingByRoute!D241,RouteID_Conversion!$Q$2:$Q$745)</f>
        <v>291.00335597991852</v>
      </c>
      <c r="I241" s="8">
        <v>65.924530029300001</v>
      </c>
      <c r="K241" s="8">
        <v>339</v>
      </c>
      <c r="L241" s="8">
        <v>35.064815521200003</v>
      </c>
      <c r="M241" s="8">
        <v>62.722900390600003</v>
      </c>
      <c r="N241" s="2">
        <v>0</v>
      </c>
      <c r="O241" s="2">
        <v>509</v>
      </c>
      <c r="P241" s="2" t="e">
        <f t="shared" si="13"/>
        <v>#VALUE!</v>
      </c>
      <c r="Q241" s="1"/>
      <c r="U241" s="1">
        <v>4081</v>
      </c>
      <c r="V241" s="1">
        <v>2.4224619999999999</v>
      </c>
      <c r="W241" s="8">
        <v>7009</v>
      </c>
      <c r="X241" s="8">
        <v>7007</v>
      </c>
      <c r="Y241" s="8">
        <v>397.702606</v>
      </c>
      <c r="Z241" s="8">
        <v>428.35879499999999</v>
      </c>
      <c r="AA241" s="8">
        <v>7007</v>
      </c>
      <c r="AB241" s="8">
        <v>345.07849099999999</v>
      </c>
      <c r="AD241" s="8">
        <v>119.965439</v>
      </c>
      <c r="AF241" s="8">
        <v>7008</v>
      </c>
      <c r="AG241" s="8">
        <v>139.71920800000001</v>
      </c>
      <c r="AH241" s="8">
        <f t="shared" si="12"/>
        <v>-1</v>
      </c>
      <c r="AK241" s="1">
        <v>4085</v>
      </c>
      <c r="AL241" s="1">
        <v>2.25657</v>
      </c>
      <c r="AM241" s="8">
        <v>3.862625</v>
      </c>
    </row>
    <row r="242" spans="2:39" ht="15.75" x14ac:dyDescent="0.25">
      <c r="B242" s="8">
        <v>4017</v>
      </c>
      <c r="C242" s="8" t="s">
        <v>645</v>
      </c>
      <c r="D242" s="8">
        <v>4017</v>
      </c>
      <c r="E242" s="8" t="s">
        <v>644</v>
      </c>
      <c r="F242" s="8" t="str">
        <f t="shared" si="11"/>
        <v>KT</v>
      </c>
      <c r="G242" s="2">
        <v>237</v>
      </c>
      <c r="H242" s="2">
        <f>SUMIF(RouteID_Conversion!$P$2:$P$745,MD_BoardingByRoute!D242,RouteID_Conversion!$Q$2:$Q$745)</f>
        <v>260.92982578277565</v>
      </c>
      <c r="I242" s="8">
        <v>55.425880432100001</v>
      </c>
      <c r="K242" s="8">
        <v>341</v>
      </c>
      <c r="L242" s="8">
        <v>441.64572143599997</v>
      </c>
      <c r="M242" s="8">
        <v>54.934738159200002</v>
      </c>
      <c r="N242" s="2">
        <v>0</v>
      </c>
      <c r="O242" s="2">
        <v>424</v>
      </c>
      <c r="P242" s="2" t="e">
        <f t="shared" si="13"/>
        <v>#VALUE!</v>
      </c>
      <c r="Q242" s="1"/>
      <c r="U242" s="1">
        <v>4086</v>
      </c>
      <c r="V242" s="1">
        <v>80.049605999999997</v>
      </c>
      <c r="W242" s="8">
        <v>7014</v>
      </c>
      <c r="X242" s="8">
        <v>7009</v>
      </c>
      <c r="Y242" s="8">
        <v>405.73242199999999</v>
      </c>
      <c r="Z242" s="8">
        <v>132.77568099999999</v>
      </c>
      <c r="AA242" s="8">
        <v>7009</v>
      </c>
      <c r="AB242" s="8">
        <v>331.03558299999997</v>
      </c>
      <c r="AD242" s="8">
        <v>69.571242999999996</v>
      </c>
      <c r="AF242" s="8">
        <v>7012</v>
      </c>
      <c r="AG242" s="8">
        <v>82.467444999999998</v>
      </c>
      <c r="AH242" s="8">
        <f t="shared" ref="AH242:AH260" si="14">AA242-AF242</f>
        <v>-3</v>
      </c>
      <c r="AK242" s="1">
        <v>4090</v>
      </c>
      <c r="AL242" s="1">
        <v>168.75151099999999</v>
      </c>
      <c r="AM242" s="8">
        <v>176.64308199999999</v>
      </c>
    </row>
    <row r="243" spans="2:39" ht="15.75" x14ac:dyDescent="0.25">
      <c r="B243" s="8">
        <v>4020</v>
      </c>
      <c r="C243" s="8" t="s">
        <v>964</v>
      </c>
      <c r="D243" s="8">
        <v>4020</v>
      </c>
      <c r="E243" s="8" t="s">
        <v>963</v>
      </c>
      <c r="F243" s="8" t="str">
        <f t="shared" si="11"/>
        <v>KT</v>
      </c>
      <c r="G243" s="2">
        <v>199</v>
      </c>
      <c r="H243" s="2">
        <f>SUMIF(RouteID_Conversion!$P$2:$P$745,MD_BoardingByRoute!D243,RouteID_Conversion!$Q$2:$Q$745)</f>
        <v>89.184074878692599</v>
      </c>
      <c r="I243" s="8">
        <v>31.581388473499999</v>
      </c>
      <c r="K243" s="8">
        <v>343</v>
      </c>
      <c r="L243" s="8">
        <v>34.955127716100002</v>
      </c>
      <c r="M243" s="8">
        <v>30.835697174100002</v>
      </c>
      <c r="N243" s="2">
        <v>17</v>
      </c>
      <c r="O243" s="2">
        <v>482</v>
      </c>
      <c r="P243" s="2" t="e">
        <f t="shared" si="13"/>
        <v>#VALUE!</v>
      </c>
      <c r="Q243" s="1"/>
      <c r="U243" s="1">
        <v>4091</v>
      </c>
      <c r="V243" s="1">
        <v>136.31336999999999</v>
      </c>
      <c r="W243" s="8">
        <v>7018</v>
      </c>
      <c r="X243" s="8">
        <v>7014</v>
      </c>
      <c r="Y243" s="8">
        <v>97.980941999999999</v>
      </c>
      <c r="Z243" s="8">
        <v>118.66803</v>
      </c>
      <c r="AA243" s="8">
        <v>7014</v>
      </c>
      <c r="AB243" s="8">
        <v>103.366257</v>
      </c>
      <c r="AD243" s="8">
        <v>110.068726</v>
      </c>
      <c r="AF243" s="8">
        <v>7017</v>
      </c>
      <c r="AG243" s="8">
        <v>135.79809599999999</v>
      </c>
      <c r="AH243" s="8">
        <f t="shared" si="14"/>
        <v>-3</v>
      </c>
      <c r="AK243" s="1">
        <v>4092</v>
      </c>
      <c r="AL243" s="1">
        <v>19.809152999999998</v>
      </c>
      <c r="AM243" s="8">
        <v>215.79994199999999</v>
      </c>
    </row>
    <row r="244" spans="2:39" ht="15.75" x14ac:dyDescent="0.25">
      <c r="B244" s="8">
        <v>4021</v>
      </c>
      <c r="C244" s="8" t="s">
        <v>1452</v>
      </c>
      <c r="D244" s="8">
        <v>4021</v>
      </c>
      <c r="E244" s="8" t="s">
        <v>1451</v>
      </c>
      <c r="F244" s="8" t="str">
        <f t="shared" si="11"/>
        <v>KT</v>
      </c>
      <c r="G244" s="2">
        <v>143</v>
      </c>
      <c r="H244" s="2">
        <f>SUMIF(RouteID_Conversion!$P$2:$P$745,MD_BoardingByRoute!D244,RouteID_Conversion!$Q$2:$Q$745)</f>
        <v>94.294420719146586</v>
      </c>
      <c r="I244" s="8">
        <v>36.142387390099998</v>
      </c>
      <c r="K244" s="8">
        <v>344</v>
      </c>
      <c r="L244" s="8">
        <v>54.481822967500001</v>
      </c>
      <c r="M244" s="8">
        <v>34.461963653600002</v>
      </c>
      <c r="N244" s="2">
        <v>26</v>
      </c>
      <c r="O244" s="2">
        <v>359</v>
      </c>
      <c r="P244" s="2" t="e">
        <f t="shared" si="13"/>
        <v>#VALUE!</v>
      </c>
      <c r="Q244" s="1"/>
      <c r="U244" s="1">
        <v>4092</v>
      </c>
      <c r="V244" s="1">
        <v>19.809152999999998</v>
      </c>
      <c r="W244" s="8">
        <v>7025</v>
      </c>
      <c r="X244" s="8">
        <v>7017</v>
      </c>
      <c r="Y244" s="8">
        <v>135.79809599999999</v>
      </c>
      <c r="Z244" s="8">
        <v>125.772209</v>
      </c>
      <c r="AA244" s="8">
        <v>7017</v>
      </c>
      <c r="AB244" s="8">
        <v>109.98838000000001</v>
      </c>
      <c r="AD244" s="8">
        <v>101.939896</v>
      </c>
      <c r="AF244" s="8">
        <v>7018</v>
      </c>
      <c r="AG244" s="8">
        <v>121.75546300000001</v>
      </c>
      <c r="AH244" s="8">
        <f t="shared" si="14"/>
        <v>-1</v>
      </c>
      <c r="AK244" s="1">
        <v>4093</v>
      </c>
      <c r="AL244" s="1">
        <v>35.390686000000002</v>
      </c>
      <c r="AM244" s="8">
        <v>35.507075999999998</v>
      </c>
    </row>
    <row r="245" spans="2:39" ht="15.75" x14ac:dyDescent="0.25">
      <c r="B245" s="8">
        <v>4023</v>
      </c>
      <c r="C245" s="8" t="s">
        <v>850</v>
      </c>
      <c r="D245" s="8">
        <v>4023</v>
      </c>
      <c r="E245" s="8" t="s">
        <v>849</v>
      </c>
      <c r="F245" s="8" t="str">
        <f t="shared" si="11"/>
        <v>KT</v>
      </c>
      <c r="G245" s="2">
        <v>41</v>
      </c>
      <c r="H245" s="2">
        <f>SUMIF(RouteID_Conversion!$P$2:$P$745,MD_BoardingByRoute!D245,RouteID_Conversion!$Q$2:$Q$745)</f>
        <v>29.238522529601941</v>
      </c>
      <c r="I245" s="8">
        <v>50.836547851600002</v>
      </c>
      <c r="K245" s="8">
        <v>346</v>
      </c>
      <c r="L245" s="8">
        <v>11.771243095399999</v>
      </c>
      <c r="M245" s="8">
        <v>50.697414398200003</v>
      </c>
      <c r="N245" s="2">
        <v>0</v>
      </c>
      <c r="O245" s="2">
        <v>57</v>
      </c>
      <c r="P245" s="2" t="e">
        <f t="shared" si="13"/>
        <v>#VALUE!</v>
      </c>
      <c r="Q245" s="1"/>
      <c r="U245" s="1">
        <v>4094</v>
      </c>
      <c r="V245" s="1">
        <v>11.888313999999999</v>
      </c>
      <c r="W245" s="8">
        <v>7029</v>
      </c>
      <c r="X245" s="8">
        <v>7025</v>
      </c>
      <c r="Y245" s="8">
        <v>112.95622299999999</v>
      </c>
      <c r="Z245" s="8">
        <v>265.45141599999999</v>
      </c>
      <c r="AA245" s="8">
        <v>7025</v>
      </c>
      <c r="AB245" s="8">
        <v>80.911338999999998</v>
      </c>
      <c r="AD245" s="8">
        <v>118.120445</v>
      </c>
      <c r="AF245" s="8">
        <v>7027</v>
      </c>
      <c r="AG245" s="8">
        <v>129.06456</v>
      </c>
      <c r="AH245" s="8">
        <f t="shared" si="14"/>
        <v>-2</v>
      </c>
      <c r="AK245" s="1">
        <v>4095</v>
      </c>
      <c r="AL245" s="1">
        <v>40.631981000000003</v>
      </c>
      <c r="AM245" s="8">
        <v>10.605867999999999</v>
      </c>
    </row>
    <row r="246" spans="2:39" ht="15.75" x14ac:dyDescent="0.25">
      <c r="B246" s="8">
        <v>4024</v>
      </c>
      <c r="C246" s="8" t="s">
        <v>856</v>
      </c>
      <c r="D246" s="8">
        <v>4024</v>
      </c>
      <c r="E246" s="8" t="s">
        <v>855</v>
      </c>
      <c r="F246" s="8" t="str">
        <f t="shared" si="11"/>
        <v>KT</v>
      </c>
      <c r="G246" s="2">
        <v>223</v>
      </c>
      <c r="H246" s="2">
        <f>SUMIF(RouteID_Conversion!$P$2:$P$745,MD_BoardingByRoute!D246,RouteID_Conversion!$Q$2:$Q$745)</f>
        <v>87.42263650894148</v>
      </c>
      <c r="I246" s="8">
        <v>57.682628631599997</v>
      </c>
      <c r="K246" s="8">
        <v>347</v>
      </c>
      <c r="L246" s="8">
        <v>37.849395752</v>
      </c>
      <c r="M246" s="8">
        <v>56.342586517299999</v>
      </c>
      <c r="N246" s="2">
        <v>15</v>
      </c>
      <c r="O246" s="2">
        <v>486</v>
      </c>
      <c r="P246" s="2" t="e">
        <f t="shared" si="13"/>
        <v>#VALUE!</v>
      </c>
      <c r="Q246" s="1"/>
      <c r="U246" s="1">
        <v>4095</v>
      </c>
      <c r="V246" s="1">
        <v>40.631981000000003</v>
      </c>
      <c r="W246" s="8">
        <v>7701</v>
      </c>
      <c r="X246" s="8">
        <v>7027</v>
      </c>
      <c r="Y246" s="8">
        <v>129.06456</v>
      </c>
      <c r="Z246" s="8">
        <v>135.973511</v>
      </c>
      <c r="AA246" s="8">
        <v>7027</v>
      </c>
      <c r="AB246" s="8">
        <v>117.861412</v>
      </c>
      <c r="AD246" s="8">
        <v>209.64233400000001</v>
      </c>
      <c r="AF246" s="8">
        <v>7029</v>
      </c>
      <c r="AG246" s="8">
        <v>236.933212</v>
      </c>
      <c r="AH246" s="8">
        <f t="shared" si="14"/>
        <v>-2</v>
      </c>
      <c r="AK246" s="1">
        <v>4096</v>
      </c>
      <c r="AL246" s="1">
        <v>11.326788000000001</v>
      </c>
      <c r="AM246" s="8">
        <v>53.073951999999998</v>
      </c>
    </row>
    <row r="247" spans="2:39" ht="15.75" x14ac:dyDescent="0.25">
      <c r="B247" s="8">
        <v>4025</v>
      </c>
      <c r="C247" s="8" t="s">
        <v>1023</v>
      </c>
      <c r="D247" s="8">
        <v>4025</v>
      </c>
      <c r="E247" s="8" t="s">
        <v>1022</v>
      </c>
      <c r="F247" s="8" t="str">
        <f t="shared" si="11"/>
        <v>KT</v>
      </c>
      <c r="G247" s="2">
        <v>221</v>
      </c>
      <c r="H247" s="2">
        <f>SUMIF(RouteID_Conversion!$P$2:$P$745,MD_BoardingByRoute!D247,RouteID_Conversion!$Q$2:$Q$745)</f>
        <v>98.259757041930897</v>
      </c>
      <c r="I247" s="8">
        <v>28.950843810999999</v>
      </c>
      <c r="K247" s="8">
        <v>348</v>
      </c>
      <c r="L247" s="8">
        <v>5.8709001541100001</v>
      </c>
      <c r="M247" s="8">
        <v>27.664012908899998</v>
      </c>
      <c r="N247" s="2">
        <v>23</v>
      </c>
      <c r="O247" s="2">
        <v>452</v>
      </c>
      <c r="P247" s="2" t="e">
        <f t="shared" si="13"/>
        <v>#VALUE!</v>
      </c>
      <c r="Q247" s="1"/>
      <c r="U247" s="1">
        <v>4096</v>
      </c>
      <c r="V247" s="1">
        <v>11.326788000000001</v>
      </c>
      <c r="W247" s="8">
        <v>6590</v>
      </c>
      <c r="X247" s="8">
        <v>7029</v>
      </c>
      <c r="Y247" s="8">
        <v>236.933212</v>
      </c>
      <c r="Z247" s="8">
        <v>178.91223099999999</v>
      </c>
      <c r="AA247" s="8">
        <v>7029</v>
      </c>
      <c r="AB247" s="8">
        <v>209.69274899999999</v>
      </c>
      <c r="AD247" s="8">
        <v>110.343948</v>
      </c>
      <c r="AF247" s="8">
        <v>7701</v>
      </c>
      <c r="AG247" s="8">
        <v>125.311806</v>
      </c>
      <c r="AH247" s="8">
        <f t="shared" si="14"/>
        <v>-672</v>
      </c>
      <c r="AK247" s="1">
        <v>4097</v>
      </c>
      <c r="AL247" s="1">
        <v>18.855965000000001</v>
      </c>
      <c r="AM247" s="8">
        <v>9.7689120000000003</v>
      </c>
    </row>
    <row r="248" spans="2:39" ht="15.75" x14ac:dyDescent="0.25">
      <c r="B248" s="8">
        <v>4026</v>
      </c>
      <c r="C248" s="8" t="s">
        <v>831</v>
      </c>
      <c r="D248" s="8">
        <v>4026</v>
      </c>
      <c r="E248" s="8" t="s">
        <v>830</v>
      </c>
      <c r="F248" s="8" t="str">
        <f t="shared" si="11"/>
        <v>KT</v>
      </c>
      <c r="G248" s="2">
        <v>228</v>
      </c>
      <c r="H248" s="2">
        <f>SUMIF(RouteID_Conversion!$P$2:$P$745,MD_BoardingByRoute!D248,RouteID_Conversion!$Q$2:$Q$745)</f>
        <v>102.0316805839537</v>
      </c>
      <c r="I248" s="8">
        <v>22.720397949199999</v>
      </c>
      <c r="K248" s="8">
        <v>349</v>
      </c>
      <c r="L248" s="8">
        <v>7.3670144081100002</v>
      </c>
      <c r="M248" s="8">
        <v>21.545738220200001</v>
      </c>
      <c r="N248" s="2">
        <v>0</v>
      </c>
      <c r="O248" s="2">
        <v>471</v>
      </c>
      <c r="P248" s="2" t="e">
        <f t="shared" si="13"/>
        <v>#VALUE!</v>
      </c>
      <c r="Q248" s="1"/>
      <c r="U248" s="1">
        <v>4097</v>
      </c>
      <c r="V248" s="1">
        <v>18.855965000000001</v>
      </c>
      <c r="W248" s="8">
        <v>6592</v>
      </c>
      <c r="X248" s="8">
        <v>7701</v>
      </c>
      <c r="Y248" s="8">
        <v>125.311806</v>
      </c>
      <c r="Z248" s="8">
        <v>198.988754</v>
      </c>
      <c r="AA248" s="8">
        <v>7701</v>
      </c>
      <c r="AB248" s="8">
        <v>110.18119799999999</v>
      </c>
      <c r="AD248" s="8">
        <v>150.35510300000001</v>
      </c>
      <c r="AF248" s="8">
        <v>6590</v>
      </c>
      <c r="AG248" s="8">
        <v>113.187355</v>
      </c>
      <c r="AH248" s="8">
        <f t="shared" si="14"/>
        <v>1111</v>
      </c>
      <c r="AK248" s="1">
        <v>4098</v>
      </c>
      <c r="AL248" s="1">
        <v>7.2541710000000004</v>
      </c>
      <c r="AM248" s="8">
        <v>19.946604000000001</v>
      </c>
    </row>
    <row r="249" spans="2:39" ht="15.75" x14ac:dyDescent="0.25">
      <c r="B249" s="8">
        <v>4029</v>
      </c>
      <c r="C249" s="8" t="s">
        <v>1456</v>
      </c>
      <c r="D249" s="8">
        <v>4029</v>
      </c>
      <c r="E249" s="8" t="s">
        <v>1455</v>
      </c>
      <c r="F249" s="8" t="str">
        <f t="shared" si="11"/>
        <v>KT</v>
      </c>
      <c r="G249" s="2">
        <v>119</v>
      </c>
      <c r="H249" s="2">
        <f>SUMIF(RouteID_Conversion!$P$2:$P$745,MD_BoardingByRoute!D249,RouteID_Conversion!$Q$2:$Q$745)</f>
        <v>126.80073547363267</v>
      </c>
      <c r="I249" s="8">
        <v>27.865238189700001</v>
      </c>
      <c r="K249" s="8">
        <v>350</v>
      </c>
      <c r="L249" s="8">
        <v>11.449792861900001</v>
      </c>
      <c r="M249" s="8">
        <v>27.227104186999998</v>
      </c>
      <c r="N249" s="2">
        <v>21</v>
      </c>
      <c r="O249" s="2">
        <v>303</v>
      </c>
      <c r="P249" s="2" t="e">
        <f t="shared" si="13"/>
        <v>#VALUE!</v>
      </c>
      <c r="Q249" s="1"/>
      <c r="U249" s="1">
        <v>4098</v>
      </c>
      <c r="V249" s="1">
        <v>7.2541710000000004</v>
      </c>
      <c r="W249" s="8">
        <v>6594</v>
      </c>
      <c r="X249" s="8">
        <v>6590</v>
      </c>
      <c r="Y249" s="8">
        <v>113.187355</v>
      </c>
      <c r="Z249" s="8">
        <v>800.23053000000004</v>
      </c>
      <c r="AA249" s="8">
        <v>6590</v>
      </c>
      <c r="AB249" s="8">
        <v>151.73587000000001</v>
      </c>
      <c r="AD249" s="8">
        <v>168.682007</v>
      </c>
      <c r="AF249" s="8">
        <v>6592</v>
      </c>
      <c r="AG249" s="8">
        <v>121.472481</v>
      </c>
      <c r="AH249" s="8">
        <f t="shared" si="14"/>
        <v>-2</v>
      </c>
      <c r="AK249" s="1">
        <v>4099</v>
      </c>
      <c r="AL249" s="1">
        <v>14.960756999999999</v>
      </c>
      <c r="AM249" s="8">
        <v>7.7787689999999996</v>
      </c>
    </row>
    <row r="250" spans="2:39" ht="15.75" x14ac:dyDescent="0.25">
      <c r="B250" s="8">
        <v>4032</v>
      </c>
      <c r="C250" s="8" t="s">
        <v>681</v>
      </c>
      <c r="D250" s="8">
        <v>4032</v>
      </c>
      <c r="E250" s="8" t="s">
        <v>1998</v>
      </c>
      <c r="F250" s="8" t="str">
        <f t="shared" si="11"/>
        <v>KT</v>
      </c>
      <c r="G250" s="2">
        <v>85</v>
      </c>
      <c r="H250" s="2">
        <f>SUMIF(RouteID_Conversion!$P$2:$P$745,MD_BoardingByRoute!D250,RouteID_Conversion!$Q$2:$Q$745)</f>
        <v>70.845328330993539</v>
      </c>
      <c r="I250" s="8">
        <v>21.287088394200001</v>
      </c>
      <c r="K250" s="8">
        <v>351</v>
      </c>
      <c r="L250" s="8">
        <v>8.2937183380100006</v>
      </c>
      <c r="M250" s="8">
        <v>20.892488479600001</v>
      </c>
      <c r="N250" s="2">
        <v>0</v>
      </c>
      <c r="O250" s="2">
        <v>161</v>
      </c>
      <c r="P250" s="2" t="e">
        <f t="shared" si="13"/>
        <v>#VALUE!</v>
      </c>
      <c r="Q250" s="1"/>
      <c r="U250" s="1">
        <v>4099</v>
      </c>
      <c r="V250" s="1">
        <v>14.960756999999999</v>
      </c>
      <c r="W250" s="8">
        <v>6599</v>
      </c>
      <c r="X250" s="8">
        <v>6592</v>
      </c>
      <c r="Y250" s="8">
        <v>121.472481</v>
      </c>
      <c r="Z250" s="8">
        <v>1001.487915</v>
      </c>
      <c r="AA250" s="8">
        <v>6592</v>
      </c>
      <c r="AB250" s="8">
        <v>169.719131</v>
      </c>
      <c r="AD250" s="8">
        <v>678.532104</v>
      </c>
      <c r="AF250" s="8">
        <v>6594</v>
      </c>
      <c r="AG250" s="8">
        <v>504.98400900000001</v>
      </c>
      <c r="AH250" s="8">
        <f t="shared" si="14"/>
        <v>-2</v>
      </c>
      <c r="AK250" s="1">
        <v>4106</v>
      </c>
      <c r="AL250" s="1">
        <v>40.631981000000003</v>
      </c>
      <c r="AM250" s="8">
        <v>14.906745000000001</v>
      </c>
    </row>
    <row r="251" spans="2:39" ht="15.75" x14ac:dyDescent="0.25">
      <c r="B251" s="8">
        <v>4034</v>
      </c>
      <c r="C251" s="8" t="s">
        <v>649</v>
      </c>
      <c r="D251" s="8">
        <v>4034</v>
      </c>
      <c r="E251" s="8" t="s">
        <v>648</v>
      </c>
      <c r="F251" s="8" t="str">
        <f t="shared" si="11"/>
        <v>KT</v>
      </c>
      <c r="G251" s="2">
        <v>54</v>
      </c>
      <c r="H251" s="2">
        <f>SUMIF(RouteID_Conversion!$P$2:$P$745,MD_BoardingByRoute!D251,RouteID_Conversion!$Q$2:$Q$745)</f>
        <v>5.8016890287399256</v>
      </c>
      <c r="I251" s="8">
        <v>85.821166992200006</v>
      </c>
      <c r="K251" s="8">
        <v>353</v>
      </c>
      <c r="L251" s="8">
        <v>25.2610778809</v>
      </c>
      <c r="M251" s="8">
        <v>77.162979125999996</v>
      </c>
      <c r="N251" s="2">
        <v>0</v>
      </c>
      <c r="O251" s="2">
        <v>115</v>
      </c>
      <c r="P251" s="2" t="e">
        <f t="shared" si="13"/>
        <v>#VALUE!</v>
      </c>
      <c r="Q251" s="1"/>
      <c r="U251" s="1">
        <v>4201</v>
      </c>
      <c r="V251" s="1">
        <v>9.758184</v>
      </c>
      <c r="W251" s="8">
        <v>7003</v>
      </c>
      <c r="X251" s="8">
        <v>6599</v>
      </c>
      <c r="Y251" s="8">
        <v>919.737976</v>
      </c>
      <c r="Z251" s="8">
        <v>411.93173200000001</v>
      </c>
      <c r="AA251" s="8">
        <v>6599</v>
      </c>
      <c r="AB251" s="8">
        <v>1019.895813</v>
      </c>
      <c r="AD251" s="8">
        <v>184.70867899999999</v>
      </c>
      <c r="AF251" s="8">
        <v>7002</v>
      </c>
      <c r="AG251" s="8">
        <v>234.51835600000001</v>
      </c>
      <c r="AH251" s="8">
        <f t="shared" si="14"/>
        <v>-403</v>
      </c>
      <c r="AK251" s="1">
        <v>4202</v>
      </c>
      <c r="AL251" s="1">
        <v>9.6023029999999991</v>
      </c>
      <c r="AM251" s="8">
        <v>19.827085</v>
      </c>
    </row>
    <row r="252" spans="2:39" ht="15.75" x14ac:dyDescent="0.25">
      <c r="B252" s="8">
        <v>4035</v>
      </c>
      <c r="C252" s="8" t="s">
        <v>710</v>
      </c>
      <c r="D252" s="8">
        <v>4035</v>
      </c>
      <c r="E252" s="8" t="s">
        <v>709</v>
      </c>
      <c r="F252" s="8" t="str">
        <f t="shared" si="11"/>
        <v>KT</v>
      </c>
      <c r="G252" s="2">
        <v>55</v>
      </c>
      <c r="H252" s="2">
        <f>SUMIF(RouteID_Conversion!$P$2:$P$745,MD_BoardingByRoute!D252,RouteID_Conversion!$Q$2:$Q$745)</f>
        <v>1</v>
      </c>
      <c r="I252" s="8">
        <v>104.68870544399999</v>
      </c>
      <c r="K252" s="8">
        <v>354</v>
      </c>
      <c r="L252" s="8">
        <v>64.682624816900002</v>
      </c>
      <c r="M252" s="8">
        <v>93.7650222778</v>
      </c>
      <c r="N252" s="2">
        <v>0</v>
      </c>
      <c r="O252" s="2">
        <v>73</v>
      </c>
      <c r="P252" s="2" t="e">
        <f t="shared" si="13"/>
        <v>#VALUE!</v>
      </c>
      <c r="Q252" s="1"/>
      <c r="U252" s="1">
        <v>4202</v>
      </c>
      <c r="V252" s="1">
        <v>9.6023029999999991</v>
      </c>
      <c r="W252" s="8">
        <v>7004</v>
      </c>
      <c r="X252" s="8">
        <v>7002</v>
      </c>
      <c r="Y252" s="8">
        <v>234.51835600000001</v>
      </c>
      <c r="Z252" s="8">
        <v>136.69120799999999</v>
      </c>
      <c r="AA252" s="8">
        <v>7002</v>
      </c>
      <c r="AB252" s="8">
        <v>184.80595400000001</v>
      </c>
      <c r="AD252" s="8">
        <v>305.488922</v>
      </c>
      <c r="AF252" s="8">
        <v>7003</v>
      </c>
      <c r="AG252" s="8">
        <v>315.60983299999998</v>
      </c>
      <c r="AH252" s="8">
        <f t="shared" si="14"/>
        <v>-1</v>
      </c>
      <c r="AK252" s="1">
        <v>4203</v>
      </c>
      <c r="AL252" s="1">
        <v>5.0282859999999996</v>
      </c>
      <c r="AM252" s="8">
        <v>23.499099999999999</v>
      </c>
    </row>
    <row r="253" spans="2:39" ht="15.75" x14ac:dyDescent="0.25">
      <c r="B253" s="8">
        <v>4036</v>
      </c>
      <c r="C253" s="8" t="s">
        <v>1516</v>
      </c>
      <c r="D253" s="8">
        <v>4036</v>
      </c>
      <c r="E253" s="8" t="s">
        <v>1515</v>
      </c>
      <c r="F253" s="8" t="str">
        <f t="shared" si="11"/>
        <v>KT</v>
      </c>
      <c r="G253" s="2">
        <v>50</v>
      </c>
      <c r="H253" s="2">
        <f>SUMIF(RouteID_Conversion!$P$2:$P$745,MD_BoardingByRoute!D253,RouteID_Conversion!$Q$2:$Q$745)</f>
        <v>5.3016887903213465</v>
      </c>
      <c r="I253" s="8">
        <v>112.182403564</v>
      </c>
      <c r="K253" s="8">
        <v>355</v>
      </c>
      <c r="L253" s="8">
        <v>70.154228210400007</v>
      </c>
      <c r="M253" s="8">
        <v>100.665481567</v>
      </c>
      <c r="N253" s="2">
        <v>0</v>
      </c>
      <c r="O253" s="2">
        <v>107</v>
      </c>
      <c r="P253" s="2" t="e">
        <f t="shared" si="13"/>
        <v>#VALUE!</v>
      </c>
      <c r="Q253" s="1"/>
      <c r="U253" s="1">
        <v>4203</v>
      </c>
      <c r="V253" s="1">
        <v>5.0282859999999996</v>
      </c>
      <c r="W253" s="8">
        <v>7005</v>
      </c>
      <c r="X253" s="8">
        <v>7003</v>
      </c>
      <c r="Y253" s="8">
        <v>315.60983299999998</v>
      </c>
      <c r="Z253" s="8">
        <v>15.551886</v>
      </c>
      <c r="AA253" s="8">
        <v>7003</v>
      </c>
      <c r="AB253" s="8">
        <v>305.56158399999998</v>
      </c>
      <c r="AD253" s="8">
        <v>95.666381999999999</v>
      </c>
      <c r="AF253" s="8">
        <v>7004</v>
      </c>
      <c r="AG253" s="8">
        <v>123.07328</v>
      </c>
      <c r="AH253" s="8">
        <f t="shared" si="14"/>
        <v>-1</v>
      </c>
      <c r="AK253" s="1">
        <v>4204</v>
      </c>
      <c r="AL253" s="1">
        <v>20.494005000000001</v>
      </c>
      <c r="AM253" s="8">
        <v>16.249677999999999</v>
      </c>
    </row>
    <row r="254" spans="2:39" ht="15.75" x14ac:dyDescent="0.25">
      <c r="B254" s="8">
        <v>4037</v>
      </c>
      <c r="C254" s="8" t="s">
        <v>1521</v>
      </c>
      <c r="D254" s="8">
        <v>4037</v>
      </c>
      <c r="E254" s="8" t="s">
        <v>1520</v>
      </c>
      <c r="F254" s="8" t="str">
        <f t="shared" si="11"/>
        <v>KT</v>
      </c>
      <c r="G254" s="2">
        <v>30</v>
      </c>
      <c r="H254" s="2">
        <f>SUMIF(RouteID_Conversion!$P$2:$P$745,MD_BoardingByRoute!D254,RouteID_Conversion!$Q$2:$Q$745)</f>
        <v>9.53281825780868</v>
      </c>
      <c r="I254" s="8">
        <v>91.800460815400001</v>
      </c>
      <c r="K254" s="8">
        <v>356</v>
      </c>
      <c r="L254" s="8">
        <v>98.520179748499999</v>
      </c>
      <c r="M254" s="8">
        <v>84.146186828599994</v>
      </c>
      <c r="N254" s="2">
        <v>0</v>
      </c>
      <c r="O254" s="2">
        <v>63</v>
      </c>
      <c r="P254" s="2" t="e">
        <f t="shared" si="13"/>
        <v>#VALUE!</v>
      </c>
      <c r="Q254" s="1"/>
      <c r="U254" s="1">
        <v>4204</v>
      </c>
      <c r="V254" s="1">
        <v>20.494005000000001</v>
      </c>
      <c r="W254" s="8">
        <v>7007</v>
      </c>
      <c r="X254" s="8">
        <v>7004</v>
      </c>
      <c r="Y254" s="8">
        <v>123.07328</v>
      </c>
      <c r="Z254" s="8">
        <v>437.036743</v>
      </c>
      <c r="AA254" s="8">
        <v>7004</v>
      </c>
      <c r="AB254" s="8">
        <v>95.581588999999994</v>
      </c>
      <c r="AD254" s="8">
        <v>11.989345</v>
      </c>
      <c r="AF254" s="8">
        <v>7005</v>
      </c>
      <c r="AG254" s="8">
        <v>24.358575999999999</v>
      </c>
      <c r="AH254" s="8">
        <f t="shared" si="14"/>
        <v>-1</v>
      </c>
      <c r="AK254" s="1">
        <v>4205</v>
      </c>
      <c r="AL254" s="1">
        <v>17.471079</v>
      </c>
      <c r="AM254" s="8">
        <v>41.008633000000003</v>
      </c>
    </row>
    <row r="255" spans="2:39" ht="15.75" x14ac:dyDescent="0.25">
      <c r="B255" s="8">
        <v>4041</v>
      </c>
      <c r="C255" s="8" t="s">
        <v>685</v>
      </c>
      <c r="D255" s="8">
        <v>4041</v>
      </c>
      <c r="E255" s="8" t="s">
        <v>684</v>
      </c>
      <c r="F255" s="8" t="str">
        <f t="shared" si="11"/>
        <v>KT</v>
      </c>
      <c r="G255" s="2">
        <v>25</v>
      </c>
      <c r="H255" s="2">
        <f>SUMIF(RouteID_Conversion!$P$2:$P$745,MD_BoardingByRoute!D255,RouteID_Conversion!$Q$2:$Q$745)</f>
        <v>0</v>
      </c>
      <c r="I255" s="8">
        <v>58.083988189700001</v>
      </c>
      <c r="K255" s="8">
        <v>357</v>
      </c>
      <c r="L255" s="8">
        <v>77.662750244099996</v>
      </c>
      <c r="M255" s="8">
        <v>49.465885162399999</v>
      </c>
      <c r="N255" s="2">
        <v>0</v>
      </c>
      <c r="O255" s="2">
        <v>44</v>
      </c>
      <c r="P255" s="2" t="e">
        <f t="shared" si="13"/>
        <v>#VALUE!</v>
      </c>
      <c r="Q255" s="1"/>
      <c r="U255" s="1">
        <v>4205</v>
      </c>
      <c r="V255" s="1">
        <v>17.471079</v>
      </c>
      <c r="W255" s="8">
        <v>7008</v>
      </c>
      <c r="X255" s="8">
        <v>7005</v>
      </c>
      <c r="Y255" s="8">
        <v>24.358575999999999</v>
      </c>
      <c r="Z255" s="8">
        <v>167.559021</v>
      </c>
      <c r="AA255" s="8">
        <v>7005</v>
      </c>
      <c r="AB255" s="8">
        <v>11.989926000000001</v>
      </c>
      <c r="AD255" s="8">
        <v>345.335846</v>
      </c>
      <c r="AF255" s="8">
        <v>7007</v>
      </c>
      <c r="AG255" s="8">
        <v>397.702606</v>
      </c>
      <c r="AH255" s="8">
        <f t="shared" si="14"/>
        <v>-2</v>
      </c>
      <c r="AK255" s="1">
        <v>4206</v>
      </c>
      <c r="AL255" s="1">
        <v>17.636662000000001</v>
      </c>
      <c r="AM255" s="8">
        <v>36.359985000000002</v>
      </c>
    </row>
    <row r="256" spans="2:39" ht="15.75" x14ac:dyDescent="0.25">
      <c r="C256" s="8" t="s">
        <v>1999</v>
      </c>
      <c r="D256" s="8">
        <v>4043</v>
      </c>
      <c r="E256" s="8" t="s">
        <v>2000</v>
      </c>
      <c r="F256" s="8" t="str">
        <f t="shared" si="11"/>
        <v>KT</v>
      </c>
      <c r="G256" s="2">
        <v>44</v>
      </c>
      <c r="H256" s="2">
        <f>SUMIF(RouteID_Conversion!$P$2:$P$745,MD_BoardingByRoute!D256,RouteID_Conversion!$Q$2:$Q$745)</f>
        <v>10.600881218910182</v>
      </c>
      <c r="I256" s="8">
        <v>62.0657539368</v>
      </c>
      <c r="K256" s="8">
        <v>358</v>
      </c>
      <c r="L256" s="8">
        <v>26.216257095300001</v>
      </c>
      <c r="M256" s="8">
        <v>53.447650909399997</v>
      </c>
      <c r="N256" s="2">
        <v>0</v>
      </c>
      <c r="O256" s="2">
        <v>54</v>
      </c>
      <c r="P256" s="2" t="e">
        <f t="shared" si="13"/>
        <v>#VALUE!</v>
      </c>
      <c r="Q256" s="1"/>
      <c r="U256" s="1">
        <v>4206</v>
      </c>
      <c r="V256" s="1">
        <v>17.636662000000001</v>
      </c>
      <c r="W256" s="8">
        <v>7009</v>
      </c>
      <c r="X256" s="8">
        <v>7007</v>
      </c>
      <c r="Y256" s="8">
        <v>397.702606</v>
      </c>
      <c r="Z256" s="8">
        <v>428.35879499999999</v>
      </c>
      <c r="AA256" s="8">
        <v>7007</v>
      </c>
      <c r="AB256" s="8">
        <v>345.07849099999999</v>
      </c>
      <c r="AD256" s="8">
        <v>119.965439</v>
      </c>
      <c r="AF256" s="8">
        <v>7008</v>
      </c>
      <c r="AG256" s="8">
        <v>139.71920800000001</v>
      </c>
      <c r="AH256" s="8">
        <f t="shared" si="14"/>
        <v>-1</v>
      </c>
      <c r="AK256" s="1">
        <v>4207</v>
      </c>
      <c r="AL256" s="1">
        <v>8.6998669999999994</v>
      </c>
      <c r="AM256" s="8">
        <v>39.299849999999999</v>
      </c>
    </row>
    <row r="257" spans="2:39" ht="15.75" x14ac:dyDescent="0.25">
      <c r="B257" s="8">
        <v>4086</v>
      </c>
      <c r="C257" s="8" t="s">
        <v>853</v>
      </c>
      <c r="D257" s="8">
        <v>4086</v>
      </c>
      <c r="E257" s="8" t="s">
        <v>852</v>
      </c>
      <c r="F257" s="8" t="str">
        <f t="shared" si="11"/>
        <v>KT</v>
      </c>
      <c r="G257" s="2">
        <v>30</v>
      </c>
      <c r="H257" s="2">
        <f>SUMIF(RouteID_Conversion!$P$2:$P$745,MD_BoardingByRoute!D257,RouteID_Conversion!$Q$2:$Q$745)</f>
        <v>2.6495727151632229</v>
      </c>
      <c r="I257" s="8">
        <v>41.537498474099998</v>
      </c>
      <c r="K257" s="8">
        <v>361</v>
      </c>
      <c r="L257" s="8">
        <v>56.143642425499998</v>
      </c>
      <c r="M257" s="8">
        <v>39.943347930900003</v>
      </c>
      <c r="N257" s="2">
        <v>28</v>
      </c>
      <c r="O257" s="2">
        <v>196</v>
      </c>
      <c r="P257" s="2" t="e">
        <f t="shared" si="13"/>
        <v>#VALUE!</v>
      </c>
      <c r="Q257" s="1"/>
      <c r="U257" s="1">
        <v>4209</v>
      </c>
      <c r="V257" s="1">
        <v>23.311983000000001</v>
      </c>
      <c r="W257" s="8">
        <v>7017</v>
      </c>
      <c r="X257" s="8">
        <v>7012</v>
      </c>
      <c r="Y257" s="8">
        <v>82.467444999999998</v>
      </c>
      <c r="Z257" s="8">
        <v>146.89688100000001</v>
      </c>
      <c r="AA257" s="8">
        <v>7012</v>
      </c>
      <c r="AB257" s="8">
        <v>69.464493000000004</v>
      </c>
      <c r="AD257" s="8">
        <v>103.140305</v>
      </c>
      <c r="AF257" s="8">
        <v>7014</v>
      </c>
      <c r="AG257" s="8">
        <v>97.980941999999999</v>
      </c>
      <c r="AH257" s="8">
        <f t="shared" si="14"/>
        <v>-2</v>
      </c>
      <c r="AK257" s="1">
        <v>4210</v>
      </c>
      <c r="AL257" s="1">
        <v>18.378822</v>
      </c>
      <c r="AM257" s="8">
        <v>42.1492</v>
      </c>
    </row>
    <row r="258" spans="2:39" ht="15.75" x14ac:dyDescent="0.25">
      <c r="B258" s="8">
        <v>4090</v>
      </c>
      <c r="C258" s="8" t="s">
        <v>688</v>
      </c>
      <c r="D258" s="8">
        <v>4090</v>
      </c>
      <c r="E258" s="8" t="s">
        <v>687</v>
      </c>
      <c r="F258" s="8" t="str">
        <f t="shared" ref="F258:F266" si="15">MID(C258,1,2)</f>
        <v>KT</v>
      </c>
      <c r="G258" s="2">
        <v>102</v>
      </c>
      <c r="H258" s="2">
        <f>SUMIF(RouteID_Conversion!$P$2:$P$745,MD_BoardingByRoute!D258,RouteID_Conversion!$Q$2:$Q$745)</f>
        <v>146.1616810560225</v>
      </c>
      <c r="I258" s="8">
        <v>39.837932586699999</v>
      </c>
      <c r="K258" s="8">
        <v>362</v>
      </c>
      <c r="L258" s="8">
        <v>78.192863464400006</v>
      </c>
      <c r="M258" s="8">
        <v>39.185470581099999</v>
      </c>
      <c r="N258" s="2">
        <v>166</v>
      </c>
      <c r="O258" s="2">
        <v>832</v>
      </c>
      <c r="P258" s="2" t="e">
        <f t="shared" si="13"/>
        <v>#VALUE!</v>
      </c>
      <c r="Q258" s="1"/>
      <c r="U258" s="1">
        <v>4210</v>
      </c>
      <c r="V258" s="1">
        <v>18.378822</v>
      </c>
      <c r="W258" s="8">
        <v>7018</v>
      </c>
      <c r="X258" s="8">
        <v>7014</v>
      </c>
      <c r="Y258" s="8">
        <v>97.980941999999999</v>
      </c>
      <c r="Z258" s="8">
        <v>118.66803</v>
      </c>
      <c r="AA258" s="8">
        <v>7014</v>
      </c>
      <c r="AB258" s="8">
        <v>103.366257</v>
      </c>
      <c r="AD258" s="8">
        <v>110.068726</v>
      </c>
      <c r="AF258" s="8">
        <v>7017</v>
      </c>
      <c r="AG258" s="8">
        <v>135.79809599999999</v>
      </c>
      <c r="AH258" s="8">
        <f t="shared" si="14"/>
        <v>-3</v>
      </c>
      <c r="AK258" s="1">
        <v>4211</v>
      </c>
      <c r="AL258" s="1">
        <v>17.251156000000002</v>
      </c>
      <c r="AM258" s="8">
        <v>36.077595000000002</v>
      </c>
    </row>
    <row r="259" spans="2:39" ht="15.75" x14ac:dyDescent="0.25">
      <c r="B259" s="8">
        <v>4091</v>
      </c>
      <c r="C259" s="8" t="s">
        <v>502</v>
      </c>
      <c r="D259" s="8">
        <v>4091</v>
      </c>
      <c r="E259" s="8" t="s">
        <v>501</v>
      </c>
      <c r="F259" s="8" t="str">
        <f t="shared" si="15"/>
        <v>KT</v>
      </c>
      <c r="G259" s="2">
        <v>8</v>
      </c>
      <c r="H259" s="2">
        <f>SUMIF(RouteID_Conversion!$P$2:$P$745,MD_BoardingByRoute!D259,RouteID_Conversion!$Q$2:$Q$745)</f>
        <v>1.0191263705492011</v>
      </c>
      <c r="I259" s="8">
        <v>64.972434997600004</v>
      </c>
      <c r="K259" s="8">
        <v>363</v>
      </c>
      <c r="L259" s="8">
        <v>62.204868316700001</v>
      </c>
      <c r="M259" s="8">
        <v>57.957546234100001</v>
      </c>
      <c r="N259" s="2">
        <v>80</v>
      </c>
      <c r="O259" s="2">
        <v>375</v>
      </c>
      <c r="P259" s="2" t="e">
        <f t="shared" si="13"/>
        <v>#VALUE!</v>
      </c>
      <c r="Q259" s="1"/>
      <c r="U259" s="1">
        <v>4211</v>
      </c>
      <c r="V259" s="1">
        <v>17.251156000000002</v>
      </c>
      <c r="W259" s="8">
        <v>7025</v>
      </c>
      <c r="X259" s="8">
        <v>7017</v>
      </c>
      <c r="Y259" s="8">
        <v>135.79809599999999</v>
      </c>
      <c r="Z259" s="8">
        <v>125.772209</v>
      </c>
      <c r="AA259" s="8">
        <v>7017</v>
      </c>
      <c r="AB259" s="8">
        <v>109.98838000000001</v>
      </c>
      <c r="AD259" s="8">
        <v>101.939896</v>
      </c>
      <c r="AF259" s="8">
        <v>7018</v>
      </c>
      <c r="AG259" s="8">
        <v>121.75546300000001</v>
      </c>
      <c r="AH259" s="8">
        <f t="shared" si="14"/>
        <v>-1</v>
      </c>
      <c r="AK259" s="1">
        <v>4212</v>
      </c>
      <c r="AL259" s="1">
        <v>21.415310000000002</v>
      </c>
      <c r="AM259" s="8">
        <v>32.686604000000003</v>
      </c>
    </row>
    <row r="260" spans="2:39" ht="15.75" x14ac:dyDescent="0.25">
      <c r="B260" s="8">
        <v>4092</v>
      </c>
      <c r="C260" s="8" t="s">
        <v>664</v>
      </c>
      <c r="D260" s="8">
        <v>4092</v>
      </c>
      <c r="E260" s="8" t="s">
        <v>663</v>
      </c>
      <c r="F260" s="8" t="str">
        <f t="shared" si="15"/>
        <v>KT</v>
      </c>
      <c r="G260" s="2">
        <v>53</v>
      </c>
      <c r="H260" s="2">
        <f>SUMIF(RouteID_Conversion!$P$2:$P$745,MD_BoardingByRoute!D260,RouteID_Conversion!$Q$2:$Q$745)</f>
        <v>58.711360216140662</v>
      </c>
      <c r="I260" s="8">
        <v>48.776714325</v>
      </c>
      <c r="K260" s="8">
        <v>364</v>
      </c>
      <c r="L260" s="8">
        <v>47.957580566399997</v>
      </c>
      <c r="M260" s="8">
        <v>48.553070068399997</v>
      </c>
      <c r="N260" s="2">
        <v>0</v>
      </c>
      <c r="O260" s="2">
        <v>79</v>
      </c>
      <c r="P260" s="2" t="e">
        <f t="shared" si="13"/>
        <v>#VALUE!</v>
      </c>
      <c r="Q260" s="1"/>
      <c r="U260" s="1">
        <v>4212</v>
      </c>
      <c r="V260" s="1">
        <v>21.415310000000002</v>
      </c>
      <c r="W260" s="8">
        <v>7027</v>
      </c>
      <c r="X260" s="8">
        <v>7018</v>
      </c>
      <c r="Y260" s="8">
        <v>121.75546300000001</v>
      </c>
      <c r="Z260" s="8">
        <v>147.68017599999999</v>
      </c>
      <c r="AA260" s="8">
        <v>7018</v>
      </c>
      <c r="AB260" s="8">
        <v>101.779465</v>
      </c>
      <c r="AD260" s="8">
        <v>80.905929999999998</v>
      </c>
      <c r="AF260" s="8">
        <v>7025</v>
      </c>
      <c r="AG260" s="8">
        <v>112.95622299999999</v>
      </c>
      <c r="AH260" s="8">
        <f t="shared" si="14"/>
        <v>-7</v>
      </c>
      <c r="AK260" s="1">
        <v>4213</v>
      </c>
      <c r="AL260" s="1">
        <v>7.2278560000000001</v>
      </c>
      <c r="AM260" s="8">
        <v>53.396903999999999</v>
      </c>
    </row>
    <row r="261" spans="2:39" ht="15.75" x14ac:dyDescent="0.25">
      <c r="B261" s="8">
        <v>4501</v>
      </c>
      <c r="C261" s="8" t="s">
        <v>2106</v>
      </c>
      <c r="D261" s="8">
        <v>4501</v>
      </c>
      <c r="E261" s="8" t="s">
        <v>2107</v>
      </c>
      <c r="F261" s="8" t="str">
        <f t="shared" si="15"/>
        <v>KT</v>
      </c>
      <c r="G261" s="2">
        <v>462.51000000000005</v>
      </c>
      <c r="H261" s="2">
        <f>SUMIF(RouteID_Conversion!$P$2:$P$745,MD_BoardingByRoute!D261,RouteID_Conversion!$Q$2:$Q$745)</f>
        <v>178.89999866485573</v>
      </c>
      <c r="I261" s="8">
        <v>74.962905883800005</v>
      </c>
      <c r="K261" s="8">
        <v>449</v>
      </c>
      <c r="L261" s="8">
        <v>96.893829345699999</v>
      </c>
      <c r="M261" s="8">
        <v>72.916969299300007</v>
      </c>
      <c r="N261" s="2"/>
      <c r="O261" s="2">
        <v>1713</v>
      </c>
      <c r="P261" s="1"/>
      <c r="Q261" s="1"/>
      <c r="U261" s="1"/>
      <c r="AK261" s="1">
        <v>7004</v>
      </c>
      <c r="AL261" s="1">
        <v>244.82399000000001</v>
      </c>
      <c r="AM261" s="8">
        <v>840.86175500000002</v>
      </c>
    </row>
    <row r="262" spans="2:39" ht="15.75" x14ac:dyDescent="0.25">
      <c r="C262" s="8" t="s">
        <v>2108</v>
      </c>
      <c r="D262" s="8">
        <v>4502</v>
      </c>
      <c r="E262" s="8" t="s">
        <v>2109</v>
      </c>
      <c r="F262" s="8" t="str">
        <f t="shared" si="15"/>
        <v>KT</v>
      </c>
      <c r="G262" s="2">
        <v>193.59</v>
      </c>
      <c r="H262" s="2">
        <f>SUMIF(RouteID_Conversion!$P$2:$P$745,MD_BoardingByRoute!D262,RouteID_Conversion!$Q$2:$Q$745)</f>
        <v>0</v>
      </c>
      <c r="I262" s="8">
        <v>55.603378295900001</v>
      </c>
      <c r="K262" s="8">
        <v>450</v>
      </c>
      <c r="L262" s="8">
        <v>32.367202758799998</v>
      </c>
      <c r="M262" s="8">
        <v>55.151657104500003</v>
      </c>
      <c r="N262" s="2"/>
      <c r="O262" s="2">
        <v>717</v>
      </c>
      <c r="P262" s="1" t="s">
        <v>17</v>
      </c>
      <c r="Q262" s="1"/>
      <c r="U262" s="1"/>
      <c r="AK262" s="1">
        <v>7005</v>
      </c>
      <c r="AL262" s="1">
        <v>31.958341999999998</v>
      </c>
      <c r="AM262" s="8">
        <v>269.06982399999998</v>
      </c>
    </row>
    <row r="263" spans="2:39" ht="15.75" x14ac:dyDescent="0.25">
      <c r="B263" s="8">
        <v>5001</v>
      </c>
      <c r="C263" s="8" t="s">
        <v>2110</v>
      </c>
      <c r="D263" s="8">
        <v>5001</v>
      </c>
      <c r="E263" s="8" t="s">
        <v>2111</v>
      </c>
      <c r="F263" s="8" t="str">
        <f t="shared" si="15"/>
        <v>WF</v>
      </c>
      <c r="G263" s="2">
        <v>238</v>
      </c>
      <c r="H263" s="2">
        <f>SUMIF(RouteID_Conversion!$P$2:$P$745,MD_BoardingByRoute!D263,RouteID_Conversion!$Q$2:$Q$745)</f>
        <v>10.142461635172335</v>
      </c>
      <c r="I263" s="8">
        <v>57.385158538799999</v>
      </c>
      <c r="K263" s="8">
        <v>451</v>
      </c>
      <c r="L263" s="8">
        <v>31.728328704799999</v>
      </c>
      <c r="M263" s="8">
        <v>55.784290313699998</v>
      </c>
      <c r="N263" s="2"/>
      <c r="O263" s="2">
        <v>692</v>
      </c>
      <c r="P263" s="1"/>
      <c r="Q263" s="1"/>
      <c r="U263" s="1"/>
      <c r="AK263" s="1">
        <v>7007</v>
      </c>
      <c r="AL263" s="1">
        <v>377.65451000000002</v>
      </c>
      <c r="AM263" s="8">
        <v>38.958579999999998</v>
      </c>
    </row>
    <row r="264" spans="2:39" ht="15.75" x14ac:dyDescent="0.25">
      <c r="B264" s="8">
        <v>5004</v>
      </c>
      <c r="C264" s="8" t="s">
        <v>2116</v>
      </c>
      <c r="D264" s="8">
        <v>5004</v>
      </c>
      <c r="E264" s="8" t="s">
        <v>2117</v>
      </c>
      <c r="F264" s="8" t="str">
        <f t="shared" si="15"/>
        <v>WF</v>
      </c>
      <c r="G264" s="2">
        <v>30</v>
      </c>
      <c r="H264" s="2">
        <f>SUMIF(RouteID_Conversion!$P$2:$P$745,MD_BoardingByRoute!D264,RouteID_Conversion!$Q$2:$Q$745)</f>
        <v>2</v>
      </c>
      <c r="I264" s="8">
        <v>67.242996215800005</v>
      </c>
      <c r="K264" s="8">
        <v>454</v>
      </c>
      <c r="L264" s="8">
        <v>37.126342773399998</v>
      </c>
      <c r="M264" s="8">
        <v>66.709274292000003</v>
      </c>
      <c r="N264" s="2">
        <v>7</v>
      </c>
      <c r="O264" s="2"/>
      <c r="P264" s="1" t="s">
        <v>17</v>
      </c>
      <c r="Q264" s="1"/>
      <c r="AK264" s="1">
        <v>7012</v>
      </c>
      <c r="AL264" s="1">
        <v>99.796227000000002</v>
      </c>
      <c r="AM264" s="8">
        <v>512.855774</v>
      </c>
    </row>
    <row r="265" spans="2:39" ht="15.75" x14ac:dyDescent="0.25">
      <c r="B265" s="8">
        <v>5005</v>
      </c>
      <c r="C265" s="8" t="s">
        <v>2118</v>
      </c>
      <c r="D265" s="8">
        <v>5005</v>
      </c>
      <c r="E265" s="8" t="s">
        <v>2119</v>
      </c>
      <c r="F265" s="8" t="str">
        <f t="shared" si="15"/>
        <v>WF</v>
      </c>
      <c r="G265" s="2">
        <v>1869</v>
      </c>
      <c r="H265" s="2">
        <f>SUMIF(RouteID_Conversion!$P$2:$P$745,MD_BoardingByRoute!D265,RouteID_Conversion!$Q$2:$Q$745)</f>
        <v>61.997662022709719</v>
      </c>
      <c r="I265" s="8">
        <v>74.2763214111</v>
      </c>
      <c r="K265" s="8">
        <v>455</v>
      </c>
      <c r="L265" s="8">
        <v>45.734889984100001</v>
      </c>
      <c r="M265" s="8">
        <v>71.996002197300001</v>
      </c>
      <c r="N265" s="2"/>
      <c r="O265" s="2">
        <v>3793</v>
      </c>
      <c r="P265" s="1" t="s">
        <v>17</v>
      </c>
      <c r="Q265" s="1"/>
      <c r="U265" s="8">
        <f>SUM(U261:U263)</f>
        <v>0</v>
      </c>
      <c r="V265" s="8">
        <f>SUM(V261:V263)</f>
        <v>0</v>
      </c>
      <c r="AK265" s="1">
        <v>7014</v>
      </c>
      <c r="AL265" s="1">
        <v>190.09196499999999</v>
      </c>
      <c r="AM265" s="8">
        <v>150.81887800000001</v>
      </c>
    </row>
    <row r="266" spans="2:39" ht="15.75" x14ac:dyDescent="0.25">
      <c r="B266" s="8">
        <v>5006</v>
      </c>
      <c r="C266" s="8" t="s">
        <v>2120</v>
      </c>
      <c r="D266" s="8">
        <v>5006</v>
      </c>
      <c r="E266" s="8" t="s">
        <v>2121</v>
      </c>
      <c r="F266" s="8" t="str">
        <f t="shared" si="15"/>
        <v>WF</v>
      </c>
      <c r="G266" s="2">
        <v>1235</v>
      </c>
      <c r="H266" s="2">
        <f>SUMIF(RouteID_Conversion!$P$2:$P$745,MD_BoardingByRoute!D266,RouteID_Conversion!$Q$2:$Q$745)</f>
        <v>23.594745159149149</v>
      </c>
      <c r="I266" s="8">
        <v>38.801799774199999</v>
      </c>
      <c r="K266" s="8">
        <v>456</v>
      </c>
      <c r="L266" s="8">
        <v>8.1646680831899996</v>
      </c>
      <c r="M266" s="8">
        <v>37.016677856400001</v>
      </c>
      <c r="N266" s="2"/>
      <c r="O266" s="2">
        <v>2332</v>
      </c>
      <c r="P266" s="1"/>
      <c r="Q266" s="1"/>
      <c r="R266" s="1"/>
      <c r="S266" s="1"/>
      <c r="AK266" s="1">
        <v>7017</v>
      </c>
      <c r="AL266" s="1">
        <v>270.402649</v>
      </c>
      <c r="AM266" s="8">
        <v>355.98168900000002</v>
      </c>
    </row>
    <row r="267" spans="2:39" ht="15.75" x14ac:dyDescent="0.25">
      <c r="B267" s="8">
        <v>6010</v>
      </c>
      <c r="C267" s="8" t="s">
        <v>2100</v>
      </c>
      <c r="D267" s="8">
        <v>6010</v>
      </c>
      <c r="E267" s="8" t="s">
        <v>2101</v>
      </c>
      <c r="F267" s="8" t="s">
        <v>2132</v>
      </c>
      <c r="G267" s="2">
        <v>1212.316</v>
      </c>
      <c r="H267" s="2">
        <f>SUMIF(RouteID_Conversion!$P$2:$P$745,MD_BoardingByRoute!D267,RouteID_Conversion!$Q$2:$Q$745)</f>
        <v>485.20570373535105</v>
      </c>
      <c r="I267" s="8">
        <v>35.670101165799998</v>
      </c>
      <c r="K267" s="8">
        <v>446</v>
      </c>
      <c r="L267" s="8">
        <v>72.328231811500004</v>
      </c>
      <c r="M267" s="8">
        <v>35.412322998</v>
      </c>
      <c r="N267" s="2"/>
      <c r="O267" s="2">
        <v>2986</v>
      </c>
      <c r="P267" s="1"/>
      <c r="Q267" s="1"/>
      <c r="U267" s="1"/>
      <c r="AK267" s="1">
        <v>7070</v>
      </c>
      <c r="AL267" s="1">
        <v>25.107168000000001</v>
      </c>
      <c r="AM267" s="8">
        <v>305.955872</v>
      </c>
    </row>
    <row r="268" spans="2:39" ht="15.75" x14ac:dyDescent="0.25">
      <c r="B268" s="8">
        <v>6011</v>
      </c>
      <c r="C268" s="8" t="s">
        <v>2098</v>
      </c>
      <c r="D268" s="8">
        <v>6011</v>
      </c>
      <c r="E268" s="8" t="s">
        <v>2099</v>
      </c>
      <c r="F268" s="8" t="s">
        <v>2132</v>
      </c>
      <c r="G268" s="2">
        <v>7079</v>
      </c>
      <c r="H268" s="2">
        <f>SUMIF(RouteID_Conversion!$P$2:$P$745,MD_BoardingByRoute!D268,RouteID_Conversion!$Q$2:$Q$745)</f>
        <v>5780.764602661131</v>
      </c>
      <c r="I268" s="8">
        <v>39.258285522500003</v>
      </c>
      <c r="K268" s="8">
        <v>445</v>
      </c>
      <c r="L268" s="8">
        <v>27.0988044739</v>
      </c>
      <c r="M268" s="8">
        <v>38.372253418</v>
      </c>
      <c r="N268" s="2">
        <f>391+346+312+205</f>
        <v>1254</v>
      </c>
      <c r="O268" s="2" t="e">
        <f>F268+I268+L268+M268+N268</f>
        <v>#VALUE!</v>
      </c>
      <c r="P268" s="1"/>
      <c r="Q268" s="1"/>
      <c r="U268" s="1"/>
      <c r="AK268" s="1">
        <v>7701</v>
      </c>
      <c r="AL268" s="1">
        <v>46.040222</v>
      </c>
      <c r="AM268" s="8">
        <v>53.829594</v>
      </c>
    </row>
    <row r="269" spans="2:39" ht="15.75" x14ac:dyDescent="0.25">
      <c r="B269" s="8">
        <v>6510</v>
      </c>
      <c r="C269" s="8" t="s">
        <v>2033</v>
      </c>
      <c r="D269" s="8">
        <v>6510</v>
      </c>
      <c r="E269" s="8" t="s">
        <v>2034</v>
      </c>
      <c r="F269" s="8" t="str">
        <f t="shared" ref="F269:F309" si="16">MID(C269,1,2)</f>
        <v>MK</v>
      </c>
      <c r="G269" s="2">
        <v>754.62200313004985</v>
      </c>
      <c r="H269" s="2">
        <f>SUMIF(RouteID_Conversion!$P$2:$P$745,MD_BoardingByRoute!D269,RouteID_Conversion!$Q$2:$Q$745)</f>
        <v>1242.3895049095122</v>
      </c>
      <c r="I269" s="8">
        <v>15.489705085800001</v>
      </c>
      <c r="K269" s="8">
        <v>401</v>
      </c>
      <c r="L269" s="8">
        <v>7.2370662689199996</v>
      </c>
      <c r="M269" s="8">
        <v>15.4306077957</v>
      </c>
      <c r="N269" s="8">
        <f>O$378*$O269</f>
        <v>133.04459913439334</v>
      </c>
      <c r="O269" s="2">
        <f>61713/22</f>
        <v>2805.1363636363635</v>
      </c>
      <c r="P269" s="2" t="e">
        <f>F269+I269+L269+M269+N269</f>
        <v>#VALUE!</v>
      </c>
      <c r="Q269" s="1"/>
      <c r="U269" s="1">
        <v>7003</v>
      </c>
      <c r="V269" s="1">
        <v>481.10772700000001</v>
      </c>
      <c r="AK269" s="1">
        <v>7702</v>
      </c>
      <c r="AL269" s="1">
        <v>0</v>
      </c>
      <c r="AM269" s="8">
        <v>47.973666999999999</v>
      </c>
    </row>
    <row r="270" spans="2:39" ht="15.75" x14ac:dyDescent="0.25">
      <c r="B270" s="8">
        <v>6511</v>
      </c>
      <c r="C270" s="8" t="s">
        <v>2035</v>
      </c>
      <c r="D270" s="8">
        <v>6511</v>
      </c>
      <c r="E270" s="8" t="s">
        <v>2036</v>
      </c>
      <c r="F270" s="8" t="str">
        <f t="shared" si="16"/>
        <v>MK</v>
      </c>
      <c r="G270" s="2">
        <v>808.81617158519509</v>
      </c>
      <c r="H270" s="2">
        <f>SUMIF(RouteID_Conversion!$P$2:$P$745,MD_BoardingByRoute!D270,RouteID_Conversion!$Q$2:$Q$745)</f>
        <v>4647.3747730255109</v>
      </c>
      <c r="I270" s="8">
        <v>13.0687894821</v>
      </c>
      <c r="K270" s="8">
        <v>402</v>
      </c>
      <c r="L270" s="8">
        <v>11.264690399199999</v>
      </c>
      <c r="M270" s="8">
        <v>13.0216751099</v>
      </c>
      <c r="N270" s="8">
        <f>O$378*$O270</f>
        <v>142.59937144109745</v>
      </c>
      <c r="O270" s="2">
        <f>66145/22</f>
        <v>3006.590909090909</v>
      </c>
      <c r="P270" s="2" t="e">
        <f>F270+I270+L270+M270+N270</f>
        <v>#VALUE!</v>
      </c>
      <c r="Q270" s="1"/>
      <c r="U270" s="1">
        <v>7004</v>
      </c>
      <c r="V270" s="1">
        <v>244.82399000000001</v>
      </c>
      <c r="AK270" s="1">
        <v>6001</v>
      </c>
      <c r="AL270" s="1">
        <v>607.05865500000004</v>
      </c>
      <c r="AM270" s="8">
        <v>2647.2304690000001</v>
      </c>
    </row>
    <row r="271" spans="2:39" ht="15.75" x14ac:dyDescent="0.25">
      <c r="B271" s="8">
        <v>6522</v>
      </c>
      <c r="C271" s="8" t="s">
        <v>2039</v>
      </c>
      <c r="D271" s="8">
        <v>6522</v>
      </c>
      <c r="E271" s="8" t="s">
        <v>2040</v>
      </c>
      <c r="F271" s="8" t="str">
        <f t="shared" si="16"/>
        <v>MK</v>
      </c>
      <c r="G271" s="2">
        <v>1027.8</v>
      </c>
      <c r="H271" s="2">
        <f>SUMIF(RouteID_Conversion!$P$2:$P$745,MD_BoardingByRoute!D271,RouteID_Conversion!$Q$2:$Q$745)</f>
        <v>1233.8719844818097</v>
      </c>
      <c r="I271" s="8">
        <v>5.8503317832899997</v>
      </c>
      <c r="K271" s="8">
        <v>404</v>
      </c>
      <c r="L271" s="8">
        <v>0</v>
      </c>
      <c r="M271" s="8">
        <v>5.79740858078</v>
      </c>
      <c r="N271" s="2">
        <v>203.4</v>
      </c>
      <c r="O271" s="2">
        <v>3322.1</v>
      </c>
      <c r="P271" s="1"/>
      <c r="Q271" s="1"/>
      <c r="U271" s="1">
        <v>7007</v>
      </c>
      <c r="V271" s="1">
        <v>377.65451000000002</v>
      </c>
      <c r="AK271" s="1">
        <v>6011</v>
      </c>
      <c r="AL271" s="1">
        <v>1353.393677</v>
      </c>
      <c r="AM271" s="8">
        <v>558.83081100000004</v>
      </c>
    </row>
    <row r="272" spans="2:39" ht="15.75" x14ac:dyDescent="0.25">
      <c r="B272" s="8">
        <v>6532</v>
      </c>
      <c r="C272" s="8" t="s">
        <v>2041</v>
      </c>
      <c r="D272" s="8">
        <v>6532</v>
      </c>
      <c r="E272" s="8" t="s">
        <v>2042</v>
      </c>
      <c r="F272" s="8" t="str">
        <f t="shared" si="16"/>
        <v>MK</v>
      </c>
      <c r="G272" s="2">
        <v>349.2540251389575</v>
      </c>
      <c r="H272" s="2">
        <f>SUMIF(RouteID_Conversion!$P$2:$P$745,MD_BoardingByRoute!D272,RouteID_Conversion!$Q$2:$Q$745)</f>
        <v>64.636527061462274</v>
      </c>
      <c r="I272" s="8">
        <v>24.6738853455</v>
      </c>
      <c r="K272" s="8">
        <v>405</v>
      </c>
      <c r="L272" s="8">
        <v>36.794746398900003</v>
      </c>
      <c r="M272" s="8">
        <v>24.836875915499999</v>
      </c>
      <c r="N272" s="8">
        <f>O$378*$O272</f>
        <v>61.575678389910429</v>
      </c>
      <c r="O272" s="2">
        <f>28562/22</f>
        <v>1298.2727272727273</v>
      </c>
      <c r="P272" s="2" t="e">
        <f>F272+I272+L272+M272+N272</f>
        <v>#VALUE!</v>
      </c>
      <c r="Q272" s="1"/>
      <c r="U272" s="1">
        <v>7008</v>
      </c>
      <c r="V272" s="1">
        <v>580.52056900000002</v>
      </c>
      <c r="AK272" s="1">
        <v>6010</v>
      </c>
      <c r="AL272" s="1">
        <v>63.240211000000002</v>
      </c>
      <c r="AM272" s="8">
        <v>275.68017600000002</v>
      </c>
    </row>
    <row r="273" spans="2:39" ht="15.75" x14ac:dyDescent="0.25">
      <c r="B273" s="8">
        <v>6535</v>
      </c>
      <c r="C273" s="8" t="s">
        <v>2043</v>
      </c>
      <c r="D273" s="8">
        <v>6535</v>
      </c>
      <c r="E273" s="8" t="s">
        <v>2044</v>
      </c>
      <c r="F273" s="8" t="str">
        <f t="shared" si="16"/>
        <v>MK</v>
      </c>
      <c r="G273" s="2">
        <v>411.15178703425204</v>
      </c>
      <c r="H273" s="2">
        <f>SUMIF(RouteID_Conversion!$P$2:$P$745,MD_BoardingByRoute!D273,RouteID_Conversion!$Q$2:$Q$745)</f>
        <v>1254.2934608459459</v>
      </c>
      <c r="I273" s="8">
        <v>18.1471939087</v>
      </c>
      <c r="K273" s="8">
        <v>406</v>
      </c>
      <c r="L273" s="8">
        <v>22.674032211299998</v>
      </c>
      <c r="M273" s="8">
        <v>17.879825592</v>
      </c>
      <c r="N273" s="8">
        <f>O$378*$O273</f>
        <v>72.488642608442973</v>
      </c>
      <c r="O273" s="2">
        <f>33624/22</f>
        <v>1528.3636363636363</v>
      </c>
      <c r="P273" s="2" t="e">
        <f>F273+I273+L273+M273+N273</f>
        <v>#VALUE!</v>
      </c>
      <c r="Q273" s="1"/>
      <c r="U273" s="1">
        <v>7009</v>
      </c>
      <c r="V273" s="1">
        <v>534.471497</v>
      </c>
      <c r="AK273" s="1">
        <v>8001</v>
      </c>
      <c r="AL273" s="1">
        <v>0.72434500000000002</v>
      </c>
      <c r="AM273" s="8">
        <v>1033.490356</v>
      </c>
    </row>
    <row r="274" spans="2:39" ht="15.75" x14ac:dyDescent="0.25">
      <c r="B274" s="8">
        <v>6540</v>
      </c>
      <c r="C274" s="8" t="s">
        <v>2045</v>
      </c>
      <c r="D274" s="8">
        <v>6540</v>
      </c>
      <c r="E274" s="8" t="s">
        <v>2046</v>
      </c>
      <c r="F274" s="8" t="str">
        <f t="shared" si="16"/>
        <v>MK</v>
      </c>
      <c r="G274" s="2">
        <v>437.7</v>
      </c>
      <c r="H274" s="2">
        <f>SUMIF(RouteID_Conversion!$P$2:$P$745,MD_BoardingByRoute!D274,RouteID_Conversion!$Q$2:$Q$745)</f>
        <v>836.53818607330163</v>
      </c>
      <c r="I274" s="8">
        <v>73.366958618200002</v>
      </c>
      <c r="K274" s="8">
        <v>407</v>
      </c>
      <c r="L274" s="8">
        <v>18.617706298800002</v>
      </c>
      <c r="M274" s="8">
        <v>69.512382507300003</v>
      </c>
      <c r="N274" s="2">
        <v>0</v>
      </c>
      <c r="O274" s="2">
        <v>1197.9000000000001</v>
      </c>
      <c r="P274" s="1"/>
      <c r="Q274" s="1"/>
      <c r="U274" s="1">
        <v>7012</v>
      </c>
      <c r="V274" s="1">
        <v>99.796227000000002</v>
      </c>
      <c r="AK274" s="1">
        <v>1975</v>
      </c>
      <c r="AL274" s="1">
        <v>184.95210299999999</v>
      </c>
      <c r="AM274" s="8">
        <v>405.43038899999999</v>
      </c>
    </row>
    <row r="275" spans="2:39" ht="15.75" x14ac:dyDescent="0.25">
      <c r="B275" s="8">
        <v>6545</v>
      </c>
      <c r="C275" s="8" t="s">
        <v>2047</v>
      </c>
      <c r="D275" s="8">
        <v>6545</v>
      </c>
      <c r="E275" s="8" t="s">
        <v>2048</v>
      </c>
      <c r="F275" s="8" t="str">
        <f t="shared" si="16"/>
        <v>MK</v>
      </c>
      <c r="G275" s="2">
        <v>1703.9</v>
      </c>
      <c r="H275" s="2">
        <f>SUMIF(RouteID_Conversion!$P$2:$P$745,MD_BoardingByRoute!D275,RouteID_Conversion!$Q$2:$Q$745)</f>
        <v>3591.8933801650965</v>
      </c>
      <c r="I275" s="8">
        <v>65.939178466800001</v>
      </c>
      <c r="K275" s="8">
        <v>408</v>
      </c>
      <c r="L275" s="8">
        <v>37.235412597699998</v>
      </c>
      <c r="M275" s="8">
        <v>61.9040412903</v>
      </c>
      <c r="N275" s="2">
        <v>252.2</v>
      </c>
      <c r="O275" s="2">
        <v>6373.4</v>
      </c>
      <c r="P275" s="1"/>
      <c r="Q275" s="1"/>
      <c r="U275" s="1">
        <v>7014</v>
      </c>
      <c r="V275" s="1">
        <v>190.09196499999999</v>
      </c>
      <c r="AK275" s="1">
        <v>4501</v>
      </c>
      <c r="AL275" s="1">
        <v>32.435471</v>
      </c>
      <c r="AM275" s="8">
        <v>840.86175500000002</v>
      </c>
    </row>
    <row r="276" spans="2:39" ht="15.75" x14ac:dyDescent="0.25">
      <c r="B276" s="8">
        <v>6550</v>
      </c>
      <c r="C276" s="8" t="s">
        <v>2049</v>
      </c>
      <c r="D276" s="8">
        <v>6550</v>
      </c>
      <c r="E276" s="8" t="s">
        <v>2050</v>
      </c>
      <c r="F276" s="8" t="str">
        <f t="shared" si="16"/>
        <v>MK</v>
      </c>
      <c r="G276" s="2">
        <v>1863.5</v>
      </c>
      <c r="H276" s="2">
        <f>SUMIF(RouteID_Conversion!$P$2:$P$745,MD_BoardingByRoute!D276,RouteID_Conversion!$Q$2:$Q$745)</f>
        <v>5784.6313858032108</v>
      </c>
      <c r="I276" s="8">
        <v>34.728668212899997</v>
      </c>
      <c r="K276" s="8">
        <v>409</v>
      </c>
      <c r="L276" s="8">
        <v>3.2065284252200001</v>
      </c>
      <c r="M276" s="8">
        <v>32.0995635986</v>
      </c>
      <c r="N276" s="2">
        <v>282</v>
      </c>
      <c r="O276" s="2">
        <v>7371.4</v>
      </c>
      <c r="P276" s="1"/>
      <c r="Q276" s="1"/>
      <c r="U276" s="1">
        <v>7017</v>
      </c>
      <c r="V276" s="1">
        <v>270.402649</v>
      </c>
      <c r="AK276" s="1">
        <v>5001</v>
      </c>
      <c r="AL276" s="1">
        <v>57.962890999999999</v>
      </c>
      <c r="AM276" s="8">
        <v>269.06982399999998</v>
      </c>
    </row>
    <row r="277" spans="2:39" ht="15.75" x14ac:dyDescent="0.25">
      <c r="B277" s="8">
        <v>6554</v>
      </c>
      <c r="C277" s="8" t="s">
        <v>2051</v>
      </c>
      <c r="D277" s="8">
        <v>6554</v>
      </c>
      <c r="E277" s="8" t="s">
        <v>2052</v>
      </c>
      <c r="F277" s="8" t="str">
        <f t="shared" si="16"/>
        <v>MK</v>
      </c>
      <c r="G277" s="2">
        <v>1095.5999999999999</v>
      </c>
      <c r="H277" s="2">
        <f>SUMIF(RouteID_Conversion!$P$2:$P$745,MD_BoardingByRoute!D277,RouteID_Conversion!$Q$2:$Q$745)</f>
        <v>5361.8304882049506</v>
      </c>
      <c r="I277" s="8">
        <v>43.106472015400001</v>
      </c>
      <c r="K277" s="8">
        <v>410</v>
      </c>
      <c r="L277" s="8">
        <v>4.8385066986099998</v>
      </c>
      <c r="M277" s="8">
        <v>41.557109832800002</v>
      </c>
      <c r="N277" s="2">
        <v>122.6</v>
      </c>
      <c r="O277" s="2">
        <v>2455.5</v>
      </c>
      <c r="P277" s="1"/>
      <c r="Q277" s="1"/>
      <c r="U277" s="1">
        <v>7018</v>
      </c>
      <c r="V277" s="1">
        <v>174.55865499999999</v>
      </c>
      <c r="AK277" s="1">
        <v>5002</v>
      </c>
      <c r="AL277" s="1">
        <v>51.217236</v>
      </c>
      <c r="AM277" s="8">
        <v>38.958579999999998</v>
      </c>
    </row>
    <row r="278" spans="2:39" ht="15.75" x14ac:dyDescent="0.25">
      <c r="B278" s="8">
        <v>6555</v>
      </c>
      <c r="C278" s="8" t="s">
        <v>2053</v>
      </c>
      <c r="D278" s="8">
        <v>6555</v>
      </c>
      <c r="E278" s="8" t="s">
        <v>2054</v>
      </c>
      <c r="F278" s="8" t="str">
        <f t="shared" si="16"/>
        <v>MK</v>
      </c>
      <c r="G278" s="2">
        <v>3.2</v>
      </c>
      <c r="H278" s="2">
        <f>SUMIF(RouteID_Conversion!$P$2:$P$745,MD_BoardingByRoute!D278,RouteID_Conversion!$Q$2:$Q$745)</f>
        <v>82.434753417968594</v>
      </c>
      <c r="I278" s="8">
        <v>45.321205139200003</v>
      </c>
      <c r="K278" s="8">
        <v>411</v>
      </c>
      <c r="L278" s="8">
        <v>4.9243550300600001</v>
      </c>
      <c r="M278" s="8">
        <v>44.0398330688</v>
      </c>
      <c r="N278" s="2">
        <v>8.8000000000000007</v>
      </c>
      <c r="O278" s="2">
        <v>422.4</v>
      </c>
      <c r="P278" s="1"/>
      <c r="Q278" s="1"/>
      <c r="U278" s="1">
        <v>7025</v>
      </c>
      <c r="V278" s="1">
        <v>78.218834000000001</v>
      </c>
      <c r="AK278" s="1">
        <v>5003</v>
      </c>
      <c r="AL278" s="1">
        <v>3.3667000000000002E-2</v>
      </c>
      <c r="AM278" s="8">
        <v>406.39086900000001</v>
      </c>
    </row>
    <row r="279" spans="2:39" ht="15.75" x14ac:dyDescent="0.25">
      <c r="B279" s="8">
        <v>6556</v>
      </c>
      <c r="C279" s="8" t="s">
        <v>2055</v>
      </c>
      <c r="D279" s="8">
        <v>6556</v>
      </c>
      <c r="E279" s="8" t="s">
        <v>2056</v>
      </c>
      <c r="F279" s="8" t="str">
        <f t="shared" si="16"/>
        <v>MK</v>
      </c>
      <c r="G279" s="2">
        <v>58.7</v>
      </c>
      <c r="H279" s="2">
        <f>SUMIF(RouteID_Conversion!$P$2:$P$745,MD_BoardingByRoute!D279,RouteID_Conversion!$Q$2:$Q$745)</f>
        <v>77.340293884277258</v>
      </c>
      <c r="I279" s="8">
        <v>53.444370269799997</v>
      </c>
      <c r="K279" s="8">
        <v>412</v>
      </c>
      <c r="L279" s="8">
        <v>5.5250010490400001</v>
      </c>
      <c r="M279" s="8">
        <v>52.474254608199999</v>
      </c>
      <c r="N279" s="2">
        <v>25.5</v>
      </c>
      <c r="O279" s="2">
        <v>655.9</v>
      </c>
      <c r="P279" s="1"/>
      <c r="Q279" s="1"/>
      <c r="U279" s="1">
        <v>7027</v>
      </c>
      <c r="V279" s="1">
        <v>268.34899899999999</v>
      </c>
      <c r="AK279" s="1">
        <v>5004</v>
      </c>
      <c r="AL279" s="1">
        <v>7.7492859999999997</v>
      </c>
      <c r="AM279" s="8">
        <v>923.78625499999998</v>
      </c>
    </row>
    <row r="280" spans="2:39" ht="15.75" x14ac:dyDescent="0.25">
      <c r="B280" s="8">
        <v>6560</v>
      </c>
      <c r="C280" s="8" t="s">
        <v>2057</v>
      </c>
      <c r="D280" s="8">
        <v>6560</v>
      </c>
      <c r="E280" s="8" t="s">
        <v>2058</v>
      </c>
      <c r="F280" s="8" t="str">
        <f t="shared" si="16"/>
        <v>MK</v>
      </c>
      <c r="G280" s="2">
        <v>571.1</v>
      </c>
      <c r="H280" s="2">
        <f>SUMIF(RouteID_Conversion!$P$2:$P$745,MD_BoardingByRoute!D280,RouteID_Conversion!$Q$2:$Q$745)</f>
        <v>1120.5834827423078</v>
      </c>
      <c r="I280" s="8">
        <v>54.975250244100003</v>
      </c>
      <c r="K280" s="8">
        <v>413</v>
      </c>
      <c r="L280" s="8">
        <v>6.1781349182099996</v>
      </c>
      <c r="M280" s="8">
        <v>53.046195983899999</v>
      </c>
      <c r="N280" s="2">
        <v>171.3</v>
      </c>
      <c r="O280" s="2">
        <v>1827.2</v>
      </c>
      <c r="P280" s="1"/>
      <c r="Q280" s="1"/>
      <c r="U280" s="1">
        <v>7029</v>
      </c>
      <c r="V280" s="1">
        <v>271.71057100000002</v>
      </c>
      <c r="AK280" s="1">
        <v>5005</v>
      </c>
      <c r="AL280" s="1">
        <v>471.87738000000002</v>
      </c>
      <c r="AM280" s="8">
        <v>512.855774</v>
      </c>
    </row>
    <row r="281" spans="2:39" ht="15.75" x14ac:dyDescent="0.25">
      <c r="B281" s="8">
        <v>6566</v>
      </c>
      <c r="C281" s="8" t="s">
        <v>2059</v>
      </c>
      <c r="D281" s="8">
        <v>6566</v>
      </c>
      <c r="E281" s="8" t="s">
        <v>2060</v>
      </c>
      <c r="F281" s="8" t="str">
        <f t="shared" si="16"/>
        <v>MK</v>
      </c>
      <c r="G281" s="2">
        <v>431.6</v>
      </c>
      <c r="H281" s="2">
        <f>SUMIF(RouteID_Conversion!$P$2:$P$745,MD_BoardingByRoute!D281,RouteID_Conversion!$Q$2:$Q$745)</f>
        <v>932.69175100326424</v>
      </c>
      <c r="I281" s="8">
        <v>54.975250244100003</v>
      </c>
      <c r="K281" s="8">
        <v>414</v>
      </c>
      <c r="L281" s="8">
        <v>3.0890674591099998</v>
      </c>
      <c r="M281" s="8">
        <v>53.046195983899999</v>
      </c>
      <c r="N281" s="2">
        <v>124</v>
      </c>
      <c r="O281" s="2">
        <v>2108.6999999999998</v>
      </c>
      <c r="P281" s="1"/>
      <c r="Q281" s="1"/>
      <c r="U281" s="1">
        <v>7070</v>
      </c>
      <c r="V281" s="1">
        <v>25.107168000000001</v>
      </c>
      <c r="AK281" s="1">
        <v>5006</v>
      </c>
      <c r="AL281" s="1">
        <v>63.300452999999997</v>
      </c>
      <c r="AM281" s="8">
        <v>150.81887800000001</v>
      </c>
    </row>
    <row r="282" spans="2:39" ht="15.75" x14ac:dyDescent="0.25">
      <c r="B282" s="8">
        <v>6574</v>
      </c>
      <c r="C282" s="8" t="s">
        <v>2061</v>
      </c>
      <c r="D282" s="8">
        <v>6574</v>
      </c>
      <c r="E282" s="8" t="s">
        <v>2062</v>
      </c>
      <c r="F282" s="8" t="str">
        <f t="shared" si="16"/>
        <v>PT</v>
      </c>
      <c r="G282" s="2">
        <v>654.20627403400908</v>
      </c>
      <c r="H282" s="2">
        <f>SUMIF(RouteID_Conversion!$P$2:$P$745,MD_BoardingByRoute!D282,RouteID_Conversion!$Q$2:$Q$745)</f>
        <v>895.92174530029126</v>
      </c>
      <c r="I282" s="8">
        <v>67.568412780800003</v>
      </c>
      <c r="K282" s="8">
        <v>415</v>
      </c>
      <c r="L282" s="8">
        <v>57.5938453674</v>
      </c>
      <c r="M282" s="8">
        <v>60.626689910899998</v>
      </c>
      <c r="N282" s="8">
        <f>O$378*$O282</f>
        <v>115.34067535671865</v>
      </c>
      <c r="O282" s="2">
        <f>53501/22</f>
        <v>2431.8636363636365</v>
      </c>
      <c r="P282" s="2" t="e">
        <f>F282+I282+L282+M282+N282</f>
        <v>#VALUE!</v>
      </c>
      <c r="Q282" s="1"/>
      <c r="U282" s="1">
        <v>7701</v>
      </c>
      <c r="V282" s="1">
        <v>46.040222</v>
      </c>
      <c r="AK282" s="1">
        <v>5007</v>
      </c>
      <c r="AL282" s="1">
        <v>123.114075</v>
      </c>
      <c r="AM282" s="8">
        <v>355.98168900000002</v>
      </c>
    </row>
    <row r="283" spans="2:39" ht="15.75" x14ac:dyDescent="0.25">
      <c r="B283" s="8">
        <v>6577</v>
      </c>
      <c r="C283" s="8" t="s">
        <v>2063</v>
      </c>
      <c r="D283" s="8">
        <v>6577</v>
      </c>
      <c r="E283" s="8" t="s">
        <v>2064</v>
      </c>
      <c r="F283" s="8" t="str">
        <f t="shared" si="16"/>
        <v>MK</v>
      </c>
      <c r="G283" s="2">
        <v>2.9</v>
      </c>
      <c r="H283" s="2">
        <f>SUMIF(RouteID_Conversion!$P$2:$P$745,MD_BoardingByRoute!D283,RouteID_Conversion!$Q$2:$Q$745)</f>
        <v>56.834168434142946</v>
      </c>
      <c r="I283" s="8">
        <v>46.280673980700001</v>
      </c>
      <c r="K283" s="8">
        <v>416</v>
      </c>
      <c r="L283" s="8">
        <v>30.6374645233</v>
      </c>
      <c r="M283" s="8">
        <v>43.0193481445</v>
      </c>
      <c r="N283" s="2">
        <v>78.900000000000006</v>
      </c>
      <c r="O283" s="2">
        <v>1015</v>
      </c>
      <c r="P283" s="1"/>
      <c r="Q283" s="1"/>
      <c r="U283" s="1">
        <v>7702</v>
      </c>
      <c r="V283" s="1">
        <v>0</v>
      </c>
      <c r="AK283" s="1">
        <v>5008</v>
      </c>
      <c r="AL283" s="1">
        <v>14.092437</v>
      </c>
      <c r="AM283" s="8">
        <v>278.09921300000002</v>
      </c>
    </row>
    <row r="284" spans="2:39" ht="15.75" x14ac:dyDescent="0.25">
      <c r="B284" s="8">
        <v>6578</v>
      </c>
      <c r="C284" s="8" t="s">
        <v>2065</v>
      </c>
      <c r="D284" s="8">
        <v>6578</v>
      </c>
      <c r="E284" s="8" t="s">
        <v>2066</v>
      </c>
      <c r="F284" s="8" t="str">
        <f t="shared" si="16"/>
        <v>PT</v>
      </c>
      <c r="G284" s="2">
        <v>245.67126318418863</v>
      </c>
      <c r="H284" s="2">
        <f>SUMIF(RouteID_Conversion!$P$2:$P$745,MD_BoardingByRoute!D284,RouteID_Conversion!$Q$2:$Q$745)</f>
        <v>1026.8176689147929</v>
      </c>
      <c r="I284" s="8">
        <v>28.003561019900001</v>
      </c>
      <c r="K284" s="8">
        <v>417</v>
      </c>
      <c r="L284" s="8">
        <v>111.101722717</v>
      </c>
      <c r="M284" s="8">
        <v>27.137271881099998</v>
      </c>
      <c r="N284" s="8">
        <f>O$378*$O284</f>
        <v>43.313386826261834</v>
      </c>
      <c r="O284" s="2">
        <f>20091/22</f>
        <v>913.22727272727275</v>
      </c>
      <c r="P284" s="2" t="e">
        <f t="shared" ref="P284:P290" si="17">F284+I284+L284+M284+N284</f>
        <v>#VALUE!</v>
      </c>
      <c r="Q284" s="1"/>
      <c r="U284" s="1">
        <v>6001</v>
      </c>
      <c r="V284" s="1">
        <v>607.05865500000004</v>
      </c>
      <c r="AK284" s="1"/>
      <c r="AL284" s="1"/>
      <c r="AM284" s="8">
        <v>172.393936</v>
      </c>
    </row>
    <row r="285" spans="2:39" ht="15.75" x14ac:dyDescent="0.25">
      <c r="B285" s="8">
        <v>6586</v>
      </c>
      <c r="C285" s="8" t="s">
        <v>1745</v>
      </c>
      <c r="D285" s="8">
        <v>6586</v>
      </c>
      <c r="E285" s="8" t="s">
        <v>2067</v>
      </c>
      <c r="F285" s="8" t="str">
        <f t="shared" si="16"/>
        <v>ST</v>
      </c>
      <c r="G285" s="2">
        <v>125.8498153746289</v>
      </c>
      <c r="H285" s="2">
        <f>SUMIF(RouteID_Conversion!$P$2:$P$745,MD_BoardingByRoute!D285,RouteID_Conversion!$Q$2:$Q$745)</f>
        <v>24.366128414869234</v>
      </c>
      <c r="I285" s="8">
        <v>34.012359619100003</v>
      </c>
      <c r="K285" s="8">
        <v>418</v>
      </c>
      <c r="L285" s="8">
        <v>20.101434707599999</v>
      </c>
      <c r="M285" s="8">
        <v>28.277313232400001</v>
      </c>
      <c r="N285" s="8">
        <f>O$378*$O285</f>
        <v>22.188112946886008</v>
      </c>
      <c r="O285" s="2">
        <f>10292/22</f>
        <v>467.81818181818181</v>
      </c>
      <c r="P285" s="2" t="e">
        <f t="shared" si="17"/>
        <v>#VALUE!</v>
      </c>
      <c r="Q285" s="1"/>
      <c r="U285" s="1">
        <v>6003</v>
      </c>
      <c r="V285" s="1">
        <v>0</v>
      </c>
      <c r="AK285" s="1"/>
      <c r="AL285" s="1"/>
      <c r="AM285" s="8">
        <v>89.635909999999996</v>
      </c>
    </row>
    <row r="286" spans="2:39" ht="15.75" x14ac:dyDescent="0.25">
      <c r="B286" s="8">
        <v>6590</v>
      </c>
      <c r="C286" s="8" t="s">
        <v>1382</v>
      </c>
      <c r="D286" s="8">
        <v>6590</v>
      </c>
      <c r="E286" s="8" t="s">
        <v>2068</v>
      </c>
      <c r="F286" s="8" t="str">
        <f t="shared" si="16"/>
        <v>ST</v>
      </c>
      <c r="G286" s="2">
        <v>467.15568855152765</v>
      </c>
      <c r="H286" s="2">
        <f>SUMIF(RouteID_Conversion!$P$2:$P$745,MD_BoardingByRoute!D286,RouteID_Conversion!$Q$2:$Q$745)</f>
        <v>337.88852596282914</v>
      </c>
      <c r="I286" s="8">
        <v>34.012359619100003</v>
      </c>
      <c r="K286" s="8">
        <v>419</v>
      </c>
      <c r="L286" s="8">
        <v>6.7004776001000002</v>
      </c>
      <c r="M286" s="8">
        <v>28.277313232400001</v>
      </c>
      <c r="N286" s="8">
        <f>O$378*$O286</f>
        <v>82.362482221417892</v>
      </c>
      <c r="O286" s="2">
        <f>38204/22</f>
        <v>1736.5454545454545</v>
      </c>
      <c r="P286" s="2" t="e">
        <f t="shared" si="17"/>
        <v>#VALUE!</v>
      </c>
      <c r="Q286" s="1"/>
      <c r="U286" s="1">
        <v>6011</v>
      </c>
      <c r="V286" s="1">
        <v>1353.393677</v>
      </c>
      <c r="AK286" s="1"/>
      <c r="AL286" s="1"/>
      <c r="AM286" s="8">
        <v>304.88534499999997</v>
      </c>
    </row>
    <row r="287" spans="2:39" ht="15.75" x14ac:dyDescent="0.25">
      <c r="B287" s="8">
        <v>6592</v>
      </c>
      <c r="C287" s="8" t="s">
        <v>1003</v>
      </c>
      <c r="D287" s="8">
        <v>6592</v>
      </c>
      <c r="E287" s="8" t="s">
        <v>2069</v>
      </c>
      <c r="F287" s="8" t="str">
        <f t="shared" si="16"/>
        <v>ST</v>
      </c>
      <c r="G287" s="2">
        <v>224.21125288662998</v>
      </c>
      <c r="H287" s="2">
        <f>SUMIF(RouteID_Conversion!$P$2:$P$745,MD_BoardingByRoute!D287,RouteID_Conversion!$Q$2:$Q$745)</f>
        <v>227.71511650085412</v>
      </c>
      <c r="I287" s="8">
        <v>49.907634735099997</v>
      </c>
      <c r="K287" s="8">
        <v>420</v>
      </c>
      <c r="L287" s="8">
        <v>35.866806030299998</v>
      </c>
      <c r="M287" s="8">
        <v>43.168876647899999</v>
      </c>
      <c r="N287" s="8">
        <f>O$378*$O287</f>
        <v>39.529852214739783</v>
      </c>
      <c r="O287" s="2">
        <f>18336/22</f>
        <v>833.4545454545455</v>
      </c>
      <c r="P287" s="2" t="e">
        <f t="shared" si="17"/>
        <v>#VALUE!</v>
      </c>
      <c r="Q287" s="1"/>
      <c r="U287" s="1">
        <v>6010</v>
      </c>
      <c r="V287" s="1">
        <v>63.240211000000002</v>
      </c>
      <c r="AK287" s="1"/>
      <c r="AL287" s="1"/>
      <c r="AM287" s="8">
        <v>305.955872</v>
      </c>
    </row>
    <row r="288" spans="2:39" ht="15.75" x14ac:dyDescent="0.25">
      <c r="B288" s="8">
        <v>6595</v>
      </c>
      <c r="C288" s="8" t="s">
        <v>1377</v>
      </c>
      <c r="D288" s="8">
        <v>6594</v>
      </c>
      <c r="E288" s="8" t="s">
        <v>2071</v>
      </c>
      <c r="F288" s="8" t="str">
        <f t="shared" si="16"/>
        <v>ST</v>
      </c>
      <c r="G288" s="2">
        <v>473.07400478173753</v>
      </c>
      <c r="H288" s="2">
        <f>SUMIF(RouteID_Conversion!$P$2:$P$745,MD_BoardingByRoute!D288,RouteID_Conversion!$Q$2:$Q$745)</f>
        <v>1297.6224212646462</v>
      </c>
      <c r="I288" s="8">
        <v>83.6603393555</v>
      </c>
      <c r="K288" s="8">
        <v>422</v>
      </c>
      <c r="L288" s="8">
        <v>111.792015076</v>
      </c>
      <c r="M288" s="8">
        <v>75.952796935999999</v>
      </c>
      <c r="N288" s="8">
        <f>O$378*$O288</f>
        <v>83.405918547330529</v>
      </c>
      <c r="O288" s="2">
        <f>(35323+3365)/22</f>
        <v>1758.5454545454545</v>
      </c>
      <c r="P288" s="2" t="e">
        <f t="shared" si="17"/>
        <v>#VALUE!</v>
      </c>
      <c r="Q288" s="1"/>
      <c r="U288" s="1">
        <v>1975</v>
      </c>
      <c r="V288" s="1">
        <v>184.95210299999999</v>
      </c>
      <c r="AK288" s="1"/>
      <c r="AL288" s="1"/>
      <c r="AM288" s="8">
        <v>47.973666999999999</v>
      </c>
    </row>
    <row r="289" spans="2:39" ht="15.75" x14ac:dyDescent="0.25">
      <c r="B289" s="8">
        <v>6599</v>
      </c>
      <c r="C289" s="8" t="s">
        <v>1411</v>
      </c>
      <c r="D289" s="8">
        <v>6595</v>
      </c>
      <c r="E289" s="8" t="s">
        <v>2072</v>
      </c>
      <c r="F289" s="8" t="str">
        <f t="shared" si="16"/>
        <v>ST</v>
      </c>
      <c r="G289" s="2">
        <v>134</v>
      </c>
      <c r="H289" s="2">
        <f>SUMIF(RouteID_Conversion!$P$2:$P$745,MD_BoardingByRoute!D289,RouteID_Conversion!$Q$2:$Q$745)</f>
        <v>0</v>
      </c>
      <c r="I289" s="8">
        <v>46.702686309800001</v>
      </c>
      <c r="K289" s="8">
        <v>423</v>
      </c>
      <c r="L289" s="8">
        <v>131.20452880900001</v>
      </c>
      <c r="M289" s="8">
        <v>45.545360565199999</v>
      </c>
      <c r="N289" s="2"/>
      <c r="O289" s="2">
        <f>5893/22</f>
        <v>267.86363636363637</v>
      </c>
      <c r="P289" s="2" t="e">
        <f t="shared" si="17"/>
        <v>#VALUE!</v>
      </c>
      <c r="Q289" s="1"/>
      <c r="U289" s="1">
        <v>4501</v>
      </c>
      <c r="V289" s="1">
        <v>32.435471</v>
      </c>
      <c r="AK289" s="1"/>
      <c r="AL289" s="1"/>
      <c r="AM289" s="8">
        <v>1928.2982179999999</v>
      </c>
    </row>
    <row r="290" spans="2:39" ht="15.75" x14ac:dyDescent="0.25">
      <c r="C290" s="8" t="s">
        <v>427</v>
      </c>
      <c r="D290" s="8">
        <v>6599</v>
      </c>
      <c r="E290" s="8" t="s">
        <v>2073</v>
      </c>
      <c r="F290" s="8" t="str">
        <f t="shared" si="16"/>
        <v>ST</v>
      </c>
      <c r="G290" s="2">
        <v>20.457320357729706</v>
      </c>
      <c r="H290" s="2">
        <f>SUMIF(RouteID_Conversion!$P$2:$P$745,MD_BoardingByRoute!D290,RouteID_Conversion!$Q$2:$Q$745)</f>
        <v>1517.0365812778464</v>
      </c>
      <c r="I290" s="8">
        <v>36.145408630399999</v>
      </c>
      <c r="K290" s="8">
        <v>424</v>
      </c>
      <c r="L290" s="8">
        <v>272.85614013700001</v>
      </c>
      <c r="M290" s="8">
        <v>31.869758606000001</v>
      </c>
      <c r="N290" s="8">
        <f>O$378*$O290</f>
        <v>3.6067540769666042</v>
      </c>
      <c r="O290" s="2">
        <f>1673/22</f>
        <v>76.045454545454547</v>
      </c>
      <c r="P290" s="2" t="e">
        <f t="shared" si="17"/>
        <v>#VALUE!</v>
      </c>
      <c r="Q290" s="1"/>
      <c r="U290" s="1">
        <v>5001</v>
      </c>
      <c r="V290" s="1">
        <v>57.962890999999999</v>
      </c>
      <c r="AK290" s="1"/>
      <c r="AL290" s="1"/>
      <c r="AM290" s="8">
        <v>0</v>
      </c>
    </row>
    <row r="291" spans="2:39" ht="15.75" x14ac:dyDescent="0.25">
      <c r="B291" s="8">
        <v>7002</v>
      </c>
      <c r="C291" s="8" t="s">
        <v>639</v>
      </c>
      <c r="D291" s="8">
        <v>7002</v>
      </c>
      <c r="E291" s="8" t="s">
        <v>2074</v>
      </c>
      <c r="F291" s="8" t="str">
        <f t="shared" si="16"/>
        <v>ET</v>
      </c>
      <c r="G291" s="2">
        <v>105.95454545454545</v>
      </c>
      <c r="H291" s="2">
        <f>SUMIF(RouteID_Conversion!$P$2:$P$745,MD_BoardingByRoute!D291,RouteID_Conversion!$Q$2:$Q$745)</f>
        <v>59.764469146728466</v>
      </c>
      <c r="I291" s="8">
        <v>33.597789764399998</v>
      </c>
      <c r="K291" s="8">
        <v>425</v>
      </c>
      <c r="L291" s="8">
        <v>6.1911530494699996</v>
      </c>
      <c r="M291" s="8">
        <v>32.222984314000001</v>
      </c>
      <c r="N291" s="2">
        <v>0</v>
      </c>
      <c r="O291" s="2">
        <v>281.9545454545455</v>
      </c>
      <c r="P291" s="1"/>
      <c r="Q291" s="1"/>
      <c r="U291" s="1">
        <v>5002</v>
      </c>
      <c r="V291" s="1">
        <v>51.217236</v>
      </c>
      <c r="AK291" s="1"/>
      <c r="AL291" s="1"/>
      <c r="AM291" s="8">
        <v>1292.815918</v>
      </c>
    </row>
    <row r="292" spans="2:39" ht="15.75" x14ac:dyDescent="0.25">
      <c r="B292" s="8">
        <v>7003</v>
      </c>
      <c r="C292" s="8" t="s">
        <v>1137</v>
      </c>
      <c r="D292" s="8">
        <v>7003</v>
      </c>
      <c r="E292" s="8" t="s">
        <v>2075</v>
      </c>
      <c r="F292" s="8" t="str">
        <f t="shared" si="16"/>
        <v>ET</v>
      </c>
      <c r="G292" s="2">
        <v>162.72727272727272</v>
      </c>
      <c r="H292" s="2">
        <f>SUMIF(RouteID_Conversion!$P$2:$P$745,MD_BoardingByRoute!D292,RouteID_Conversion!$Q$2:$Q$745)</f>
        <v>272.47798061370764</v>
      </c>
      <c r="I292" s="8">
        <v>62.416194915799998</v>
      </c>
      <c r="K292" s="8">
        <v>426</v>
      </c>
      <c r="L292" s="8">
        <v>21.601081848100002</v>
      </c>
      <c r="M292" s="8">
        <v>59.782051086400003</v>
      </c>
      <c r="N292" s="2">
        <v>45.454545454545453</v>
      </c>
      <c r="O292" s="2">
        <v>442.40909090909088</v>
      </c>
      <c r="P292" s="1"/>
      <c r="Q292" s="1"/>
      <c r="U292" s="1">
        <v>5003</v>
      </c>
      <c r="V292" s="1">
        <v>3.3667000000000002E-2</v>
      </c>
      <c r="AK292" s="1"/>
      <c r="AL292" s="1"/>
      <c r="AM292" s="8">
        <v>63.613250999999998</v>
      </c>
    </row>
    <row r="293" spans="2:39" ht="15.75" x14ac:dyDescent="0.25">
      <c r="B293" s="8">
        <v>7004</v>
      </c>
      <c r="C293" s="8" t="s">
        <v>641</v>
      </c>
      <c r="D293" s="8">
        <v>7004</v>
      </c>
      <c r="E293" s="8" t="s">
        <v>2076</v>
      </c>
      <c r="F293" s="8" t="str">
        <f t="shared" si="16"/>
        <v>ET</v>
      </c>
      <c r="G293" s="2">
        <v>75.272727272727266</v>
      </c>
      <c r="H293" s="2">
        <f>SUMIF(RouteID_Conversion!$P$2:$P$745,MD_BoardingByRoute!D293,RouteID_Conversion!$Q$2:$Q$745)</f>
        <v>167.3136978149405</v>
      </c>
      <c r="I293" s="8">
        <v>61.505664825399997</v>
      </c>
      <c r="K293" s="8">
        <v>427</v>
      </c>
      <c r="L293" s="8">
        <v>18.947479248</v>
      </c>
      <c r="M293" s="8">
        <v>58.964141845699999</v>
      </c>
      <c r="N293" s="2">
        <v>4.8181818181818183</v>
      </c>
      <c r="O293" s="2">
        <v>146.90909090909088</v>
      </c>
      <c r="P293" s="1"/>
      <c r="Q293" s="1"/>
      <c r="U293" s="1">
        <v>5004</v>
      </c>
      <c r="V293" s="1">
        <v>7.7492859999999997</v>
      </c>
      <c r="AK293" s="1"/>
      <c r="AL293" s="1"/>
      <c r="AM293" s="8">
        <v>289.842896</v>
      </c>
    </row>
    <row r="294" spans="2:39" ht="15.75" x14ac:dyDescent="0.25">
      <c r="B294" s="8">
        <v>7005</v>
      </c>
      <c r="C294" s="8" t="s">
        <v>463</v>
      </c>
      <c r="D294" s="8">
        <v>7005</v>
      </c>
      <c r="E294" s="8" t="s">
        <v>2077</v>
      </c>
      <c r="F294" s="8" t="str">
        <f t="shared" si="16"/>
        <v>ET</v>
      </c>
      <c r="G294" s="2">
        <v>35.909090909090907</v>
      </c>
      <c r="H294" s="2">
        <f>SUMIF(RouteID_Conversion!$P$2:$P$745,MD_BoardingByRoute!D294,RouteID_Conversion!$Q$2:$Q$745)</f>
        <v>4.7279350757598806</v>
      </c>
      <c r="I294" s="8">
        <v>48.629154205299997</v>
      </c>
      <c r="K294" s="8">
        <v>428</v>
      </c>
      <c r="L294" s="8">
        <v>65.758407592799998</v>
      </c>
      <c r="M294" s="8">
        <v>47.846168518100001</v>
      </c>
      <c r="N294" s="2">
        <v>4.6363636363636367</v>
      </c>
      <c r="O294" s="2">
        <v>100.5</v>
      </c>
      <c r="P294" s="1"/>
      <c r="Q294" s="1"/>
      <c r="U294" s="1">
        <v>5005</v>
      </c>
      <c r="V294" s="1">
        <v>471.87738000000002</v>
      </c>
      <c r="AK294" s="1"/>
      <c r="AL294" s="1"/>
      <c r="AM294" s="8">
        <v>110.340439</v>
      </c>
    </row>
    <row r="295" spans="2:39" ht="15.75" x14ac:dyDescent="0.25">
      <c r="B295" s="8">
        <v>7007</v>
      </c>
      <c r="C295" s="8" t="s">
        <v>466</v>
      </c>
      <c r="D295" s="8">
        <v>7007</v>
      </c>
      <c r="E295" s="8" t="s">
        <v>2078</v>
      </c>
      <c r="F295" s="8" t="str">
        <f t="shared" si="16"/>
        <v>ET</v>
      </c>
      <c r="G295" s="2">
        <v>859.18181818181813</v>
      </c>
      <c r="H295" s="2">
        <f>SUMIF(RouteID_Conversion!$P$2:$P$745,MD_BoardingByRoute!D295,RouteID_Conversion!$Q$2:$Q$745)</f>
        <v>353.85001182556147</v>
      </c>
      <c r="I295" s="8">
        <v>75.067558288599997</v>
      </c>
      <c r="K295" s="8">
        <v>429</v>
      </c>
      <c r="L295" s="8">
        <v>168.976654053</v>
      </c>
      <c r="M295" s="8">
        <v>73.245147705099996</v>
      </c>
      <c r="N295" s="2">
        <v>32.909090909090907</v>
      </c>
      <c r="O295" s="2">
        <v>1836.909090909091</v>
      </c>
      <c r="P295" s="1"/>
      <c r="Q295" s="1"/>
      <c r="U295" s="1">
        <v>5006</v>
      </c>
      <c r="V295" s="1">
        <v>63.300452999999997</v>
      </c>
      <c r="AK295" s="1"/>
      <c r="AL295" s="1"/>
      <c r="AM295" s="8">
        <v>97.465491999999998</v>
      </c>
    </row>
    <row r="296" spans="2:39" ht="15.75" x14ac:dyDescent="0.25">
      <c r="B296" s="8">
        <v>7008</v>
      </c>
      <c r="C296" s="8" t="s">
        <v>1472</v>
      </c>
      <c r="D296" s="8">
        <v>7008</v>
      </c>
      <c r="E296" s="8" t="s">
        <v>2079</v>
      </c>
      <c r="F296" s="8" t="str">
        <f t="shared" si="16"/>
        <v>ET</v>
      </c>
      <c r="G296" s="2">
        <v>97.090909090909093</v>
      </c>
      <c r="H296" s="2">
        <f>SUMIF(RouteID_Conversion!$P$2:$P$745,MD_BoardingByRoute!D296,RouteID_Conversion!$Q$2:$Q$745)</f>
        <v>80.521670579910136</v>
      </c>
      <c r="I296" s="8">
        <v>37.653057098399998</v>
      </c>
      <c r="K296" s="8">
        <v>430</v>
      </c>
      <c r="L296" s="8">
        <v>44.567115783699997</v>
      </c>
      <c r="M296" s="8">
        <v>37.167533874500002</v>
      </c>
      <c r="N296" s="2">
        <v>29.545454545454547</v>
      </c>
      <c r="O296" s="2">
        <v>337.13636363636363</v>
      </c>
      <c r="P296" s="1"/>
      <c r="Q296" s="1"/>
      <c r="U296" s="1">
        <v>5007</v>
      </c>
      <c r="V296" s="1">
        <v>123.114075</v>
      </c>
      <c r="AK296" s="1"/>
      <c r="AL296" s="1"/>
      <c r="AM296" s="8">
        <v>78.289710999999997</v>
      </c>
    </row>
    <row r="297" spans="2:39" ht="15.75" x14ac:dyDescent="0.25">
      <c r="B297" s="8">
        <v>7009</v>
      </c>
      <c r="C297" s="8" t="s">
        <v>468</v>
      </c>
      <c r="D297" s="8">
        <v>7009</v>
      </c>
      <c r="E297" s="8" t="s">
        <v>2080</v>
      </c>
      <c r="F297" s="8" t="str">
        <f t="shared" si="16"/>
        <v>ET</v>
      </c>
      <c r="G297" s="2">
        <v>1150.2727272727273</v>
      </c>
      <c r="H297" s="2">
        <f>SUMIF(RouteID_Conversion!$P$2:$P$745,MD_BoardingByRoute!D297,RouteID_Conversion!$Q$2:$Q$745)</f>
        <v>343.7900712192058</v>
      </c>
      <c r="I297" s="8">
        <v>40.925098419199998</v>
      </c>
      <c r="K297" s="8">
        <v>431</v>
      </c>
      <c r="L297" s="8">
        <v>29.679605484</v>
      </c>
      <c r="M297" s="8">
        <v>39.835956573499999</v>
      </c>
      <c r="N297" s="2">
        <v>92.545454545454547</v>
      </c>
      <c r="O297" s="2">
        <v>2353.8636363636365</v>
      </c>
      <c r="P297" s="1"/>
      <c r="Q297" s="1"/>
      <c r="U297" s="1">
        <v>5008</v>
      </c>
      <c r="V297" s="1">
        <v>14.092437</v>
      </c>
      <c r="AK297" s="1"/>
      <c r="AL297" s="1"/>
      <c r="AM297" s="8">
        <v>123.23408499999999</v>
      </c>
    </row>
    <row r="298" spans="2:39" ht="15.75" x14ac:dyDescent="0.25">
      <c r="B298" s="8">
        <v>7012</v>
      </c>
      <c r="C298" s="8" t="s">
        <v>1108</v>
      </c>
      <c r="D298" s="8">
        <v>7012</v>
      </c>
      <c r="E298" s="8" t="s">
        <v>2081</v>
      </c>
      <c r="F298" s="8" t="str">
        <f t="shared" si="16"/>
        <v>ET</v>
      </c>
      <c r="G298" s="2">
        <v>59.090909090909093</v>
      </c>
      <c r="H298" s="2">
        <f>SUMIF(RouteID_Conversion!$P$2:$P$745,MD_BoardingByRoute!D298,RouteID_Conversion!$Q$2:$Q$745)</f>
        <v>16.318749666213929</v>
      </c>
      <c r="I298" s="8">
        <v>60.198886871299997</v>
      </c>
      <c r="K298" s="8">
        <v>432</v>
      </c>
      <c r="L298" s="8">
        <v>24.3644523621</v>
      </c>
      <c r="M298" s="8">
        <v>56.124351501500001</v>
      </c>
      <c r="N298" s="2">
        <v>0</v>
      </c>
      <c r="O298" s="2">
        <v>122.81818181818183</v>
      </c>
      <c r="P298" s="1"/>
      <c r="Q298" s="1"/>
      <c r="U298" s="1"/>
      <c r="AK298" s="1"/>
      <c r="AL298" s="1"/>
      <c r="AM298" s="8">
        <v>0.52211200000000002</v>
      </c>
    </row>
    <row r="299" spans="2:39" ht="15.75" x14ac:dyDescent="0.25">
      <c r="B299" s="8">
        <v>7014</v>
      </c>
      <c r="C299" s="8" t="s">
        <v>1434</v>
      </c>
      <c r="D299" s="8">
        <v>7014</v>
      </c>
      <c r="E299" s="8" t="s">
        <v>2082</v>
      </c>
      <c r="F299" s="8" t="str">
        <f t="shared" si="16"/>
        <v>ET</v>
      </c>
      <c r="G299" s="2">
        <v>37.590909090909093</v>
      </c>
      <c r="H299" s="2">
        <f>SUMIF(RouteID_Conversion!$P$2:$P$745,MD_BoardingByRoute!D299,RouteID_Conversion!$Q$2:$Q$745)</f>
        <v>29.368859291076621</v>
      </c>
      <c r="I299" s="8">
        <v>60.198886871299997</v>
      </c>
      <c r="K299" s="8">
        <v>433</v>
      </c>
      <c r="L299" s="8">
        <v>24.3644523621</v>
      </c>
      <c r="M299" s="8">
        <v>56.124351501500001</v>
      </c>
      <c r="N299" s="2">
        <v>3.0454545454545454</v>
      </c>
      <c r="O299" s="2">
        <v>97.454545454545467</v>
      </c>
      <c r="P299" s="1"/>
      <c r="Q299" s="1"/>
      <c r="U299" s="1"/>
      <c r="AK299" s="1"/>
      <c r="AL299" s="1"/>
      <c r="AM299" s="8">
        <v>20.108248</v>
      </c>
    </row>
    <row r="300" spans="2:39" ht="15.75" x14ac:dyDescent="0.25">
      <c r="B300" s="8">
        <v>7017</v>
      </c>
      <c r="C300" s="8" t="s">
        <v>1630</v>
      </c>
      <c r="D300" s="8">
        <v>7017</v>
      </c>
      <c r="E300" s="8" t="s">
        <v>2083</v>
      </c>
      <c r="F300" s="8" t="str">
        <f t="shared" si="16"/>
        <v>ET</v>
      </c>
      <c r="G300" s="2">
        <v>79.272727272727266</v>
      </c>
      <c r="H300" s="2">
        <f>SUMIF(RouteID_Conversion!$P$2:$P$745,MD_BoardingByRoute!D300,RouteID_Conversion!$Q$2:$Q$745)</f>
        <v>122.47436714172345</v>
      </c>
      <c r="I300" s="8">
        <v>54.827671051000003</v>
      </c>
      <c r="K300" s="8">
        <v>434</v>
      </c>
      <c r="L300" s="8">
        <v>85.235504150400004</v>
      </c>
      <c r="M300" s="8">
        <v>50.776683807399998</v>
      </c>
      <c r="N300" s="2">
        <v>0</v>
      </c>
      <c r="O300" s="2">
        <v>206</v>
      </c>
      <c r="P300" s="1"/>
      <c r="Q300" s="1"/>
      <c r="U300" s="1"/>
      <c r="AK300" s="1"/>
      <c r="AL300" s="1"/>
      <c r="AM300" s="8">
        <v>756.23150599999997</v>
      </c>
    </row>
    <row r="301" spans="2:39" ht="15.75" x14ac:dyDescent="0.25">
      <c r="B301" s="8">
        <v>7018</v>
      </c>
      <c r="C301" s="8" t="s">
        <v>1134</v>
      </c>
      <c r="D301" s="8">
        <v>7018</v>
      </c>
      <c r="E301" s="8" t="s">
        <v>2084</v>
      </c>
      <c r="F301" s="8" t="str">
        <f t="shared" si="16"/>
        <v>ET</v>
      </c>
      <c r="G301" s="2">
        <v>99.772727272727266</v>
      </c>
      <c r="H301" s="2">
        <f>SUMIF(RouteID_Conversion!$P$2:$P$745,MD_BoardingByRoute!D301,RouteID_Conversion!$Q$2:$Q$745)</f>
        <v>124.24209594726538</v>
      </c>
      <c r="I301" s="8">
        <v>46.375740051299999</v>
      </c>
      <c r="K301" s="8">
        <v>435</v>
      </c>
      <c r="L301" s="8">
        <v>63.996170043900001</v>
      </c>
      <c r="M301" s="8">
        <v>45.904121398900003</v>
      </c>
      <c r="N301" s="2">
        <v>6.7727272727272725</v>
      </c>
      <c r="O301" s="2">
        <v>300.86363636363637</v>
      </c>
      <c r="P301" s="1"/>
      <c r="Q301" s="1"/>
      <c r="U301" s="1"/>
      <c r="AK301" s="1"/>
      <c r="AL301" s="1"/>
      <c r="AM301" s="8">
        <v>203.52616900000001</v>
      </c>
    </row>
    <row r="302" spans="2:39" ht="15.75" x14ac:dyDescent="0.25">
      <c r="B302" s="8">
        <v>7025</v>
      </c>
      <c r="C302" s="8" t="s">
        <v>1062</v>
      </c>
      <c r="D302" s="8">
        <v>7025</v>
      </c>
      <c r="E302" s="8" t="s">
        <v>2085</v>
      </c>
      <c r="F302" s="8" t="str">
        <f t="shared" si="16"/>
        <v>ET</v>
      </c>
      <c r="G302" s="2">
        <v>61.045454545454547</v>
      </c>
      <c r="H302" s="2">
        <f>SUMIF(RouteID_Conversion!$P$2:$P$745,MD_BoardingByRoute!D302,RouteID_Conversion!$Q$2:$Q$745)</f>
        <v>119.9202766418455</v>
      </c>
      <c r="I302" s="8">
        <v>46.619876861599998</v>
      </c>
      <c r="K302" s="8">
        <v>436</v>
      </c>
      <c r="L302" s="8">
        <v>61.315952301000003</v>
      </c>
      <c r="M302" s="8">
        <v>45.642677307100001</v>
      </c>
      <c r="N302" s="2">
        <v>0</v>
      </c>
      <c r="O302" s="2">
        <v>126.90909090909091</v>
      </c>
      <c r="P302" s="1"/>
      <c r="Q302" s="1"/>
      <c r="U302" s="1"/>
      <c r="AK302" s="1"/>
      <c r="AL302" s="1"/>
      <c r="AM302" s="8">
        <v>192.91876199999999</v>
      </c>
    </row>
    <row r="303" spans="2:39" ht="15.75" x14ac:dyDescent="0.25">
      <c r="B303" s="8">
        <v>7027</v>
      </c>
      <c r="C303" s="8" t="s">
        <v>437</v>
      </c>
      <c r="D303" s="8">
        <v>7027</v>
      </c>
      <c r="E303" s="8" t="s">
        <v>2086</v>
      </c>
      <c r="F303" s="8" t="str">
        <f t="shared" si="16"/>
        <v>ET</v>
      </c>
      <c r="G303" s="2">
        <v>24.681818181818183</v>
      </c>
      <c r="H303" s="2">
        <f>SUMIF(RouteID_Conversion!$P$2:$P$745,MD_BoardingByRoute!D303,RouteID_Conversion!$Q$2:$Q$745)</f>
        <v>56.229281902313168</v>
      </c>
      <c r="I303" s="8">
        <v>54.150360107399997</v>
      </c>
      <c r="K303" s="8">
        <v>437</v>
      </c>
      <c r="L303" s="8">
        <v>7.9064059257499997</v>
      </c>
      <c r="M303" s="8">
        <v>52.658245086699999</v>
      </c>
      <c r="N303" s="2">
        <v>2.8181818181818183</v>
      </c>
      <c r="O303" s="2">
        <v>81.454545454545439</v>
      </c>
      <c r="P303" s="1"/>
      <c r="Q303" s="1"/>
      <c r="U303" s="1"/>
      <c r="AK303" s="1"/>
      <c r="AL303" s="1"/>
      <c r="AM303" s="8">
        <v>125.865776</v>
      </c>
    </row>
    <row r="304" spans="2:39" ht="15.75" x14ac:dyDescent="0.25">
      <c r="B304" s="8">
        <v>7029</v>
      </c>
      <c r="C304" s="8" t="s">
        <v>1633</v>
      </c>
      <c r="D304" s="8">
        <v>7029</v>
      </c>
      <c r="E304" s="8" t="s">
        <v>2087</v>
      </c>
      <c r="F304" s="8" t="str">
        <f t="shared" si="16"/>
        <v>ET</v>
      </c>
      <c r="G304" s="2">
        <v>373.04545454545456</v>
      </c>
      <c r="H304" s="2">
        <f>SUMIF(RouteID_Conversion!$P$2:$P$745,MD_BoardingByRoute!D304,RouteID_Conversion!$Q$2:$Q$745)</f>
        <v>160.44482409954063</v>
      </c>
      <c r="I304" s="8">
        <v>51.493011474600003</v>
      </c>
      <c r="K304" s="8">
        <v>438</v>
      </c>
      <c r="L304" s="8">
        <v>47.493530273399998</v>
      </c>
      <c r="M304" s="8">
        <v>50.084472656300001</v>
      </c>
      <c r="N304" s="2">
        <v>32.909090909090907</v>
      </c>
      <c r="O304" s="2">
        <v>895</v>
      </c>
      <c r="P304" s="1"/>
      <c r="Q304" s="1"/>
      <c r="U304" s="1"/>
      <c r="AK304" s="1"/>
      <c r="AL304" s="1"/>
      <c r="AM304" s="8">
        <v>0.57139300000000004</v>
      </c>
    </row>
    <row r="305" spans="2:39" ht="15.75" x14ac:dyDescent="0.25">
      <c r="B305" s="8">
        <v>7070</v>
      </c>
      <c r="C305" s="8" t="s">
        <v>1527</v>
      </c>
      <c r="D305" s="8">
        <v>7070</v>
      </c>
      <c r="E305" s="8" t="s">
        <v>2088</v>
      </c>
      <c r="F305" s="8" t="str">
        <f t="shared" si="16"/>
        <v>ET</v>
      </c>
      <c r="G305" s="2">
        <v>36.863636363636367</v>
      </c>
      <c r="H305" s="2">
        <f>SUMIF(RouteID_Conversion!$P$2:$P$745,MD_BoardingByRoute!D305,RouteID_Conversion!$Q$2:$Q$745)</f>
        <v>0</v>
      </c>
      <c r="I305" s="8">
        <v>49.699237823499999</v>
      </c>
      <c r="K305" s="8">
        <v>439</v>
      </c>
      <c r="L305" s="8">
        <v>8.0993022918699999</v>
      </c>
      <c r="M305" s="8">
        <v>49.358116149899999</v>
      </c>
      <c r="N305" s="2">
        <v>50.636363636363633</v>
      </c>
      <c r="O305" s="2">
        <v>207.36363636363635</v>
      </c>
      <c r="P305" s="1"/>
      <c r="Q305" s="1"/>
      <c r="U305" s="1"/>
      <c r="AK305" s="1"/>
      <c r="AL305" s="1"/>
    </row>
    <row r="306" spans="2:39" ht="15.75" x14ac:dyDescent="0.25">
      <c r="C306" s="8" t="s">
        <v>2089</v>
      </c>
      <c r="D306" s="8">
        <v>7079</v>
      </c>
      <c r="E306" s="8" t="s">
        <v>2090</v>
      </c>
      <c r="F306" s="8" t="str">
        <f t="shared" si="16"/>
        <v>ET</v>
      </c>
      <c r="G306" s="2">
        <v>2.0909090909090908</v>
      </c>
      <c r="H306" s="2">
        <f>SUMIF(RouteID_Conversion!$P$2:$P$745,MD_BoardingByRoute!D306,RouteID_Conversion!$Q$2:$Q$745)</f>
        <v>0</v>
      </c>
      <c r="I306" s="8">
        <v>47.077724456799999</v>
      </c>
      <c r="K306" s="8">
        <v>440</v>
      </c>
      <c r="L306" s="8">
        <v>40.443191528299998</v>
      </c>
      <c r="M306" s="8">
        <v>46.794567108199999</v>
      </c>
      <c r="N306" s="2">
        <v>3.8181818181818183</v>
      </c>
      <c r="O306" s="2">
        <v>48.13636363636364</v>
      </c>
      <c r="P306" s="1"/>
      <c r="Q306" s="1"/>
      <c r="U306" s="1"/>
      <c r="AK306" s="1"/>
      <c r="AL306" s="8">
        <f>SUM(AL1:AL304)</f>
        <v>129501.00733599992</v>
      </c>
      <c r="AM306" s="8">
        <f>SUM(AM1:AM304)</f>
        <v>163095.90893699988</v>
      </c>
    </row>
    <row r="307" spans="2:39" ht="15.75" x14ac:dyDescent="0.25">
      <c r="B307" s="8">
        <v>7701</v>
      </c>
      <c r="C307" s="8" t="s">
        <v>1110</v>
      </c>
      <c r="D307" s="8">
        <v>7701</v>
      </c>
      <c r="E307" s="8" t="s">
        <v>2091</v>
      </c>
      <c r="F307" s="8" t="str">
        <f t="shared" si="16"/>
        <v>ET</v>
      </c>
      <c r="G307" s="2">
        <v>15.227272727272727</v>
      </c>
      <c r="H307" s="2">
        <f>SUMIF(RouteID_Conversion!$P$2:$P$745,MD_BoardingByRoute!D307,RouteID_Conversion!$Q$2:$Q$745)</f>
        <v>112.51345586776709</v>
      </c>
      <c r="I307" s="8">
        <v>14.168045043899999</v>
      </c>
      <c r="K307" s="8">
        <v>441</v>
      </c>
      <c r="L307" s="8">
        <v>0.104602575302</v>
      </c>
      <c r="M307" s="8">
        <v>14.159768104599999</v>
      </c>
      <c r="N307" s="2">
        <v>0</v>
      </c>
      <c r="O307" s="2">
        <v>28.636363636363637</v>
      </c>
      <c r="P307" s="1"/>
      <c r="Q307" s="1"/>
      <c r="U307" s="1"/>
    </row>
    <row r="308" spans="2:39" ht="15.75" x14ac:dyDescent="0.25">
      <c r="B308" s="8">
        <v>7702</v>
      </c>
      <c r="C308" s="8" t="s">
        <v>2092</v>
      </c>
      <c r="D308" s="8">
        <v>7702</v>
      </c>
      <c r="E308" s="8" t="s">
        <v>2093</v>
      </c>
      <c r="F308" s="8" t="str">
        <f t="shared" si="16"/>
        <v>ET</v>
      </c>
      <c r="G308" s="2">
        <v>14.318181818181818</v>
      </c>
      <c r="H308" s="2">
        <f>SUMIF(RouteID_Conversion!$P$2:$P$745,MD_BoardingByRoute!D308,RouteID_Conversion!$Q$2:$Q$745)</f>
        <v>0</v>
      </c>
      <c r="I308" s="8">
        <v>20.741762161299999</v>
      </c>
      <c r="K308" s="8">
        <v>442</v>
      </c>
      <c r="L308" s="8">
        <v>12.297745704700001</v>
      </c>
      <c r="M308" s="8">
        <v>20.3602924347</v>
      </c>
      <c r="N308" s="2">
        <v>0</v>
      </c>
      <c r="O308" s="2">
        <v>37.63636363636364</v>
      </c>
      <c r="P308" s="1"/>
      <c r="Q308" s="1"/>
      <c r="U308" s="1"/>
    </row>
    <row r="309" spans="2:39" ht="15.75" x14ac:dyDescent="0.25">
      <c r="B309" s="8">
        <v>8001</v>
      </c>
      <c r="C309" s="8" t="s">
        <v>2102</v>
      </c>
      <c r="D309" s="8">
        <v>8001</v>
      </c>
      <c r="E309" s="8" t="s">
        <v>2103</v>
      </c>
      <c r="F309" s="8" t="str">
        <f t="shared" si="16"/>
        <v>SC</v>
      </c>
      <c r="G309" s="2">
        <v>2310</v>
      </c>
      <c r="H309" s="2">
        <f>SUMIF(RouteID_Conversion!$P$2:$P$745,MD_BoardingByRoute!D309,RouteID_Conversion!$Q$2:$Q$745)</f>
        <v>3.0237304717302318</v>
      </c>
      <c r="I309" s="8">
        <v>48.568908691399997</v>
      </c>
      <c r="K309" s="8">
        <v>447</v>
      </c>
      <c r="L309" s="8">
        <v>9.5649452209499994</v>
      </c>
      <c r="M309" s="8">
        <v>47.904136657700001</v>
      </c>
      <c r="N309" s="2"/>
      <c r="O309" s="2">
        <v>7000</v>
      </c>
      <c r="P309" s="1"/>
      <c r="Q309" s="1"/>
      <c r="U309" s="1"/>
    </row>
    <row r="310" spans="2:39" ht="15.75" x14ac:dyDescent="0.25">
      <c r="I310" s="8">
        <v>85.227088928200004</v>
      </c>
      <c r="K310" s="8">
        <v>459</v>
      </c>
      <c r="L310" s="8">
        <v>14.0789613724</v>
      </c>
      <c r="M310" s="8">
        <v>81.975418090800005</v>
      </c>
      <c r="R310" s="1"/>
      <c r="S310" s="1"/>
      <c r="T310" s="1"/>
    </row>
    <row r="311" spans="2:39" ht="15.75" x14ac:dyDescent="0.25">
      <c r="I311" s="8">
        <v>75.735282897900007</v>
      </c>
      <c r="J311" s="2"/>
      <c r="K311" s="8">
        <v>460</v>
      </c>
      <c r="L311" s="8">
        <v>120.86831665</v>
      </c>
      <c r="M311" s="8">
        <v>71.488441467300007</v>
      </c>
      <c r="N311" s="2"/>
      <c r="O311" s="2"/>
      <c r="P311" s="2"/>
      <c r="Q311" s="1"/>
      <c r="R311" s="1"/>
      <c r="S311" s="1"/>
      <c r="T311" s="1"/>
    </row>
    <row r="312" spans="2:39" ht="15.75" x14ac:dyDescent="0.25">
      <c r="I312" s="8">
        <v>74.156684875500005</v>
      </c>
      <c r="J312" s="2"/>
      <c r="K312" s="8">
        <v>461</v>
      </c>
      <c r="L312" s="8">
        <v>48.766307830800002</v>
      </c>
      <c r="M312" s="8">
        <v>70.743202209499998</v>
      </c>
      <c r="N312" s="2"/>
      <c r="O312" s="2"/>
      <c r="P312" s="2"/>
      <c r="Q312" s="1"/>
      <c r="R312" s="1"/>
      <c r="S312" s="1"/>
      <c r="T312" s="1"/>
    </row>
    <row r="313" spans="2:39" ht="15.75" x14ac:dyDescent="0.25">
      <c r="I313" s="8">
        <v>68.393676757799994</v>
      </c>
      <c r="J313" s="2"/>
      <c r="K313" s="8">
        <v>462</v>
      </c>
      <c r="L313" s="8">
        <v>55.103599548299997</v>
      </c>
      <c r="M313" s="8">
        <v>65.701408386200001</v>
      </c>
      <c r="N313" s="2"/>
      <c r="O313" s="2"/>
      <c r="P313" s="2"/>
      <c r="Q313" s="1"/>
      <c r="R313" s="1"/>
      <c r="S313" s="1"/>
      <c r="T313" s="1"/>
    </row>
    <row r="314" spans="2:39" ht="15.75" x14ac:dyDescent="0.25">
      <c r="I314" s="8">
        <v>65.928855896000002</v>
      </c>
      <c r="J314" s="2"/>
      <c r="K314" s="8">
        <v>463</v>
      </c>
      <c r="L314" s="8">
        <v>17.7930164337</v>
      </c>
      <c r="M314" s="8">
        <v>64.528450012199997</v>
      </c>
      <c r="N314" s="2"/>
      <c r="O314" s="2"/>
      <c r="P314" s="2"/>
      <c r="Q314" s="1"/>
      <c r="R314" s="1"/>
      <c r="S314" s="1"/>
      <c r="T314" s="1"/>
    </row>
    <row r="315" spans="2:39" ht="15.75" x14ac:dyDescent="0.25">
      <c r="I315" s="8">
        <v>64.832427978499993</v>
      </c>
      <c r="J315" s="2"/>
      <c r="K315" s="8">
        <v>464</v>
      </c>
      <c r="L315" s="8">
        <v>124.839752197</v>
      </c>
      <c r="M315" s="8">
        <v>63.4208030701</v>
      </c>
      <c r="N315" s="1"/>
      <c r="O315" s="1"/>
      <c r="P315" s="1"/>
      <c r="Q315" s="1"/>
      <c r="R315" s="1"/>
      <c r="S315" s="1"/>
      <c r="T315" s="1"/>
    </row>
    <row r="316" spans="2:39" ht="15.75" x14ac:dyDescent="0.25">
      <c r="I316" s="8">
        <v>63.9552612305</v>
      </c>
      <c r="J316" s="1"/>
      <c r="K316" s="8">
        <v>465</v>
      </c>
      <c r="L316" s="8">
        <v>36.064811706500002</v>
      </c>
      <c r="M316" s="8">
        <v>62.543590545699999</v>
      </c>
      <c r="N316" s="1"/>
      <c r="O316" s="1"/>
      <c r="P316" s="1"/>
      <c r="Q316" s="1"/>
      <c r="R316" s="1"/>
      <c r="S316" s="1"/>
      <c r="T316" s="1"/>
    </row>
    <row r="317" spans="2:39" ht="15.75" x14ac:dyDescent="0.25">
      <c r="I317" s="8">
        <v>67.610671997099999</v>
      </c>
      <c r="K317" s="8">
        <v>466</v>
      </c>
      <c r="L317" s="8">
        <v>143.14614868199999</v>
      </c>
      <c r="M317" s="8">
        <v>66.224380493200002</v>
      </c>
      <c r="N317" s="1" t="s">
        <v>4</v>
      </c>
      <c r="O317" s="1" t="s">
        <v>5</v>
      </c>
      <c r="P317" s="1" t="s">
        <v>6</v>
      </c>
      <c r="Q317" s="1" t="s">
        <v>7</v>
      </c>
      <c r="R317" s="1" t="s">
        <v>2</v>
      </c>
      <c r="S317" s="1" t="s">
        <v>3</v>
      </c>
      <c r="T317" s="8" t="s">
        <v>4</v>
      </c>
    </row>
    <row r="318" spans="2:39" ht="15.75" x14ac:dyDescent="0.25">
      <c r="I318" s="8">
        <v>90.531188964799995</v>
      </c>
      <c r="K318" s="8">
        <v>467</v>
      </c>
      <c r="L318" s="8">
        <v>42.533775329599997</v>
      </c>
      <c r="M318" s="8">
        <v>86.722198486300002</v>
      </c>
      <c r="N318" s="3">
        <f>SUM(N277:N293)</f>
        <v>971.11990946304866</v>
      </c>
      <c r="O318" s="3">
        <f>SUM(O277:O293)</f>
        <v>17841.336363636365</v>
      </c>
      <c r="P318" s="4" t="e">
        <f>#REF!/$O318</f>
        <v>#REF!</v>
      </c>
      <c r="Q318" s="4">
        <f t="shared" ref="Q318:Q324" si="18">I318/$O318</f>
        <v>5.0742381130887563E-3</v>
      </c>
      <c r="R318" s="4">
        <f t="shared" ref="R318:T324" si="19">L318/$O318</f>
        <v>2.3840016500272349E-3</v>
      </c>
      <c r="S318" s="4">
        <f t="shared" si="19"/>
        <v>4.8607456705459795E-3</v>
      </c>
      <c r="T318" s="4">
        <f t="shared" si="19"/>
        <v>5.4430895179037923E-2</v>
      </c>
      <c r="V318" s="6" t="e">
        <f t="shared" ref="V318:V324" si="20">SUM(P318:T318)</f>
        <v>#REF!</v>
      </c>
    </row>
    <row r="319" spans="2:39" ht="15.75" x14ac:dyDescent="0.25">
      <c r="I319" s="8">
        <v>39.380077362100003</v>
      </c>
      <c r="K319" s="8">
        <v>468</v>
      </c>
      <c r="L319" s="8">
        <v>18.7506275177</v>
      </c>
      <c r="M319" s="8">
        <v>38.872123718300003</v>
      </c>
      <c r="N319" s="3">
        <f>SUM(N236:N260)</f>
        <v>387</v>
      </c>
      <c r="O319" s="3">
        <f>SUM(O236:O260)</f>
        <v>7735</v>
      </c>
      <c r="P319" s="4" t="e">
        <f>#REF!/$O319</f>
        <v>#REF!</v>
      </c>
      <c r="Q319" s="4">
        <f t="shared" si="18"/>
        <v>5.0911541515319975E-3</v>
      </c>
      <c r="R319" s="4">
        <f t="shared" si="19"/>
        <v>2.4241276687394959E-3</v>
      </c>
      <c r="S319" s="4">
        <f t="shared" si="19"/>
        <v>5.0254846436069813E-3</v>
      </c>
      <c r="T319" s="4">
        <f t="shared" si="19"/>
        <v>5.0032320620555917E-2</v>
      </c>
      <c r="V319" s="6" t="e">
        <f t="shared" si="20"/>
        <v>#REF!</v>
      </c>
    </row>
    <row r="320" spans="2:39" ht="15.75" x14ac:dyDescent="0.25">
      <c r="I320" s="8">
        <v>41.839580535899998</v>
      </c>
      <c r="K320" s="8">
        <v>469</v>
      </c>
      <c r="L320" s="8">
        <v>49.147449493400003</v>
      </c>
      <c r="M320" s="8">
        <v>40.314121246299997</v>
      </c>
      <c r="N320" s="3">
        <f>SUM(N198:N235)</f>
        <v>1430.7559217387495</v>
      </c>
      <c r="O320" s="3">
        <f>SUM(O198:O235)</f>
        <v>25256.527678615086</v>
      </c>
      <c r="P320" s="4" t="e">
        <f>#REF!/$O320</f>
        <v>#REF!</v>
      </c>
      <c r="Q320" s="4">
        <f t="shared" si="18"/>
        <v>1.6565848270317033E-3</v>
      </c>
      <c r="R320" s="4">
        <f t="shared" si="19"/>
        <v>1.9459305775834561E-3</v>
      </c>
      <c r="S320" s="4">
        <f t="shared" si="19"/>
        <v>1.5961862121068331E-3</v>
      </c>
      <c r="T320" s="4">
        <f t="shared" si="19"/>
        <v>5.6648955863801601E-2</v>
      </c>
      <c r="V320" s="6" t="e">
        <f t="shared" si="20"/>
        <v>#REF!</v>
      </c>
    </row>
    <row r="321" spans="9:23" ht="15.75" x14ac:dyDescent="0.25">
      <c r="I321" s="8">
        <v>50.594711303700002</v>
      </c>
      <c r="K321" s="8">
        <v>470</v>
      </c>
      <c r="L321" s="8">
        <v>48.6857299805</v>
      </c>
      <c r="M321" s="8">
        <v>49.875926971399998</v>
      </c>
      <c r="N321" s="3">
        <f>SUM(N152:N197)</f>
        <v>1313.4545454545457</v>
      </c>
      <c r="O321" s="3">
        <f>SUM(O152:O197)</f>
        <v>46793.409090909074</v>
      </c>
      <c r="P321" s="4" t="e">
        <f>#REF!/$O321</f>
        <v>#REF!</v>
      </c>
      <c r="Q321" s="4">
        <f t="shared" si="18"/>
        <v>1.0812358468135085E-3</v>
      </c>
      <c r="R321" s="4">
        <f t="shared" si="19"/>
        <v>1.0404399022502201E-3</v>
      </c>
      <c r="S321" s="4">
        <f t="shared" si="19"/>
        <v>1.0658750439512172E-3</v>
      </c>
      <c r="T321" s="4">
        <f t="shared" si="19"/>
        <v>2.8069221092714123E-2</v>
      </c>
      <c r="V321" s="6" t="e">
        <f t="shared" si="20"/>
        <v>#REF!</v>
      </c>
    </row>
    <row r="322" spans="9:23" ht="15.75" x14ac:dyDescent="0.25">
      <c r="I322" s="8">
        <v>50.594711303700002</v>
      </c>
      <c r="K322" s="8">
        <v>471</v>
      </c>
      <c r="L322" s="8">
        <v>24.342864990199999</v>
      </c>
      <c r="M322" s="8">
        <v>49.875926971399998</v>
      </c>
      <c r="N322" s="3">
        <f>SUM(N2:N151)</f>
        <v>14199.000000000004</v>
      </c>
      <c r="O322" s="3">
        <f>SUM(O2:O151)</f>
        <v>325080.00000000006</v>
      </c>
      <c r="P322" s="4" t="e">
        <f>#REF!/$O322</f>
        <v>#REF!</v>
      </c>
      <c r="Q322" s="4">
        <f t="shared" si="18"/>
        <v>1.556377239562569E-4</v>
      </c>
      <c r="R322" s="4">
        <f t="shared" si="19"/>
        <v>7.4882690384520716E-5</v>
      </c>
      <c r="S322" s="4">
        <f t="shared" si="19"/>
        <v>1.5342662412759934E-4</v>
      </c>
      <c r="T322" s="4">
        <f t="shared" si="19"/>
        <v>4.3678479143595426E-2</v>
      </c>
      <c r="V322" s="6" t="e">
        <f t="shared" si="20"/>
        <v>#REF!</v>
      </c>
    </row>
    <row r="323" spans="9:23" ht="15.75" x14ac:dyDescent="0.25">
      <c r="I323" s="8">
        <v>54.315498352100001</v>
      </c>
      <c r="K323" s="8">
        <v>472</v>
      </c>
      <c r="L323" s="8">
        <v>17.505674362200001</v>
      </c>
      <c r="M323" s="8">
        <v>53.774330139200003</v>
      </c>
      <c r="N323" s="3">
        <f>SUM(N261:N276)</f>
        <v>2408.3082915738441</v>
      </c>
      <c r="O323" s="3" t="e">
        <f>SUM(O261:O276)</f>
        <v>#VALUE!</v>
      </c>
      <c r="P323" s="4" t="e">
        <f>#REF!/$O323</f>
        <v>#REF!</v>
      </c>
      <c r="Q323" s="4" t="e">
        <f t="shared" si="18"/>
        <v>#VALUE!</v>
      </c>
      <c r="R323" s="4" t="e">
        <f t="shared" si="19"/>
        <v>#VALUE!</v>
      </c>
      <c r="S323" s="4" t="e">
        <f t="shared" si="19"/>
        <v>#VALUE!</v>
      </c>
      <c r="T323" s="4" t="e">
        <f t="shared" si="19"/>
        <v>#VALUE!</v>
      </c>
      <c r="V323" s="6" t="e">
        <f t="shared" si="20"/>
        <v>#REF!</v>
      </c>
      <c r="W323" s="8" t="s">
        <v>23</v>
      </c>
    </row>
    <row r="324" spans="9:23" ht="15.75" x14ac:dyDescent="0.25">
      <c r="I324" s="8">
        <v>54.315498352100001</v>
      </c>
      <c r="K324" s="8">
        <v>473</v>
      </c>
      <c r="L324" s="8">
        <v>70.022697448700001</v>
      </c>
      <c r="M324" s="8">
        <v>53.774330139200003</v>
      </c>
      <c r="N324" s="3">
        <f>SUM(N294:N295)</f>
        <v>37.545454545454547</v>
      </c>
      <c r="O324" s="3">
        <f>SUM(O294:O295)</f>
        <v>1937.409090909091</v>
      </c>
      <c r="P324" s="4" t="e">
        <f>#REF!/$O324</f>
        <v>#REF!</v>
      </c>
      <c r="Q324" s="4">
        <f t="shared" si="18"/>
        <v>2.8035121031982732E-2</v>
      </c>
      <c r="R324" s="4">
        <f t="shared" si="19"/>
        <v>3.6142442903394877E-2</v>
      </c>
      <c r="S324" s="4">
        <f t="shared" si="19"/>
        <v>2.7755795299777116E-2</v>
      </c>
      <c r="T324" s="4">
        <f t="shared" si="19"/>
        <v>1.9379208408605682E-2</v>
      </c>
      <c r="V324" s="6" t="e">
        <f t="shared" si="20"/>
        <v>#REF!</v>
      </c>
    </row>
    <row r="325" spans="9:23" ht="15.75" x14ac:dyDescent="0.25">
      <c r="I325" s="8">
        <v>54.315498352100001</v>
      </c>
      <c r="K325" s="8">
        <v>474</v>
      </c>
      <c r="L325" s="8">
        <v>17.505674362200001</v>
      </c>
      <c r="M325" s="8">
        <v>53.774330139200003</v>
      </c>
      <c r="N325" s="3"/>
      <c r="O325" s="3"/>
      <c r="P325" s="4"/>
      <c r="Q325" s="4"/>
      <c r="R325" s="4"/>
      <c r="T325" s="4"/>
    </row>
    <row r="326" spans="9:23" ht="15.75" x14ac:dyDescent="0.25">
      <c r="I326" s="8">
        <v>72.013984680199997</v>
      </c>
      <c r="K326" s="8">
        <v>475</v>
      </c>
      <c r="L326" s="8">
        <v>31.344505310100001</v>
      </c>
      <c r="M326" s="8">
        <v>66.523605346699995</v>
      </c>
      <c r="N326" s="3"/>
      <c r="O326" s="3"/>
      <c r="P326" s="4"/>
      <c r="Q326" s="4"/>
      <c r="R326" s="4"/>
      <c r="T326" s="4"/>
    </row>
    <row r="327" spans="9:23" ht="15.75" x14ac:dyDescent="0.25">
      <c r="I327" s="8">
        <v>62.123794555700002</v>
      </c>
      <c r="K327" s="8">
        <v>476</v>
      </c>
      <c r="L327" s="8">
        <v>32.1793365479</v>
      </c>
      <c r="M327" s="8">
        <v>60.416000366200002</v>
      </c>
      <c r="N327" s="3"/>
      <c r="O327" s="3"/>
      <c r="P327" s="4"/>
      <c r="Q327" s="4"/>
      <c r="R327" s="4"/>
      <c r="T327" s="4"/>
    </row>
    <row r="328" spans="9:23" ht="15.75" x14ac:dyDescent="0.25">
      <c r="I328" s="8">
        <v>66.454833984399997</v>
      </c>
      <c r="K328" s="8">
        <v>477</v>
      </c>
      <c r="L328" s="8">
        <v>40.008674621600001</v>
      </c>
      <c r="M328" s="8">
        <v>63.697277069099997</v>
      </c>
      <c r="N328" s="3">
        <f>SUM(N318:N323)</f>
        <v>20709.638668230193</v>
      </c>
      <c r="O328" s="3" t="e">
        <f>SUM(O318:O324)</f>
        <v>#VALUE!</v>
      </c>
      <c r="P328" s="4" t="e">
        <f>#REF!/$O328</f>
        <v>#REF!</v>
      </c>
      <c r="Q328" s="4" t="e">
        <f>I328/$O328</f>
        <v>#VALUE!</v>
      </c>
      <c r="R328" s="4" t="e">
        <f t="shared" ref="R328:T329" si="21">L328/$O328</f>
        <v>#VALUE!</v>
      </c>
      <c r="S328" s="4" t="e">
        <f t="shared" si="21"/>
        <v>#VALUE!</v>
      </c>
      <c r="T328" s="4" t="e">
        <f t="shared" si="21"/>
        <v>#VALUE!</v>
      </c>
      <c r="V328" s="6" t="e">
        <f>SUM(P328:T328)</f>
        <v>#REF!</v>
      </c>
    </row>
    <row r="329" spans="9:23" ht="15.75" x14ac:dyDescent="0.25">
      <c r="I329" s="8">
        <v>66.454833984399997</v>
      </c>
      <c r="K329" s="8">
        <v>478</v>
      </c>
      <c r="L329" s="8">
        <v>8.0017337799099995</v>
      </c>
      <c r="M329" s="8">
        <v>63.697277069099997</v>
      </c>
      <c r="N329" s="3">
        <f>SUM(N2:N293)</f>
        <v>20709.638668230182</v>
      </c>
      <c r="O329" s="3" t="e">
        <f>SUM(O2:O309)</f>
        <v>#VALUE!</v>
      </c>
      <c r="P329" s="4" t="e">
        <f>#REF!/$O329</f>
        <v>#REF!</v>
      </c>
      <c r="Q329" s="4" t="e">
        <f>I329/$O329</f>
        <v>#VALUE!</v>
      </c>
      <c r="R329" s="4" t="e">
        <f t="shared" si="21"/>
        <v>#VALUE!</v>
      </c>
      <c r="S329" s="4" t="e">
        <f t="shared" si="21"/>
        <v>#VALUE!</v>
      </c>
      <c r="T329" s="4" t="e">
        <f t="shared" si="21"/>
        <v>#VALUE!</v>
      </c>
      <c r="V329" s="6" t="e">
        <f>SUM(P329:T329)</f>
        <v>#REF!</v>
      </c>
    </row>
    <row r="330" spans="9:23" ht="15.75" x14ac:dyDescent="0.25">
      <c r="I330" s="8">
        <v>71.556938171400006</v>
      </c>
      <c r="J330" s="1"/>
      <c r="K330" s="8">
        <v>479</v>
      </c>
      <c r="L330" s="8">
        <v>61.093395233199999</v>
      </c>
      <c r="M330" s="8">
        <v>63.873043060299999</v>
      </c>
      <c r="N330" s="1"/>
      <c r="O330" s="1"/>
      <c r="P330" s="1"/>
      <c r="Q330" s="1"/>
      <c r="R330" s="1"/>
      <c r="S330" s="1"/>
      <c r="U330" s="1"/>
    </row>
    <row r="331" spans="9:23" ht="15.75" x14ac:dyDescent="0.25">
      <c r="I331" s="8">
        <v>54.561965942400001</v>
      </c>
      <c r="J331" s="1">
        <v>7079</v>
      </c>
      <c r="K331" s="8">
        <v>480</v>
      </c>
      <c r="L331" s="8">
        <v>29.5431995392</v>
      </c>
      <c r="M331" s="8">
        <v>54.153511047400002</v>
      </c>
      <c r="N331" s="1">
        <v>2658</v>
      </c>
      <c r="O331" s="1">
        <v>1254</v>
      </c>
      <c r="P331" s="2">
        <f>H331+J331+M331+N331+O331</f>
        <v>11045.1535110474</v>
      </c>
      <c r="Q331" s="4">
        <f>H331/$P331</f>
        <v>0</v>
      </c>
      <c r="R331" s="4">
        <f>J331/$P331</f>
        <v>0.64091458691991565</v>
      </c>
      <c r="S331" s="4">
        <f>M331/$P331</f>
        <v>4.9029206333108437E-3</v>
      </c>
      <c r="T331" s="4">
        <f>N331/$P331</f>
        <v>0.24064853397840597</v>
      </c>
      <c r="U331" s="4">
        <f>O331/$P331</f>
        <v>0.1135339584683676</v>
      </c>
      <c r="W331" s="6">
        <f>SUM(Q331:U331)</f>
        <v>1.0000000000000002</v>
      </c>
    </row>
    <row r="332" spans="9:23" ht="15.75" x14ac:dyDescent="0.25">
      <c r="I332" s="8">
        <v>54.561965942400001</v>
      </c>
      <c r="J332" s="1"/>
      <c r="K332" s="8">
        <v>481</v>
      </c>
      <c r="L332" s="8">
        <v>39.390930175800001</v>
      </c>
      <c r="M332" s="8">
        <v>54.153511047400002</v>
      </c>
      <c r="N332" s="1"/>
      <c r="O332" s="1"/>
      <c r="P332" s="1"/>
      <c r="Q332" s="1"/>
      <c r="R332" s="1"/>
      <c r="S332" s="1"/>
      <c r="T332" s="1"/>
    </row>
    <row r="333" spans="9:23" x14ac:dyDescent="0.25">
      <c r="I333" s="8">
        <v>55.566513061499997</v>
      </c>
      <c r="K333" s="8">
        <v>482</v>
      </c>
      <c r="L333" s="8">
        <v>20.142103195200001</v>
      </c>
      <c r="M333" s="8">
        <v>54.501724243200002</v>
      </c>
    </row>
    <row r="334" spans="9:23" x14ac:dyDescent="0.25">
      <c r="I334" s="8">
        <v>55.566513061499997</v>
      </c>
      <c r="K334" s="8">
        <v>483</v>
      </c>
      <c r="L334" s="8">
        <v>10.0710515976</v>
      </c>
      <c r="M334" s="8">
        <v>54.501724243200002</v>
      </c>
    </row>
    <row r="335" spans="9:23" x14ac:dyDescent="0.25">
      <c r="I335" s="8">
        <v>55.566513061499997</v>
      </c>
      <c r="K335" s="8">
        <v>484</v>
      </c>
      <c r="L335" s="8">
        <v>30.213159561200001</v>
      </c>
      <c r="M335" s="8">
        <v>54.501724243200002</v>
      </c>
    </row>
    <row r="336" spans="9:23" x14ac:dyDescent="0.25">
      <c r="I336" s="8">
        <v>81.503494262700002</v>
      </c>
      <c r="J336" s="8" t="s">
        <v>18</v>
      </c>
      <c r="K336" s="8">
        <v>485</v>
      </c>
      <c r="L336" s="8">
        <v>150.425949097</v>
      </c>
      <c r="M336" s="8">
        <v>78.788475036600005</v>
      </c>
    </row>
    <row r="337" spans="9:16" x14ac:dyDescent="0.25">
      <c r="I337" s="8">
        <v>90.617736816399997</v>
      </c>
      <c r="K337" s="8">
        <v>486</v>
      </c>
      <c r="L337" s="8">
        <v>75.134040832500006</v>
      </c>
      <c r="M337" s="8">
        <v>84.280960082999997</v>
      </c>
      <c r="N337" s="8">
        <v>348624</v>
      </c>
      <c r="O337" s="8" t="s">
        <v>21</v>
      </c>
    </row>
    <row r="338" spans="9:16" x14ac:dyDescent="0.25">
      <c r="I338" s="8">
        <v>53.3012733459</v>
      </c>
      <c r="K338" s="8">
        <v>487</v>
      </c>
      <c r="L338" s="8">
        <v>52.369438171399999</v>
      </c>
      <c r="M338" s="8">
        <v>48.071594238300001</v>
      </c>
      <c r="O338" s="8" t="s">
        <v>19</v>
      </c>
    </row>
    <row r="339" spans="9:16" x14ac:dyDescent="0.25">
      <c r="I339" s="8">
        <v>58.086368560799997</v>
      </c>
      <c r="J339" s="8">
        <v>1.6207</v>
      </c>
      <c r="K339" s="8">
        <v>488</v>
      </c>
      <c r="L339" s="8">
        <v>111.471534729</v>
      </c>
      <c r="M339" s="8">
        <v>55.584293365500002</v>
      </c>
    </row>
    <row r="340" spans="9:16" x14ac:dyDescent="0.25">
      <c r="I340" s="8">
        <v>84.129905700699993</v>
      </c>
      <c r="J340" s="8">
        <v>1.6207</v>
      </c>
      <c r="K340" s="8">
        <v>489</v>
      </c>
      <c r="L340" s="8">
        <v>53.097408294700003</v>
      </c>
      <c r="M340" s="8">
        <v>75.695388793899994</v>
      </c>
      <c r="O340" s="8" t="s">
        <v>19</v>
      </c>
    </row>
    <row r="341" spans="9:16" x14ac:dyDescent="0.25">
      <c r="I341" s="8">
        <v>83.281387329099999</v>
      </c>
      <c r="J341" s="8">
        <v>1.6207</v>
      </c>
      <c r="K341" s="8">
        <v>490</v>
      </c>
      <c r="L341" s="8">
        <v>31.0919399261</v>
      </c>
      <c r="M341" s="8">
        <v>76.162895202599998</v>
      </c>
      <c r="O341" s="8" t="s">
        <v>19</v>
      </c>
    </row>
    <row r="342" spans="9:16" x14ac:dyDescent="0.25">
      <c r="I342" s="8">
        <v>70.959136962900004</v>
      </c>
      <c r="J342" s="8">
        <v>1.6207</v>
      </c>
      <c r="K342" s="8">
        <v>491</v>
      </c>
      <c r="L342" s="8">
        <v>65.667358398399998</v>
      </c>
      <c r="M342" s="8">
        <v>65.670783996599994</v>
      </c>
      <c r="O342" s="8" t="s">
        <v>19</v>
      </c>
    </row>
    <row r="343" spans="9:16" x14ac:dyDescent="0.25">
      <c r="I343" s="8">
        <v>65.881637573199995</v>
      </c>
      <c r="J343" s="8">
        <v>1.6207</v>
      </c>
      <c r="K343" s="8">
        <v>492</v>
      </c>
      <c r="L343" s="8">
        <v>34.460327148399998</v>
      </c>
      <c r="M343" s="8">
        <v>59.559856414800002</v>
      </c>
      <c r="O343" s="8" t="s">
        <v>19</v>
      </c>
    </row>
    <row r="344" spans="9:16" x14ac:dyDescent="0.25">
      <c r="I344" s="8">
        <v>54.114658355700001</v>
      </c>
      <c r="J344" s="8">
        <v>1.6207</v>
      </c>
      <c r="K344" s="8">
        <v>493</v>
      </c>
      <c r="L344" s="8">
        <v>49.290725707999997</v>
      </c>
      <c r="M344" s="8">
        <v>48.5905647278</v>
      </c>
      <c r="N344" s="8" t="s">
        <v>19</v>
      </c>
      <c r="O344" s="8" t="s">
        <v>19</v>
      </c>
    </row>
    <row r="345" spans="9:16" x14ac:dyDescent="0.25">
      <c r="I345" s="8">
        <v>58.888889312700002</v>
      </c>
      <c r="J345" s="8">
        <v>1.6207</v>
      </c>
      <c r="K345" s="8">
        <v>494</v>
      </c>
      <c r="L345" s="8">
        <v>71.1478805542</v>
      </c>
      <c r="M345" s="8">
        <v>52.724292755100002</v>
      </c>
      <c r="O345" s="8" t="s">
        <v>19</v>
      </c>
    </row>
    <row r="346" spans="9:16" x14ac:dyDescent="0.25">
      <c r="I346" s="8">
        <v>75.158500671400006</v>
      </c>
      <c r="J346" s="8">
        <v>1.6207</v>
      </c>
      <c r="K346" s="8">
        <v>495</v>
      </c>
      <c r="L346" s="8">
        <v>71.595611572300001</v>
      </c>
      <c r="M346" s="8">
        <v>71.2056350708</v>
      </c>
      <c r="O346" s="8" t="s">
        <v>19</v>
      </c>
    </row>
    <row r="347" spans="9:16" x14ac:dyDescent="0.25">
      <c r="I347" s="8">
        <v>68.047943115199999</v>
      </c>
      <c r="J347" s="8">
        <v>1.6207</v>
      </c>
      <c r="K347" s="8">
        <v>496</v>
      </c>
      <c r="L347" s="8">
        <v>29.282472610500001</v>
      </c>
      <c r="M347" s="8">
        <v>66.228073120100007</v>
      </c>
      <c r="O347" s="8" t="s">
        <v>19</v>
      </c>
    </row>
    <row r="348" spans="9:16" x14ac:dyDescent="0.25">
      <c r="I348" s="8">
        <v>68.047943115199999</v>
      </c>
      <c r="J348" s="8">
        <v>1.6207</v>
      </c>
      <c r="K348" s="8">
        <v>497</v>
      </c>
      <c r="L348" s="8">
        <v>14.6412363052</v>
      </c>
      <c r="M348" s="8">
        <v>66.228073120100007</v>
      </c>
      <c r="O348" s="8" t="s">
        <v>19</v>
      </c>
    </row>
    <row r="349" spans="9:16" x14ac:dyDescent="0.25">
      <c r="I349" s="8">
        <v>96.903358459499998</v>
      </c>
      <c r="J349" s="8">
        <v>1.6207</v>
      </c>
      <c r="K349" s="8">
        <v>498</v>
      </c>
      <c r="L349" s="8">
        <v>134.35760497999999</v>
      </c>
      <c r="M349" s="8">
        <v>91.758453369099996</v>
      </c>
      <c r="N349" s="8" t="s">
        <v>24</v>
      </c>
      <c r="O349" s="8" t="s">
        <v>19</v>
      </c>
    </row>
    <row r="350" spans="9:16" x14ac:dyDescent="0.25">
      <c r="I350" s="8">
        <v>86.285224914599993</v>
      </c>
      <c r="K350" s="8">
        <v>499</v>
      </c>
      <c r="L350" s="8">
        <v>221.060791016</v>
      </c>
      <c r="M350" s="8">
        <v>83.797485351600002</v>
      </c>
      <c r="O350" s="8" t="s">
        <v>19</v>
      </c>
    </row>
    <row r="351" spans="9:16" x14ac:dyDescent="0.25">
      <c r="I351" s="8">
        <v>66.738555908199999</v>
      </c>
      <c r="J351" s="8" t="s">
        <v>19</v>
      </c>
      <c r="K351" s="8">
        <v>500</v>
      </c>
      <c r="L351" s="8">
        <v>65.154472351099997</v>
      </c>
      <c r="M351" s="8">
        <v>62.443443298299997</v>
      </c>
      <c r="N351" s="8" t="s">
        <v>19</v>
      </c>
      <c r="O351" s="8" t="s">
        <v>19</v>
      </c>
    </row>
    <row r="352" spans="9:16" ht="15.75" x14ac:dyDescent="0.25">
      <c r="I352" s="8">
        <v>63.716957092299999</v>
      </c>
      <c r="J352" s="1"/>
      <c r="K352" s="8">
        <v>501</v>
      </c>
      <c r="L352" s="8">
        <v>128.861328125</v>
      </c>
      <c r="M352" s="8">
        <v>61.670631408699997</v>
      </c>
      <c r="N352" s="1"/>
      <c r="O352" s="1" t="s">
        <v>0</v>
      </c>
      <c r="P352" s="1"/>
    </row>
    <row r="353" spans="9:18" ht="15.75" x14ac:dyDescent="0.25">
      <c r="I353" s="8">
        <v>80.562416076700003</v>
      </c>
      <c r="J353" s="1" t="s">
        <v>1</v>
      </c>
      <c r="K353" s="8">
        <v>502</v>
      </c>
      <c r="L353" s="8">
        <v>79.775444030800003</v>
      </c>
      <c r="M353" s="8">
        <v>75.834037780800003</v>
      </c>
      <c r="N353" s="1" t="s">
        <v>3</v>
      </c>
      <c r="O353" s="1" t="s">
        <v>4</v>
      </c>
      <c r="P353" s="1" t="s">
        <v>5</v>
      </c>
    </row>
    <row r="354" spans="9:18" x14ac:dyDescent="0.25">
      <c r="I354" s="8">
        <v>78.080154418899994</v>
      </c>
      <c r="K354" s="8">
        <v>503</v>
      </c>
      <c r="L354" s="8">
        <v>50.388160705600001</v>
      </c>
      <c r="M354" s="8">
        <v>73.315589904800007</v>
      </c>
    </row>
    <row r="355" spans="9:18" x14ac:dyDescent="0.25">
      <c r="I355" s="8">
        <v>32.715595245400003</v>
      </c>
      <c r="K355" s="8">
        <v>504</v>
      </c>
      <c r="L355" s="8">
        <v>13.092588424700001</v>
      </c>
      <c r="M355" s="8">
        <v>31.527359008800001</v>
      </c>
    </row>
    <row r="356" spans="9:18" x14ac:dyDescent="0.25">
      <c r="I356" s="8">
        <v>30.0466213226</v>
      </c>
      <c r="K356" s="8">
        <v>505</v>
      </c>
      <c r="L356" s="8">
        <v>16.496616363499999</v>
      </c>
      <c r="M356" s="8">
        <v>29.3271846771</v>
      </c>
    </row>
    <row r="357" spans="9:18" x14ac:dyDescent="0.25">
      <c r="I357" s="8">
        <v>63.0146942139</v>
      </c>
      <c r="K357" s="8">
        <v>506</v>
      </c>
      <c r="L357" s="8">
        <v>82.947380065900006</v>
      </c>
      <c r="M357" s="8">
        <v>56.729347228999998</v>
      </c>
    </row>
    <row r="358" spans="9:18" ht="15.75" x14ac:dyDescent="0.25">
      <c r="I358" s="8">
        <v>63.0146942139</v>
      </c>
      <c r="J358" s="8">
        <f>J$378*$P358</f>
        <v>754.62200313004985</v>
      </c>
      <c r="K358" s="8">
        <v>507</v>
      </c>
      <c r="L358" s="8">
        <v>41.473690032999997</v>
      </c>
      <c r="M358" s="8">
        <v>56.729347228999998</v>
      </c>
      <c r="N358" s="8">
        <f t="shared" ref="N358:O360" si="22">N$378*$P358</f>
        <v>386.31906577693024</v>
      </c>
      <c r="O358" s="8">
        <f t="shared" si="22"/>
        <v>133.04459913439334</v>
      </c>
      <c r="P358" s="2">
        <f>61713/22</f>
        <v>2805.1363636363635</v>
      </c>
      <c r="R358" s="8">
        <f t="shared" ref="R358:R369" si="23">H358+J358+M358+N358+O358</f>
        <v>1330.7150152703734</v>
      </c>
    </row>
    <row r="359" spans="9:18" ht="15.75" x14ac:dyDescent="0.25">
      <c r="I359" s="8">
        <v>43.789768219000003</v>
      </c>
      <c r="J359" s="8">
        <f>J$378*$P359</f>
        <v>808.81617158519509</v>
      </c>
      <c r="K359" s="8">
        <v>508</v>
      </c>
      <c r="L359" s="8">
        <v>37.5224380493</v>
      </c>
      <c r="M359" s="8">
        <v>37.827465057399998</v>
      </c>
      <c r="N359" s="8">
        <f t="shared" si="22"/>
        <v>414.06307594534462</v>
      </c>
      <c r="O359" s="8">
        <f t="shared" si="22"/>
        <v>142.59937144109745</v>
      </c>
      <c r="P359" s="2">
        <f>66145/22</f>
        <v>3006.590909090909</v>
      </c>
      <c r="R359" s="8">
        <f t="shared" si="23"/>
        <v>1403.3060840290373</v>
      </c>
    </row>
    <row r="360" spans="9:18" ht="15.75" x14ac:dyDescent="0.25">
      <c r="I360" s="8">
        <v>43.789768219000003</v>
      </c>
      <c r="J360" s="8">
        <f>J$378*$P360</f>
        <v>57.654671540164713</v>
      </c>
      <c r="K360" s="8">
        <v>509</v>
      </c>
      <c r="L360" s="8">
        <v>337.70169067400002</v>
      </c>
      <c r="M360" s="8">
        <v>37.827465057399998</v>
      </c>
      <c r="N360" s="8">
        <f t="shared" si="22"/>
        <v>29.515570384493159</v>
      </c>
      <c r="O360" s="8">
        <f t="shared" si="22"/>
        <v>10.164880736938159</v>
      </c>
      <c r="P360" s="2">
        <f>4715/22</f>
        <v>214.31818181818181</v>
      </c>
      <c r="Q360" s="8" t="s">
        <v>20</v>
      </c>
      <c r="R360" s="8">
        <f t="shared" si="23"/>
        <v>135.16258771899601</v>
      </c>
    </row>
    <row r="361" spans="9:18" ht="15.75" x14ac:dyDescent="0.25">
      <c r="I361" s="8">
        <v>44.5056037903</v>
      </c>
      <c r="J361" s="2">
        <v>1027.8</v>
      </c>
      <c r="K361" s="8">
        <v>510</v>
      </c>
      <c r="L361" s="8">
        <v>57.846443176299999</v>
      </c>
      <c r="M361" s="8">
        <v>42.162040710399999</v>
      </c>
      <c r="N361" s="2">
        <v>530.29999999999995</v>
      </c>
      <c r="O361" s="2">
        <v>203.4</v>
      </c>
      <c r="P361" s="2">
        <v>3322.1</v>
      </c>
      <c r="R361" s="8">
        <f t="shared" si="23"/>
        <v>1803.6620407104001</v>
      </c>
    </row>
    <row r="362" spans="9:18" ht="15.75" x14ac:dyDescent="0.25">
      <c r="I362" s="8">
        <v>52.942539215099998</v>
      </c>
      <c r="J362" s="8">
        <f>J$378*$P362</f>
        <v>349.2540251389575</v>
      </c>
      <c r="K362" s="8">
        <v>511</v>
      </c>
      <c r="L362" s="8">
        <v>123.212219238</v>
      </c>
      <c r="M362" s="8">
        <v>47.947017669700003</v>
      </c>
      <c r="N362" s="8">
        <f>N$378*$P362</f>
        <v>178.79612329202408</v>
      </c>
      <c r="O362" s="8">
        <f>O$378*$P362</f>
        <v>61.575678389910429</v>
      </c>
      <c r="P362" s="2">
        <f>28562/22</f>
        <v>1298.2727272727273</v>
      </c>
      <c r="R362" s="8">
        <f t="shared" si="23"/>
        <v>637.57284449059205</v>
      </c>
    </row>
    <row r="363" spans="9:18" ht="15.75" x14ac:dyDescent="0.25">
      <c r="I363" s="8">
        <v>58.051994323700001</v>
      </c>
      <c r="J363" s="8">
        <f>J$378*$P363</f>
        <v>411.15178703425204</v>
      </c>
      <c r="K363" s="8">
        <v>512</v>
      </c>
      <c r="L363" s="8">
        <v>63.2472839355</v>
      </c>
      <c r="M363" s="8">
        <v>52.366146087600001</v>
      </c>
      <c r="N363" s="8">
        <f>N$378*$P363</f>
        <v>210.48388941849373</v>
      </c>
      <c r="O363" s="8">
        <f>O$378*$P363</f>
        <v>72.488642608442973</v>
      </c>
      <c r="P363" s="2">
        <f>33624/22</f>
        <v>1528.3636363636363</v>
      </c>
      <c r="R363" s="8">
        <f t="shared" si="23"/>
        <v>746.49046514878876</v>
      </c>
    </row>
    <row r="364" spans="9:18" ht="15.75" x14ac:dyDescent="0.25">
      <c r="I364" s="8">
        <v>72.976203918500005</v>
      </c>
      <c r="J364" s="2">
        <v>437.7</v>
      </c>
      <c r="K364" s="8">
        <v>513</v>
      </c>
      <c r="L364" s="8">
        <v>49.788276672400002</v>
      </c>
      <c r="M364" s="8">
        <v>68.411499023399998</v>
      </c>
      <c r="N364" s="2">
        <v>111.5</v>
      </c>
      <c r="O364" s="2">
        <v>0</v>
      </c>
      <c r="P364" s="2">
        <v>1197.9000000000001</v>
      </c>
      <c r="R364" s="8">
        <f t="shared" si="23"/>
        <v>617.61149902340003</v>
      </c>
    </row>
    <row r="365" spans="9:18" ht="15.75" x14ac:dyDescent="0.25">
      <c r="I365" s="8">
        <v>64.846916198700001</v>
      </c>
      <c r="J365" s="2">
        <v>1703.9</v>
      </c>
      <c r="K365" s="8">
        <v>514</v>
      </c>
      <c r="L365" s="8">
        <v>24.437952041599999</v>
      </c>
      <c r="M365" s="8">
        <v>59.1522483826</v>
      </c>
      <c r="N365" s="2">
        <v>936.4</v>
      </c>
      <c r="O365" s="2">
        <v>252.2</v>
      </c>
      <c r="P365" s="2">
        <v>6373.4</v>
      </c>
      <c r="R365" s="8">
        <f t="shared" si="23"/>
        <v>2951.6522483825997</v>
      </c>
    </row>
    <row r="366" spans="9:18" ht="15.75" x14ac:dyDescent="0.25">
      <c r="I366" s="8">
        <v>109.69436645499999</v>
      </c>
      <c r="J366" s="2">
        <v>1863.5</v>
      </c>
      <c r="K366" s="8">
        <v>515</v>
      </c>
      <c r="L366" s="8">
        <v>52.418052673299997</v>
      </c>
      <c r="M366" s="8">
        <v>97.028800964400006</v>
      </c>
      <c r="N366" s="2">
        <v>1044.0999999999999</v>
      </c>
      <c r="O366" s="2">
        <v>282</v>
      </c>
      <c r="P366" s="2">
        <v>7371.4</v>
      </c>
      <c r="R366" s="8">
        <f t="shared" si="23"/>
        <v>3286.6288009643999</v>
      </c>
    </row>
    <row r="367" spans="9:18" ht="15.75" x14ac:dyDescent="0.25">
      <c r="I367" s="8">
        <v>72.430099487299998</v>
      </c>
      <c r="J367" s="2">
        <v>1095.5999999999999</v>
      </c>
      <c r="K367" s="8">
        <v>516</v>
      </c>
      <c r="L367" s="8">
        <v>38.028560638400002</v>
      </c>
      <c r="M367" s="8">
        <v>62.403659820599998</v>
      </c>
      <c r="N367" s="2">
        <v>382.9</v>
      </c>
      <c r="O367" s="2">
        <v>122.6</v>
      </c>
      <c r="P367" s="2">
        <v>2455.5</v>
      </c>
      <c r="R367" s="8">
        <f t="shared" si="23"/>
        <v>1663.5036598205998</v>
      </c>
    </row>
    <row r="368" spans="9:18" ht="15.75" x14ac:dyDescent="0.25">
      <c r="I368" s="8">
        <v>74.212112426800005</v>
      </c>
      <c r="J368" s="2">
        <v>3.2</v>
      </c>
      <c r="K368" s="8">
        <v>517</v>
      </c>
      <c r="L368" s="8">
        <v>136.12123107900001</v>
      </c>
      <c r="M368" s="8">
        <v>69.880226135300006</v>
      </c>
      <c r="N368" s="2">
        <v>44</v>
      </c>
      <c r="O368" s="2">
        <v>8.8000000000000007</v>
      </c>
      <c r="P368" s="2">
        <v>422.4</v>
      </c>
      <c r="R368" s="8">
        <f t="shared" si="23"/>
        <v>125.88022613530001</v>
      </c>
    </row>
    <row r="369" spans="7:18" ht="15.75" x14ac:dyDescent="0.25">
      <c r="I369" s="8">
        <v>55.9144821167</v>
      </c>
      <c r="J369" s="2">
        <v>58.7</v>
      </c>
      <c r="K369" s="8">
        <v>518</v>
      </c>
      <c r="L369" s="8">
        <v>59.559173584</v>
      </c>
      <c r="M369" s="8">
        <v>51.8542861938</v>
      </c>
      <c r="N369" s="2">
        <v>46.6</v>
      </c>
      <c r="O369" s="2">
        <v>25.5</v>
      </c>
      <c r="P369" s="2">
        <v>655.9</v>
      </c>
      <c r="R369" s="8">
        <f t="shared" si="23"/>
        <v>182.6542861938</v>
      </c>
    </row>
    <row r="370" spans="7:18" ht="15.75" x14ac:dyDescent="0.25">
      <c r="I370" s="8">
        <v>53.839515685999999</v>
      </c>
      <c r="J370" s="2">
        <v>571.1</v>
      </c>
      <c r="K370" s="8">
        <v>519</v>
      </c>
      <c r="L370" s="8">
        <v>68.563545227099993</v>
      </c>
      <c r="M370" s="8">
        <v>49.922393798800002</v>
      </c>
      <c r="N370" s="2">
        <v>271.2</v>
      </c>
      <c r="O370" s="2">
        <v>171.3</v>
      </c>
      <c r="P370" s="2">
        <v>1827.2</v>
      </c>
    </row>
    <row r="371" spans="7:18" ht="15.75" x14ac:dyDescent="0.25">
      <c r="I371" s="8">
        <v>22.404464721699998</v>
      </c>
      <c r="J371" s="2">
        <v>431.6</v>
      </c>
      <c r="K371" s="8">
        <v>520</v>
      </c>
      <c r="L371" s="8">
        <v>17.816831588700001</v>
      </c>
      <c r="M371" s="8">
        <v>22.071666717500001</v>
      </c>
      <c r="N371" s="2">
        <v>266.3</v>
      </c>
      <c r="O371" s="2">
        <v>124</v>
      </c>
      <c r="P371" s="2">
        <v>2108.6999999999998</v>
      </c>
      <c r="R371" s="8">
        <f>H371+J371+M371+N371+O371</f>
        <v>843.97166671750006</v>
      </c>
    </row>
    <row r="372" spans="7:18" ht="15.75" x14ac:dyDescent="0.25">
      <c r="I372" s="8">
        <v>25.849773407000001</v>
      </c>
      <c r="J372" s="8">
        <f>J$378*$P372</f>
        <v>524.13782415644118</v>
      </c>
      <c r="K372" s="8">
        <v>521</v>
      </c>
      <c r="L372" s="8">
        <v>3.7219071388199998</v>
      </c>
      <c r="M372" s="8">
        <v>24.737369537399999</v>
      </c>
      <c r="N372" s="8">
        <f>N$378*$P372</f>
        <v>268.32564346997128</v>
      </c>
      <c r="O372" s="8">
        <f>O$378*$P372</f>
        <v>92.408790648593254</v>
      </c>
      <c r="P372" s="2">
        <f>42864/22</f>
        <v>1948.3636363636363</v>
      </c>
      <c r="R372" s="8">
        <f>H372+J372+M372+N372+O372</f>
        <v>909.60962781240573</v>
      </c>
    </row>
    <row r="373" spans="7:18" ht="15.75" x14ac:dyDescent="0.25">
      <c r="I373" s="8">
        <v>22.404464721699998</v>
      </c>
      <c r="J373" s="2">
        <v>2.9</v>
      </c>
      <c r="K373" s="8">
        <v>522</v>
      </c>
      <c r="L373" s="8">
        <v>8.9084157943700006</v>
      </c>
      <c r="M373" s="8">
        <v>22.071666717500001</v>
      </c>
      <c r="N373" s="2">
        <v>50.6</v>
      </c>
      <c r="O373" s="2">
        <v>78.900000000000006</v>
      </c>
      <c r="P373" s="2">
        <v>1015</v>
      </c>
      <c r="R373" s="8">
        <f>H373+J373+M373+N373+O373</f>
        <v>154.4716667175</v>
      </c>
    </row>
    <row r="374" spans="7:18" x14ac:dyDescent="0.25">
      <c r="I374" s="8">
        <v>47.822006225599999</v>
      </c>
      <c r="J374" s="5">
        <f>SUM(J358:J373)</f>
        <v>10101.636482585063</v>
      </c>
      <c r="K374" s="8">
        <v>523</v>
      </c>
      <c r="L374" s="8">
        <v>30.594442367599999</v>
      </c>
      <c r="M374" s="8">
        <v>46.614307403600002</v>
      </c>
      <c r="N374" s="5">
        <f>SUM(N358:N373)</f>
        <v>5171.4033682872578</v>
      </c>
      <c r="O374" s="5">
        <f>SUM(O358:O373)</f>
        <v>1780.9819629593753</v>
      </c>
      <c r="P374" s="5">
        <f>SUM(P358:P373)</f>
        <v>37550.545454545463</v>
      </c>
      <c r="R374" s="8">
        <f>H374+J374+M374+N374+O374</f>
        <v>17100.636121235297</v>
      </c>
    </row>
    <row r="375" spans="7:18" x14ac:dyDescent="0.25">
      <c r="I375" s="8">
        <v>18.811529159500001</v>
      </c>
      <c r="K375" s="8">
        <v>524</v>
      </c>
      <c r="L375" s="8">
        <v>4.0947184562699999</v>
      </c>
      <c r="M375" s="8">
        <v>18.0870571136</v>
      </c>
    </row>
    <row r="376" spans="7:18" x14ac:dyDescent="0.25">
      <c r="I376" s="8">
        <v>47.795120239299997</v>
      </c>
      <c r="K376" s="8">
        <v>525</v>
      </c>
      <c r="L376" s="8">
        <v>37.5605926514</v>
      </c>
      <c r="M376" s="8">
        <v>46.895034789999997</v>
      </c>
    </row>
    <row r="377" spans="7:18" x14ac:dyDescent="0.25">
      <c r="G377" s="5"/>
      <c r="I377" s="8">
        <v>97.200309753400006</v>
      </c>
      <c r="J377" s="5">
        <f>J361+J364+J365+J366+J367+J368+J369+J370+J371+J373</f>
        <v>7196</v>
      </c>
      <c r="K377" s="8">
        <v>526</v>
      </c>
      <c r="L377" s="8">
        <v>113.622741699</v>
      </c>
      <c r="M377" s="8">
        <v>90.513244628899997</v>
      </c>
      <c r="N377" s="5">
        <f>N361+N364+N365+N366+N367+N368+N369+N370+N371+N373</f>
        <v>3683.8999999999996</v>
      </c>
      <c r="O377" s="5">
        <f>O361+O364+O365+O366+O367+O368+O369+O370+O371+O373</f>
        <v>1268.7</v>
      </c>
      <c r="P377" s="5">
        <f>P361+P364+P365+P366+P367+P368+P369+P370+P371+P373</f>
        <v>26749.500000000004</v>
      </c>
    </row>
    <row r="378" spans="7:18" x14ac:dyDescent="0.25">
      <c r="I378" s="8">
        <v>31.918043136600001</v>
      </c>
      <c r="J378" s="8">
        <f>J377/$P377</f>
        <v>0.26901437410045043</v>
      </c>
      <c r="K378" s="8">
        <v>527</v>
      </c>
      <c r="L378" s="8">
        <v>33.721706390400001</v>
      </c>
      <c r="M378" s="8">
        <v>29.765897750899999</v>
      </c>
      <c r="N378" s="8">
        <f>N377/$P377</f>
        <v>0.13771846202732757</v>
      </c>
      <c r="O378" s="8">
        <f>O377/$P377</f>
        <v>4.742892390511972E-2</v>
      </c>
      <c r="P378" s="8">
        <f>H378+J378+M378+N378+O378</f>
        <v>30.220059510932895</v>
      </c>
    </row>
    <row r="379" spans="7:18" x14ac:dyDescent="0.25">
      <c r="I379" s="8">
        <v>27.9661235809</v>
      </c>
      <c r="K379" s="8">
        <v>528</v>
      </c>
      <c r="L379" s="8">
        <v>22.119277954099999</v>
      </c>
      <c r="M379" s="8">
        <v>27.865066528300002</v>
      </c>
    </row>
    <row r="380" spans="7:18" x14ac:dyDescent="0.25">
      <c r="I380" s="8">
        <v>36.9694252014</v>
      </c>
      <c r="J380" s="8">
        <f>J$378*$P378</f>
        <v>8.1296303946119775</v>
      </c>
      <c r="K380" s="8">
        <v>529</v>
      </c>
      <c r="L380" s="8">
        <v>34.700763702400003</v>
      </c>
      <c r="M380" s="8">
        <v>34.771652221700002</v>
      </c>
      <c r="N380" s="8">
        <f>N$378*$P378</f>
        <v>4.161860118219991</v>
      </c>
      <c r="O380" s="8">
        <f>O$378*$P378</f>
        <v>1.4333049029522258</v>
      </c>
      <c r="P380" s="8">
        <f>P378*$P378</f>
        <v>913.25199684432573</v>
      </c>
    </row>
    <row r="381" spans="7:18" x14ac:dyDescent="0.25">
      <c r="I381" s="8">
        <v>30.8980064392</v>
      </c>
      <c r="K381" s="8">
        <v>530</v>
      </c>
      <c r="L381" s="8">
        <v>48.271545410199998</v>
      </c>
      <c r="M381" s="8">
        <v>30.4779586792</v>
      </c>
    </row>
    <row r="382" spans="7:18" x14ac:dyDescent="0.25">
      <c r="I382" s="8">
        <v>47.889251709</v>
      </c>
      <c r="J382" s="5">
        <f>SUM(J358:J373)</f>
        <v>10101.636482585063</v>
      </c>
      <c r="K382" s="8">
        <v>531</v>
      </c>
      <c r="L382" s="8">
        <v>60.133491516100001</v>
      </c>
      <c r="M382" s="8">
        <v>45.0571327209</v>
      </c>
      <c r="N382" s="5">
        <f>SUM(N358:N373)</f>
        <v>5171.4033682872578</v>
      </c>
      <c r="O382" s="5">
        <f>SUM(O358:O373)</f>
        <v>1780.9819629593753</v>
      </c>
      <c r="P382" s="8">
        <f>H382+J382+M382+N382+O382</f>
        <v>17099.078946552596</v>
      </c>
      <c r="Q382" s="8" t="s">
        <v>22</v>
      </c>
    </row>
    <row r="383" spans="7:18" x14ac:dyDescent="0.25">
      <c r="I383" s="8">
        <v>45.089881896999998</v>
      </c>
      <c r="K383" s="8">
        <v>532</v>
      </c>
      <c r="L383" s="8">
        <v>64.409561157200002</v>
      </c>
      <c r="M383" s="8">
        <v>44.343841552699999</v>
      </c>
    </row>
    <row r="384" spans="7:18" x14ac:dyDescent="0.25">
      <c r="I384" s="8">
        <v>46.906269073499999</v>
      </c>
      <c r="K384" s="8">
        <v>533</v>
      </c>
      <c r="L384" s="8">
        <v>72.3226852417</v>
      </c>
      <c r="M384" s="8">
        <v>46.381175994899998</v>
      </c>
    </row>
    <row r="385" spans="9:13" x14ac:dyDescent="0.25">
      <c r="I385" s="8">
        <v>51.1960754395</v>
      </c>
      <c r="K385" s="8">
        <v>534</v>
      </c>
      <c r="L385" s="8">
        <v>56.633060455299997</v>
      </c>
      <c r="M385" s="8">
        <v>49.156234741200002</v>
      </c>
    </row>
    <row r="386" spans="9:13" x14ac:dyDescent="0.25">
      <c r="I386" s="8">
        <v>51.180007934599999</v>
      </c>
      <c r="K386" s="8">
        <v>535</v>
      </c>
      <c r="L386" s="8">
        <v>24.2732944489</v>
      </c>
      <c r="M386" s="8">
        <v>48.437400817899999</v>
      </c>
    </row>
    <row r="387" spans="9:13" x14ac:dyDescent="0.25">
      <c r="I387" s="8">
        <v>51.180007934599999</v>
      </c>
      <c r="K387" s="8">
        <v>536</v>
      </c>
      <c r="L387" s="8">
        <v>168.04589843799999</v>
      </c>
      <c r="M387" s="8">
        <v>48.437400817899999</v>
      </c>
    </row>
    <row r="388" spans="9:13" x14ac:dyDescent="0.25">
      <c r="I388" s="8">
        <v>63.658031463599997</v>
      </c>
      <c r="K388" s="8">
        <v>537</v>
      </c>
      <c r="L388" s="8">
        <v>459.48861694300001</v>
      </c>
      <c r="M388" s="8">
        <v>61.222381591800001</v>
      </c>
    </row>
    <row r="389" spans="9:13" x14ac:dyDescent="0.25">
      <c r="I389" s="8">
        <v>60.636615753199997</v>
      </c>
      <c r="K389" s="8">
        <v>538</v>
      </c>
      <c r="L389" s="8">
        <v>493.43374633799999</v>
      </c>
      <c r="M389" s="8">
        <v>59.792900085399999</v>
      </c>
    </row>
    <row r="390" spans="9:13" x14ac:dyDescent="0.25">
      <c r="I390" s="8">
        <v>50.142776489299997</v>
      </c>
      <c r="K390" s="8">
        <v>539</v>
      </c>
      <c r="L390" s="8">
        <v>54.856338501000003</v>
      </c>
      <c r="M390" s="8">
        <v>48.568691253700003</v>
      </c>
    </row>
    <row r="391" spans="9:13" x14ac:dyDescent="0.25">
      <c r="I391" s="8">
        <v>82.408958435100004</v>
      </c>
      <c r="K391" s="8">
        <v>540</v>
      </c>
      <c r="L391" s="8">
        <v>62.0321083069</v>
      </c>
      <c r="M391" s="8">
        <v>80.333137512199997</v>
      </c>
    </row>
    <row r="392" spans="9:13" x14ac:dyDescent="0.25">
      <c r="I392" s="8">
        <v>75.633605957</v>
      </c>
      <c r="K392" s="8">
        <v>541</v>
      </c>
      <c r="L392" s="8">
        <v>141.21946716299999</v>
      </c>
      <c r="M392" s="8">
        <v>74.509254455600001</v>
      </c>
    </row>
    <row r="393" spans="9:13" x14ac:dyDescent="0.25">
      <c r="I393" s="8">
        <v>64.2240524292</v>
      </c>
      <c r="K393" s="8">
        <v>542</v>
      </c>
      <c r="L393" s="8">
        <v>128.490600586</v>
      </c>
      <c r="M393" s="8">
        <v>61.654495239299997</v>
      </c>
    </row>
    <row r="394" spans="9:13" x14ac:dyDescent="0.25">
      <c r="I394" s="8">
        <v>86.497085571300005</v>
      </c>
      <c r="K394" s="8">
        <v>543</v>
      </c>
      <c r="L394" s="8">
        <v>131.05706787099999</v>
      </c>
      <c r="M394" s="8">
        <v>83.464508056599996</v>
      </c>
    </row>
    <row r="395" spans="9:13" x14ac:dyDescent="0.25">
      <c r="I395" s="8">
        <v>90.980987548800002</v>
      </c>
      <c r="K395" s="8">
        <v>544</v>
      </c>
      <c r="L395" s="8">
        <v>55.215694427499997</v>
      </c>
      <c r="M395" s="8">
        <v>85.732139587399999</v>
      </c>
    </row>
    <row r="396" spans="9:13" x14ac:dyDescent="0.25">
      <c r="I396" s="8">
        <v>73.812355041499998</v>
      </c>
      <c r="K396" s="8">
        <v>545</v>
      </c>
      <c r="L396" s="8">
        <v>68.210815429700006</v>
      </c>
      <c r="M396" s="8">
        <v>69.581031799300007</v>
      </c>
    </row>
    <row r="397" spans="9:13" x14ac:dyDescent="0.25">
      <c r="I397" s="8">
        <v>37.2562103271</v>
      </c>
      <c r="K397" s="8">
        <v>546</v>
      </c>
      <c r="L397" s="8">
        <v>116.097816467</v>
      </c>
      <c r="M397" s="8">
        <v>35.263595581099999</v>
      </c>
    </row>
    <row r="398" spans="9:13" x14ac:dyDescent="0.25">
      <c r="I398" s="8">
        <v>39.104202270499997</v>
      </c>
      <c r="K398" s="8">
        <v>547</v>
      </c>
      <c r="L398" s="8">
        <v>35.202854156500003</v>
      </c>
      <c r="M398" s="8">
        <v>35.050514221199997</v>
      </c>
    </row>
    <row r="399" spans="9:13" x14ac:dyDescent="0.25">
      <c r="I399" s="8">
        <v>39.104202270499997</v>
      </c>
      <c r="K399" s="8">
        <v>548</v>
      </c>
      <c r="L399" s="8">
        <v>35.202854156500003</v>
      </c>
      <c r="M399" s="8">
        <v>35.050514221199997</v>
      </c>
    </row>
    <row r="400" spans="9:13" x14ac:dyDescent="0.25">
      <c r="I400" s="8">
        <v>63.611339569099997</v>
      </c>
      <c r="K400" s="8">
        <v>549</v>
      </c>
      <c r="L400" s="8">
        <v>166.791091919</v>
      </c>
      <c r="M400" s="8">
        <v>60.7359542847</v>
      </c>
    </row>
    <row r="401" spans="9:13" x14ac:dyDescent="0.25">
      <c r="I401" s="8">
        <v>61.366985321000001</v>
      </c>
      <c r="K401" s="8">
        <v>550</v>
      </c>
      <c r="L401" s="8">
        <v>122.313461304</v>
      </c>
      <c r="M401" s="8">
        <v>58.515220642099997</v>
      </c>
    </row>
    <row r="402" spans="9:13" x14ac:dyDescent="0.25">
      <c r="I402" s="8">
        <v>63.611339569099997</v>
      </c>
      <c r="K402" s="8">
        <v>551</v>
      </c>
      <c r="L402" s="8">
        <v>40.771156310999999</v>
      </c>
      <c r="M402" s="8">
        <v>60.7359542847</v>
      </c>
    </row>
    <row r="403" spans="9:13" x14ac:dyDescent="0.25">
      <c r="I403" s="8">
        <v>61.366985321000001</v>
      </c>
      <c r="K403" s="8">
        <v>552</v>
      </c>
      <c r="L403" s="8">
        <v>61.156730651899998</v>
      </c>
      <c r="M403" s="8">
        <v>58.515220642099997</v>
      </c>
    </row>
    <row r="404" spans="9:13" x14ac:dyDescent="0.25">
      <c r="I404" s="8">
        <v>61.9820022583</v>
      </c>
      <c r="K404" s="8">
        <v>553</v>
      </c>
      <c r="L404" s="8">
        <v>494.16177368199999</v>
      </c>
      <c r="M404" s="8">
        <v>56.516532897899999</v>
      </c>
    </row>
    <row r="405" spans="9:13" x14ac:dyDescent="0.25">
      <c r="I405" s="8">
        <v>62.716903686499997</v>
      </c>
      <c r="K405" s="8">
        <v>554</v>
      </c>
      <c r="L405" s="8">
        <v>30.198772430399998</v>
      </c>
      <c r="M405" s="8">
        <v>57.257228851299999</v>
      </c>
    </row>
    <row r="406" spans="9:13" x14ac:dyDescent="0.25">
      <c r="I406" s="8">
        <v>43.350505828899998</v>
      </c>
      <c r="K406" s="8">
        <v>555</v>
      </c>
      <c r="L406" s="8">
        <v>792.88983154300001</v>
      </c>
      <c r="M406" s="8">
        <v>41.634494781500003</v>
      </c>
    </row>
    <row r="407" spans="9:13" x14ac:dyDescent="0.25">
      <c r="I407" s="8">
        <v>46.7397499084</v>
      </c>
      <c r="K407" s="8">
        <v>556</v>
      </c>
      <c r="L407" s="8">
        <v>99.466781616199995</v>
      </c>
      <c r="M407" s="8">
        <v>41.070491790799998</v>
      </c>
    </row>
    <row r="408" spans="9:13" x14ac:dyDescent="0.25">
      <c r="I408" s="8">
        <v>44.213741302499997</v>
      </c>
      <c r="K408" s="8">
        <v>557</v>
      </c>
      <c r="L408" s="8">
        <v>58.910484314000001</v>
      </c>
      <c r="M408" s="8">
        <v>38.558708190899999</v>
      </c>
    </row>
    <row r="409" spans="9:13" x14ac:dyDescent="0.25">
      <c r="I409" s="8">
        <v>48.009960174600003</v>
      </c>
      <c r="K409" s="8">
        <v>558</v>
      </c>
      <c r="L409" s="8">
        <v>166.86676025400001</v>
      </c>
      <c r="M409" s="8">
        <v>42.340705871600001</v>
      </c>
    </row>
    <row r="410" spans="9:13" x14ac:dyDescent="0.25">
      <c r="I410" s="8">
        <v>45.543743133500001</v>
      </c>
      <c r="K410" s="8">
        <v>559</v>
      </c>
      <c r="L410" s="8">
        <v>44.182865142799997</v>
      </c>
      <c r="M410" s="8">
        <v>39.888710021999998</v>
      </c>
    </row>
    <row r="411" spans="9:13" x14ac:dyDescent="0.25">
      <c r="I411" s="8">
        <v>56.2912940979</v>
      </c>
      <c r="K411" s="8">
        <v>560</v>
      </c>
      <c r="L411" s="8">
        <v>94.3681182861</v>
      </c>
      <c r="M411" s="8">
        <v>49.142585754400002</v>
      </c>
    </row>
    <row r="412" spans="9:13" x14ac:dyDescent="0.25">
      <c r="I412" s="8">
        <v>46.275577545200001</v>
      </c>
      <c r="K412" s="8">
        <v>561</v>
      </c>
      <c r="L412" s="8">
        <v>156.463378906</v>
      </c>
      <c r="M412" s="8">
        <v>45.284111022899999</v>
      </c>
    </row>
    <row r="413" spans="9:13" x14ac:dyDescent="0.25">
      <c r="I413" s="8">
        <v>69.996482849100005</v>
      </c>
      <c r="K413" s="8">
        <v>562</v>
      </c>
      <c r="L413" s="8">
        <v>58.812412262000002</v>
      </c>
      <c r="M413" s="8">
        <v>65.717277526900006</v>
      </c>
    </row>
    <row r="414" spans="9:13" x14ac:dyDescent="0.25">
      <c r="I414" s="8">
        <v>69.996482849100005</v>
      </c>
      <c r="K414" s="8">
        <v>563</v>
      </c>
      <c r="L414" s="8">
        <v>39.208278655999997</v>
      </c>
      <c r="M414" s="8">
        <v>65.717277526900006</v>
      </c>
    </row>
    <row r="415" spans="9:13" x14ac:dyDescent="0.25">
      <c r="I415" s="8">
        <v>78.348442077599998</v>
      </c>
      <c r="K415" s="8">
        <v>564</v>
      </c>
      <c r="L415" s="8">
        <v>15.0260295868</v>
      </c>
      <c r="M415" s="8">
        <v>71.778984069800003</v>
      </c>
    </row>
    <row r="416" spans="9:13" x14ac:dyDescent="0.25">
      <c r="I416" s="8">
        <v>77.992156982400004</v>
      </c>
      <c r="K416" s="8">
        <v>565</v>
      </c>
      <c r="L416" s="8">
        <v>59.801578521700002</v>
      </c>
      <c r="M416" s="8">
        <v>71.422698974599996</v>
      </c>
    </row>
    <row r="417" spans="9:13" x14ac:dyDescent="0.25">
      <c r="I417" s="8">
        <v>98.746063232400004</v>
      </c>
      <c r="K417" s="8">
        <v>566</v>
      </c>
      <c r="L417" s="8">
        <v>143.22413635300001</v>
      </c>
      <c r="M417" s="8">
        <v>94.578285217300007</v>
      </c>
    </row>
    <row r="418" spans="9:13" x14ac:dyDescent="0.25">
      <c r="I418" s="8">
        <v>98.746063232400004</v>
      </c>
      <c r="K418" s="8">
        <v>567</v>
      </c>
      <c r="L418" s="8">
        <v>71.612068176299999</v>
      </c>
      <c r="M418" s="8">
        <v>94.578285217300007</v>
      </c>
    </row>
    <row r="419" spans="9:13" x14ac:dyDescent="0.25">
      <c r="I419" s="8">
        <v>92.853057861300002</v>
      </c>
      <c r="K419" s="8">
        <v>568</v>
      </c>
      <c r="L419" s="8">
        <v>79.044883728000002</v>
      </c>
      <c r="M419" s="8">
        <v>89.304107665999993</v>
      </c>
    </row>
    <row r="420" spans="9:13" x14ac:dyDescent="0.25">
      <c r="I420" s="8">
        <v>92.353065490700004</v>
      </c>
      <c r="K420" s="8">
        <v>569</v>
      </c>
      <c r="L420" s="8">
        <v>19.912288665799998</v>
      </c>
      <c r="M420" s="8">
        <v>88.804107665999993</v>
      </c>
    </row>
    <row r="421" spans="9:13" x14ac:dyDescent="0.25">
      <c r="I421" s="8">
        <v>55.4534492493</v>
      </c>
      <c r="K421" s="8">
        <v>570</v>
      </c>
      <c r="L421" s="8">
        <v>31.272792816199999</v>
      </c>
      <c r="M421" s="8">
        <v>52.906124114999997</v>
      </c>
    </row>
    <row r="422" spans="9:13" x14ac:dyDescent="0.25">
      <c r="I422" s="8">
        <v>91.144371032699993</v>
      </c>
      <c r="K422" s="8">
        <v>571</v>
      </c>
      <c r="L422" s="8">
        <v>68.078872680700002</v>
      </c>
      <c r="M422" s="8">
        <v>81.148071289100002</v>
      </c>
    </row>
    <row r="423" spans="9:13" x14ac:dyDescent="0.25">
      <c r="I423" s="8">
        <v>90.444740295399995</v>
      </c>
      <c r="K423" s="8">
        <v>572</v>
      </c>
      <c r="L423" s="8">
        <v>98.976882934599999</v>
      </c>
      <c r="M423" s="8">
        <v>80.458839416499998</v>
      </c>
    </row>
    <row r="424" spans="9:13" x14ac:dyDescent="0.25">
      <c r="I424" s="8">
        <v>62.032390594500001</v>
      </c>
      <c r="K424" s="8">
        <v>573</v>
      </c>
      <c r="L424" s="8">
        <v>127.68834686300001</v>
      </c>
      <c r="M424" s="8">
        <v>55.642032623299997</v>
      </c>
    </row>
    <row r="425" spans="9:13" x14ac:dyDescent="0.25">
      <c r="I425" s="8">
        <v>64.109443664599993</v>
      </c>
      <c r="K425" s="8">
        <v>574</v>
      </c>
      <c r="L425" s="8">
        <v>79.754493713399995</v>
      </c>
      <c r="M425" s="8">
        <v>57.708713531500003</v>
      </c>
    </row>
    <row r="426" spans="9:13" x14ac:dyDescent="0.25">
      <c r="I426" s="8">
        <v>62.3878135681</v>
      </c>
      <c r="K426" s="8">
        <v>575</v>
      </c>
      <c r="L426" s="8">
        <v>26.584827423099998</v>
      </c>
      <c r="M426" s="8">
        <v>55.997913360600002</v>
      </c>
    </row>
    <row r="427" spans="9:13" x14ac:dyDescent="0.25">
      <c r="I427" s="8">
        <v>79.112457275400004</v>
      </c>
      <c r="K427" s="8">
        <v>576</v>
      </c>
      <c r="L427" s="8">
        <v>281.60183715800002</v>
      </c>
      <c r="M427" s="8">
        <v>73.681419372600004</v>
      </c>
    </row>
    <row r="428" spans="9:13" x14ac:dyDescent="0.25">
      <c r="I428" s="8">
        <v>57.522289276099997</v>
      </c>
      <c r="K428" s="8">
        <v>577</v>
      </c>
      <c r="L428" s="8">
        <v>14.1719636917</v>
      </c>
      <c r="M428" s="8">
        <v>47.854938507100002</v>
      </c>
    </row>
    <row r="429" spans="9:13" x14ac:dyDescent="0.25">
      <c r="I429" s="8">
        <v>8.00142860413</v>
      </c>
      <c r="K429" s="8">
        <v>578</v>
      </c>
      <c r="L429" s="8">
        <v>4.0103330612199999</v>
      </c>
      <c r="M429" s="8">
        <v>8.00142860413</v>
      </c>
    </row>
    <row r="430" spans="9:13" x14ac:dyDescent="0.25">
      <c r="I430" s="8">
        <v>47.686042785600002</v>
      </c>
      <c r="K430" s="8">
        <v>579</v>
      </c>
      <c r="L430" s="8">
        <v>129.389724731</v>
      </c>
      <c r="M430" s="8">
        <v>45.525802612299998</v>
      </c>
    </row>
    <row r="431" spans="9:13" x14ac:dyDescent="0.25">
      <c r="I431" s="8">
        <v>28.2741374969</v>
      </c>
      <c r="K431" s="8">
        <v>580</v>
      </c>
      <c r="L431" s="8">
        <v>1.70142817497</v>
      </c>
      <c r="M431" s="8">
        <v>26.294576644900001</v>
      </c>
    </row>
    <row r="432" spans="9:13" x14ac:dyDescent="0.25">
      <c r="I432" s="8">
        <v>47.419853210399999</v>
      </c>
      <c r="K432" s="8">
        <v>581</v>
      </c>
      <c r="L432" s="8">
        <v>75.739181518600006</v>
      </c>
      <c r="M432" s="8">
        <v>46.516235351600002</v>
      </c>
    </row>
    <row r="433" spans="9:13" x14ac:dyDescent="0.25">
      <c r="I433" s="8">
        <v>27.4837703705</v>
      </c>
      <c r="K433" s="8">
        <v>582</v>
      </c>
      <c r="L433" s="8">
        <v>0.60311901569399995</v>
      </c>
      <c r="M433" s="8">
        <v>26.5733966827</v>
      </c>
    </row>
    <row r="434" spans="9:13" x14ac:dyDescent="0.25">
      <c r="I434" s="8">
        <v>21.198902130099999</v>
      </c>
      <c r="K434" s="8">
        <v>583</v>
      </c>
      <c r="L434" s="8">
        <v>6.7892580032299996</v>
      </c>
      <c r="M434" s="8">
        <v>20.7643947601</v>
      </c>
    </row>
    <row r="435" spans="9:13" x14ac:dyDescent="0.25">
      <c r="I435" s="8">
        <v>33.094604492199998</v>
      </c>
      <c r="K435" s="8">
        <v>584</v>
      </c>
      <c r="L435" s="8">
        <v>22.6582374573</v>
      </c>
      <c r="M435" s="8">
        <v>30.4711112976</v>
      </c>
    </row>
    <row r="436" spans="9:13" x14ac:dyDescent="0.25">
      <c r="I436" s="8">
        <v>26.872005462600001</v>
      </c>
      <c r="K436" s="8">
        <v>585</v>
      </c>
      <c r="L436" s="8">
        <v>0.35482889413800001</v>
      </c>
      <c r="M436" s="8">
        <v>26.271167755099999</v>
      </c>
    </row>
    <row r="437" spans="9:13" x14ac:dyDescent="0.25">
      <c r="I437" s="8">
        <v>1.79884970188</v>
      </c>
      <c r="K437" s="8">
        <v>586</v>
      </c>
      <c r="L437" s="8">
        <v>0</v>
      </c>
      <c r="M437" s="8">
        <v>1.79884970188</v>
      </c>
    </row>
    <row r="438" spans="9:13" x14ac:dyDescent="0.25">
      <c r="I438" s="8">
        <v>5.4187488555899996</v>
      </c>
      <c r="K438" s="8">
        <v>587</v>
      </c>
      <c r="L438" s="8">
        <v>0</v>
      </c>
      <c r="M438" s="8">
        <v>5.4160432815600004</v>
      </c>
    </row>
    <row r="439" spans="9:13" x14ac:dyDescent="0.25">
      <c r="I439" s="8">
        <v>52.963390350300003</v>
      </c>
      <c r="K439" s="8">
        <v>588</v>
      </c>
      <c r="L439" s="8">
        <v>3.9546871185299999</v>
      </c>
      <c r="M439" s="8">
        <v>52.031234741200002</v>
      </c>
    </row>
    <row r="440" spans="9:13" x14ac:dyDescent="0.25">
      <c r="I440" s="8">
        <v>55.729988098100002</v>
      </c>
      <c r="K440" s="8">
        <v>589</v>
      </c>
      <c r="L440" s="8">
        <v>0.29188948869699999</v>
      </c>
      <c r="M440" s="8">
        <v>53.569141387899997</v>
      </c>
    </row>
    <row r="441" spans="9:13" x14ac:dyDescent="0.25">
      <c r="I441" s="8">
        <v>38.770004272500003</v>
      </c>
      <c r="K441" s="8">
        <v>590</v>
      </c>
      <c r="L441" s="8">
        <v>3.84731984138</v>
      </c>
      <c r="M441" s="8">
        <v>37.0744972229</v>
      </c>
    </row>
    <row r="442" spans="9:13" x14ac:dyDescent="0.25">
      <c r="I442" s="8">
        <v>37.108665466300003</v>
      </c>
      <c r="K442" s="8">
        <v>591</v>
      </c>
      <c r="L442" s="8">
        <v>9.6900081634500008</v>
      </c>
      <c r="M442" s="8">
        <v>37.040199279799999</v>
      </c>
    </row>
    <row r="443" spans="9:13" x14ac:dyDescent="0.25">
      <c r="I443" s="8">
        <v>29.485033035299999</v>
      </c>
      <c r="K443" s="8">
        <v>592</v>
      </c>
      <c r="L443" s="8">
        <v>4.4906544685399998</v>
      </c>
      <c r="M443" s="8">
        <v>29.204217910800001</v>
      </c>
    </row>
    <row r="444" spans="9:13" x14ac:dyDescent="0.25">
      <c r="I444" s="8">
        <v>16.8245544434</v>
      </c>
      <c r="K444" s="8">
        <v>593</v>
      </c>
      <c r="L444" s="8">
        <v>10.8518066406</v>
      </c>
      <c r="M444" s="8">
        <v>15.568743705699999</v>
      </c>
    </row>
    <row r="445" spans="9:13" x14ac:dyDescent="0.25">
      <c r="I445" s="8">
        <v>10.229552268999999</v>
      </c>
      <c r="K445" s="8">
        <v>594</v>
      </c>
      <c r="L445" s="8">
        <v>11.2449903488</v>
      </c>
      <c r="M445" s="8">
        <v>10.216415405299999</v>
      </c>
    </row>
    <row r="446" spans="9:13" x14ac:dyDescent="0.25">
      <c r="I446" s="8">
        <v>28.067934036299999</v>
      </c>
      <c r="K446" s="8">
        <v>595</v>
      </c>
      <c r="L446" s="8">
        <v>39.865478515600003</v>
      </c>
      <c r="M446" s="8">
        <v>27.959253311200001</v>
      </c>
    </row>
    <row r="447" spans="9:13" x14ac:dyDescent="0.25">
      <c r="I447" s="8">
        <v>28.382192611699999</v>
      </c>
      <c r="K447" s="8">
        <v>596</v>
      </c>
      <c r="L447" s="8">
        <v>24.3159751892</v>
      </c>
      <c r="M447" s="8">
        <v>27.5107421875</v>
      </c>
    </row>
    <row r="448" spans="9:13" x14ac:dyDescent="0.25">
      <c r="I448" s="8">
        <v>21.022710800199999</v>
      </c>
      <c r="K448" s="8">
        <v>597</v>
      </c>
      <c r="L448" s="8">
        <v>1.0632201433199999</v>
      </c>
      <c r="M448" s="8">
        <v>20.589477539099999</v>
      </c>
    </row>
    <row r="449" spans="9:13" x14ac:dyDescent="0.25">
      <c r="I449" s="8">
        <v>16.065702438399999</v>
      </c>
      <c r="K449" s="8">
        <v>598</v>
      </c>
      <c r="L449" s="8">
        <v>9.2493991851799997</v>
      </c>
      <c r="M449" s="8">
        <v>15.915130615200001</v>
      </c>
    </row>
    <row r="450" spans="9:13" x14ac:dyDescent="0.25">
      <c r="I450" s="8">
        <v>25.777894973799999</v>
      </c>
      <c r="K450" s="8">
        <v>599</v>
      </c>
      <c r="L450" s="8">
        <v>1.55666446686</v>
      </c>
      <c r="M450" s="8">
        <v>25.371925353999998</v>
      </c>
    </row>
    <row r="451" spans="9:13" x14ac:dyDescent="0.25">
      <c r="I451" s="8">
        <v>23.745321273799998</v>
      </c>
      <c r="K451" s="8">
        <v>600</v>
      </c>
      <c r="L451" s="8">
        <v>10.200205802899999</v>
      </c>
      <c r="M451" s="8">
        <v>23.317726135299999</v>
      </c>
    </row>
    <row r="452" spans="9:13" x14ac:dyDescent="0.25">
      <c r="I452" s="8">
        <v>20.472009658800001</v>
      </c>
      <c r="K452" s="8">
        <v>601</v>
      </c>
      <c r="L452" s="8">
        <v>6.9376983642600001</v>
      </c>
      <c r="M452" s="8">
        <v>20.137590408299999</v>
      </c>
    </row>
    <row r="453" spans="9:13" x14ac:dyDescent="0.25">
      <c r="I453" s="8">
        <v>17.934686660800001</v>
      </c>
      <c r="K453" s="8">
        <v>602</v>
      </c>
      <c r="L453" s="8">
        <v>2.5321304798100002</v>
      </c>
      <c r="M453" s="8">
        <v>17.711463928200001</v>
      </c>
    </row>
    <row r="454" spans="9:13" x14ac:dyDescent="0.25">
      <c r="I454" s="8">
        <v>53.318328857399997</v>
      </c>
      <c r="K454" s="8">
        <v>603</v>
      </c>
      <c r="L454" s="8">
        <v>6.87504196167</v>
      </c>
      <c r="M454" s="8">
        <v>49.277118682900003</v>
      </c>
    </row>
    <row r="455" spans="9:13" x14ac:dyDescent="0.25">
      <c r="I455" s="8">
        <v>39.820220947300001</v>
      </c>
      <c r="K455" s="8">
        <v>604</v>
      </c>
      <c r="L455" s="8">
        <v>2.7497129440300001</v>
      </c>
      <c r="M455" s="8">
        <v>39.751773834200002</v>
      </c>
    </row>
    <row r="456" spans="9:13" x14ac:dyDescent="0.25">
      <c r="I456" s="8">
        <v>46.198890685999999</v>
      </c>
      <c r="K456" s="8">
        <v>605</v>
      </c>
      <c r="L456" s="8">
        <v>1.95501327515</v>
      </c>
      <c r="M456" s="8">
        <v>42.164844512899997</v>
      </c>
    </row>
    <row r="457" spans="9:13" x14ac:dyDescent="0.25">
      <c r="I457" s="8">
        <v>28.791309356700001</v>
      </c>
      <c r="K457" s="8">
        <v>606</v>
      </c>
      <c r="L457" s="8">
        <v>3.5513455867800001</v>
      </c>
      <c r="M457" s="8">
        <v>27.961189269999998</v>
      </c>
    </row>
    <row r="458" spans="9:13" x14ac:dyDescent="0.25">
      <c r="I458" s="8">
        <v>23.3971004486</v>
      </c>
      <c r="K458" s="8">
        <v>607</v>
      </c>
      <c r="L458" s="8">
        <v>2.20757961273</v>
      </c>
      <c r="M458" s="8">
        <v>23.2651329041</v>
      </c>
    </row>
    <row r="459" spans="9:13" x14ac:dyDescent="0.25">
      <c r="I459" s="8">
        <v>25.096429824800001</v>
      </c>
      <c r="K459" s="8">
        <v>608</v>
      </c>
      <c r="L459" s="8">
        <v>4.4151592254600001</v>
      </c>
      <c r="M459" s="8">
        <v>24.964464187600001</v>
      </c>
    </row>
    <row r="460" spans="9:13" x14ac:dyDescent="0.25">
      <c r="I460" s="8">
        <v>12.698188781700001</v>
      </c>
      <c r="K460" s="8">
        <v>609</v>
      </c>
      <c r="L460" s="8">
        <v>0</v>
      </c>
      <c r="M460" s="8">
        <v>12.701297759999999</v>
      </c>
    </row>
    <row r="461" spans="9:13" x14ac:dyDescent="0.25">
      <c r="I461" s="8">
        <v>17.1649208069</v>
      </c>
      <c r="K461" s="8">
        <v>610</v>
      </c>
      <c r="L461" s="8">
        <v>5.0524864196800001</v>
      </c>
      <c r="M461" s="8">
        <v>15.794095992999999</v>
      </c>
    </row>
    <row r="462" spans="9:13" x14ac:dyDescent="0.25">
      <c r="I462" s="8">
        <v>21.052560806300001</v>
      </c>
      <c r="K462" s="8">
        <v>611</v>
      </c>
      <c r="L462" s="8">
        <v>0.44576129317300001</v>
      </c>
      <c r="M462" s="8">
        <v>20.841896057100001</v>
      </c>
    </row>
    <row r="463" spans="9:13" x14ac:dyDescent="0.25">
      <c r="I463" s="8">
        <v>20.893499374400001</v>
      </c>
      <c r="K463" s="8">
        <v>612</v>
      </c>
      <c r="L463" s="8">
        <v>4.61000823975</v>
      </c>
      <c r="M463" s="8">
        <v>20.092004776</v>
      </c>
    </row>
    <row r="464" spans="9:13" x14ac:dyDescent="0.25">
      <c r="I464" s="8">
        <v>43.011611938500003</v>
      </c>
      <c r="K464" s="8">
        <v>613</v>
      </c>
      <c r="L464" s="8">
        <v>23.445533752399999</v>
      </c>
      <c r="M464" s="8">
        <v>42.445713043200001</v>
      </c>
    </row>
    <row r="465" spans="9:13" x14ac:dyDescent="0.25">
      <c r="I465" s="8">
        <v>44.871826171899997</v>
      </c>
      <c r="K465" s="8">
        <v>614</v>
      </c>
      <c r="L465" s="8">
        <v>47.228759765600003</v>
      </c>
      <c r="M465" s="8">
        <v>43.455245971700002</v>
      </c>
    </row>
    <row r="466" spans="9:13" x14ac:dyDescent="0.25">
      <c r="I466" s="8">
        <v>28.153074264499999</v>
      </c>
      <c r="K466" s="8">
        <v>615</v>
      </c>
      <c r="L466" s="8">
        <v>10.4859476089</v>
      </c>
      <c r="M466" s="8">
        <v>27.695678710900001</v>
      </c>
    </row>
    <row r="467" spans="9:13" x14ac:dyDescent="0.25">
      <c r="I467" s="8">
        <v>25.3919029236</v>
      </c>
      <c r="K467" s="8">
        <v>616</v>
      </c>
      <c r="L467" s="8">
        <v>2.0624182224299998</v>
      </c>
      <c r="M467" s="8">
        <v>24.988101959200002</v>
      </c>
    </row>
    <row r="468" spans="9:13" x14ac:dyDescent="0.25">
      <c r="I468" s="8">
        <v>26.771020889300001</v>
      </c>
      <c r="K468" s="8">
        <v>617</v>
      </c>
      <c r="L468" s="8">
        <v>24.2011375427</v>
      </c>
      <c r="M468" s="8">
        <v>26.620752334599999</v>
      </c>
    </row>
    <row r="469" spans="9:13" x14ac:dyDescent="0.25">
      <c r="I469" s="8">
        <v>51.225933075</v>
      </c>
      <c r="K469" s="8">
        <v>618</v>
      </c>
      <c r="L469" s="8">
        <v>16.438579559299999</v>
      </c>
      <c r="M469" s="8">
        <v>50.671169280999997</v>
      </c>
    </row>
    <row r="470" spans="9:13" x14ac:dyDescent="0.25">
      <c r="I470" s="8">
        <v>48.765785217299999</v>
      </c>
      <c r="K470" s="8">
        <v>619</v>
      </c>
      <c r="L470" s="8">
        <v>8.2029209136999999</v>
      </c>
      <c r="M470" s="8">
        <v>48.371387481699998</v>
      </c>
    </row>
    <row r="471" spans="9:13" x14ac:dyDescent="0.25">
      <c r="I471" s="8">
        <v>55.828128814700001</v>
      </c>
      <c r="K471" s="8">
        <v>620</v>
      </c>
      <c r="L471" s="8">
        <v>3.3968892097499999</v>
      </c>
      <c r="M471" s="8">
        <v>53.148990631099998</v>
      </c>
    </row>
    <row r="472" spans="9:13" x14ac:dyDescent="0.25">
      <c r="I472" s="8">
        <v>50.613033294700003</v>
      </c>
      <c r="K472" s="8">
        <v>621</v>
      </c>
      <c r="L472" s="8">
        <v>6.7937784194899997</v>
      </c>
      <c r="M472" s="8">
        <v>48.185634612999998</v>
      </c>
    </row>
    <row r="473" spans="9:13" x14ac:dyDescent="0.25">
      <c r="I473" s="8">
        <v>67.180053710899998</v>
      </c>
      <c r="K473" s="8">
        <v>622</v>
      </c>
      <c r="L473" s="8">
        <v>8.0424499511699992</v>
      </c>
      <c r="M473" s="8">
        <v>64.513153076199998</v>
      </c>
    </row>
    <row r="474" spans="9:13" x14ac:dyDescent="0.25">
      <c r="I474" s="8">
        <v>75.740310668899994</v>
      </c>
      <c r="K474" s="8">
        <v>623</v>
      </c>
      <c r="L474" s="8">
        <v>7.5530786514299999</v>
      </c>
      <c r="M474" s="8">
        <v>69.304145813000005</v>
      </c>
    </row>
    <row r="475" spans="9:13" x14ac:dyDescent="0.25">
      <c r="I475" s="8">
        <v>38.419563293499998</v>
      </c>
      <c r="K475" s="8">
        <v>624</v>
      </c>
      <c r="L475" s="8">
        <v>36.616897582999997</v>
      </c>
      <c r="M475" s="8">
        <v>37.691047668499998</v>
      </c>
    </row>
    <row r="476" spans="9:13" x14ac:dyDescent="0.25">
      <c r="I476" s="8">
        <v>42.169349670400003</v>
      </c>
      <c r="K476" s="8">
        <v>625</v>
      </c>
      <c r="L476" s="8">
        <v>25.1283378601</v>
      </c>
      <c r="M476" s="8">
        <v>40.877368926999999</v>
      </c>
    </row>
    <row r="477" spans="9:13" x14ac:dyDescent="0.25">
      <c r="I477" s="8">
        <v>61.520576477100001</v>
      </c>
      <c r="K477" s="8">
        <v>626</v>
      </c>
      <c r="L477" s="8">
        <v>30.850929260299999</v>
      </c>
      <c r="M477" s="8">
        <v>52.036270141599999</v>
      </c>
    </row>
    <row r="478" spans="9:13" x14ac:dyDescent="0.25">
      <c r="I478" s="8">
        <v>25.190000534100001</v>
      </c>
      <c r="K478" s="8">
        <v>627</v>
      </c>
      <c r="L478" s="8">
        <v>113.18838501</v>
      </c>
      <c r="M478" s="8">
        <v>25.190000534100001</v>
      </c>
    </row>
    <row r="479" spans="9:13" x14ac:dyDescent="0.25">
      <c r="I479" s="8">
        <v>25.190000534100001</v>
      </c>
      <c r="K479" s="8">
        <v>628</v>
      </c>
      <c r="L479" s="8">
        <v>5.33333301544</v>
      </c>
      <c r="M479" s="8">
        <v>25.190000534100001</v>
      </c>
    </row>
    <row r="480" spans="9:13" x14ac:dyDescent="0.25">
      <c r="I480" s="8">
        <v>66.405509948700001</v>
      </c>
      <c r="K480" s="8">
        <v>629</v>
      </c>
      <c r="L480" s="8">
        <v>10.769262313800001</v>
      </c>
      <c r="M480" s="8">
        <v>60.557449340799998</v>
      </c>
    </row>
    <row r="481" spans="9:13" x14ac:dyDescent="0.25">
      <c r="I481" s="8">
        <v>52.102142334</v>
      </c>
      <c r="K481" s="8">
        <v>630</v>
      </c>
      <c r="L481" s="8">
        <v>0.68200528621699996</v>
      </c>
      <c r="M481" s="8">
        <v>47.651168823200003</v>
      </c>
    </row>
    <row r="482" spans="9:13" x14ac:dyDescent="0.25">
      <c r="I482" s="8">
        <v>61.970767974899999</v>
      </c>
      <c r="K482" s="8">
        <v>631</v>
      </c>
      <c r="L482" s="8">
        <v>1.3653182983400001</v>
      </c>
      <c r="M482" s="8">
        <v>57.574768066399997</v>
      </c>
    </row>
    <row r="483" spans="9:13" x14ac:dyDescent="0.25">
      <c r="I483" s="8">
        <v>55.882598877</v>
      </c>
      <c r="K483" s="8">
        <v>632</v>
      </c>
      <c r="L483" s="8">
        <v>0.35263276100199997</v>
      </c>
      <c r="M483" s="8">
        <v>53.854125976600002</v>
      </c>
    </row>
    <row r="484" spans="9:13" x14ac:dyDescent="0.25">
      <c r="I484" s="8">
        <v>64.101593017599996</v>
      </c>
      <c r="K484" s="8">
        <v>633</v>
      </c>
      <c r="L484" s="8">
        <v>0.66377121210099999</v>
      </c>
      <c r="M484" s="8">
        <v>57.371879577599998</v>
      </c>
    </row>
    <row r="485" spans="9:13" x14ac:dyDescent="0.25">
      <c r="I485" s="8">
        <v>78.667953491199995</v>
      </c>
      <c r="K485" s="8">
        <v>634</v>
      </c>
      <c r="L485" s="8">
        <v>1.5769572258</v>
      </c>
      <c r="M485" s="8">
        <v>77.366348266599999</v>
      </c>
    </row>
    <row r="486" spans="9:13" x14ac:dyDescent="0.25">
      <c r="I486" s="8">
        <v>50.497898101799997</v>
      </c>
      <c r="K486" s="8">
        <v>635</v>
      </c>
      <c r="L486" s="8">
        <v>1.92010259628</v>
      </c>
      <c r="M486" s="8">
        <v>50.169864654500003</v>
      </c>
    </row>
    <row r="487" spans="9:13" x14ac:dyDescent="0.25">
      <c r="I487" s="8">
        <v>61.8324508667</v>
      </c>
      <c r="K487" s="8">
        <v>636</v>
      </c>
      <c r="L487" s="8">
        <v>30.385179519699999</v>
      </c>
      <c r="M487" s="8">
        <v>53.275627136200001</v>
      </c>
    </row>
    <row r="488" spans="9:13" x14ac:dyDescent="0.25">
      <c r="I488" s="8">
        <v>89.989715576199998</v>
      </c>
      <c r="K488" s="8">
        <v>637</v>
      </c>
      <c r="L488" s="8">
        <v>44.092086792000003</v>
      </c>
      <c r="M488" s="8">
        <v>79.288719177199994</v>
      </c>
    </row>
    <row r="489" spans="9:13" x14ac:dyDescent="0.25">
      <c r="I489" s="8">
        <v>53.959884643599999</v>
      </c>
      <c r="K489" s="8">
        <v>638</v>
      </c>
      <c r="L489" s="8">
        <v>8.9029340743999992</v>
      </c>
      <c r="M489" s="8">
        <v>48.136379241900002</v>
      </c>
    </row>
    <row r="490" spans="9:13" x14ac:dyDescent="0.25">
      <c r="I490" s="8">
        <v>71.434669494600001</v>
      </c>
      <c r="K490" s="8">
        <v>639</v>
      </c>
      <c r="L490" s="8">
        <v>27.5402526855</v>
      </c>
      <c r="M490" s="8">
        <v>65.766159057600007</v>
      </c>
    </row>
    <row r="491" spans="9:13" x14ac:dyDescent="0.25">
      <c r="I491" s="8">
        <v>56.923835754400002</v>
      </c>
      <c r="K491" s="8">
        <v>640</v>
      </c>
      <c r="L491" s="8">
        <v>40.695423126199998</v>
      </c>
      <c r="M491" s="8">
        <v>48.2350006104</v>
      </c>
    </row>
    <row r="492" spans="9:13" x14ac:dyDescent="0.25">
      <c r="I492" s="8">
        <v>44.574081420900001</v>
      </c>
      <c r="K492" s="8">
        <v>641</v>
      </c>
      <c r="L492" s="8">
        <v>48.6161155701</v>
      </c>
      <c r="M492" s="8">
        <v>37.943775176999999</v>
      </c>
    </row>
    <row r="493" spans="9:13" x14ac:dyDescent="0.25">
      <c r="I493" s="8">
        <v>46.991035461400003</v>
      </c>
      <c r="K493" s="8">
        <v>642</v>
      </c>
      <c r="L493" s="8">
        <v>38.538928985600002</v>
      </c>
      <c r="M493" s="8">
        <v>41.187862396200003</v>
      </c>
    </row>
    <row r="494" spans="9:13" x14ac:dyDescent="0.25">
      <c r="I494" s="8">
        <v>78.623039245599998</v>
      </c>
      <c r="K494" s="8">
        <v>643</v>
      </c>
      <c r="L494" s="8">
        <v>27.4399623871</v>
      </c>
      <c r="M494" s="8">
        <v>67.784019470199993</v>
      </c>
    </row>
    <row r="495" spans="9:13" x14ac:dyDescent="0.25">
      <c r="I495" s="8">
        <v>59.470481872599997</v>
      </c>
      <c r="K495" s="8">
        <v>644</v>
      </c>
      <c r="L495" s="8">
        <v>23.612552642800001</v>
      </c>
      <c r="M495" s="8">
        <v>50.554649353000002</v>
      </c>
    </row>
    <row r="496" spans="9:13" x14ac:dyDescent="0.25">
      <c r="I496" s="8">
        <v>63.669082641599999</v>
      </c>
      <c r="K496" s="8">
        <v>645</v>
      </c>
      <c r="L496" s="8">
        <v>378.831298828</v>
      </c>
      <c r="M496" s="8">
        <v>62.903713226299999</v>
      </c>
    </row>
    <row r="497" spans="9:13" x14ac:dyDescent="0.25">
      <c r="I497" s="8">
        <v>64.854965210000003</v>
      </c>
      <c r="K497" s="8">
        <v>646</v>
      </c>
      <c r="L497" s="8">
        <v>291.28067016599999</v>
      </c>
      <c r="M497" s="8">
        <v>63.501861572300001</v>
      </c>
    </row>
    <row r="498" spans="9:13" x14ac:dyDescent="0.25">
      <c r="I498" s="8">
        <v>51.892528533899998</v>
      </c>
      <c r="K498" s="8">
        <v>647</v>
      </c>
      <c r="L498" s="8">
        <v>232.15028381299999</v>
      </c>
      <c r="M498" s="8">
        <v>48.794589996299997</v>
      </c>
    </row>
    <row r="499" spans="9:13" x14ac:dyDescent="0.25">
      <c r="I499" s="8">
        <v>55.746742248499999</v>
      </c>
      <c r="K499" s="8">
        <v>648</v>
      </c>
      <c r="L499" s="8">
        <v>319.56405639600001</v>
      </c>
      <c r="M499" s="8">
        <v>50.3696250916</v>
      </c>
    </row>
    <row r="500" spans="9:13" x14ac:dyDescent="0.25">
      <c r="I500" s="8">
        <v>46.8231697083</v>
      </c>
      <c r="K500" s="8">
        <v>649</v>
      </c>
      <c r="L500" s="8">
        <v>209.21939086899999</v>
      </c>
      <c r="M500" s="8">
        <v>44.717082977300002</v>
      </c>
    </row>
    <row r="501" spans="9:13" x14ac:dyDescent="0.25">
      <c r="I501" s="8">
        <v>96.314125060999999</v>
      </c>
      <c r="K501" s="8">
        <v>651</v>
      </c>
      <c r="L501" s="8">
        <v>16.6919517517</v>
      </c>
      <c r="M501" s="8">
        <v>85.132530212399999</v>
      </c>
    </row>
    <row r="502" spans="9:13" x14ac:dyDescent="0.25">
      <c r="I502" s="8">
        <v>45.296928405800003</v>
      </c>
      <c r="K502" s="8">
        <v>652</v>
      </c>
      <c r="L502" s="8">
        <v>193.89154052699999</v>
      </c>
      <c r="M502" s="8">
        <v>42.624401092500001</v>
      </c>
    </row>
    <row r="503" spans="9:13" x14ac:dyDescent="0.25">
      <c r="I503" s="8">
        <v>62.532814025900002</v>
      </c>
      <c r="K503" s="8">
        <v>653</v>
      </c>
      <c r="L503" s="8">
        <v>47.780990600599999</v>
      </c>
      <c r="M503" s="8">
        <v>52.472732543900001</v>
      </c>
    </row>
    <row r="504" spans="9:13" x14ac:dyDescent="0.25">
      <c r="I504" s="8">
        <v>64.465568542499994</v>
      </c>
      <c r="K504" s="8">
        <v>654</v>
      </c>
      <c r="L504" s="8">
        <v>15.061408996600001</v>
      </c>
      <c r="M504" s="8">
        <v>55.041042327900001</v>
      </c>
    </row>
    <row r="505" spans="9:13" x14ac:dyDescent="0.25">
      <c r="I505" s="8">
        <v>67.130493164100002</v>
      </c>
      <c r="K505" s="8">
        <v>655</v>
      </c>
      <c r="L505" s="8">
        <v>61.137413024899999</v>
      </c>
      <c r="M505" s="8">
        <v>64.099266052199994</v>
      </c>
    </row>
    <row r="506" spans="9:13" x14ac:dyDescent="0.25">
      <c r="I506" s="8">
        <v>84.327865600600006</v>
      </c>
      <c r="K506" s="8">
        <v>656</v>
      </c>
      <c r="L506" s="8">
        <v>565.84844970699999</v>
      </c>
      <c r="M506" s="8">
        <v>72.830741882300003</v>
      </c>
    </row>
    <row r="507" spans="9:13" x14ac:dyDescent="0.25">
      <c r="I507" s="8">
        <v>69.371910095199993</v>
      </c>
      <c r="K507" s="8">
        <v>657</v>
      </c>
      <c r="L507" s="8">
        <v>64.714508056599996</v>
      </c>
      <c r="M507" s="8">
        <v>60.818187713599997</v>
      </c>
    </row>
    <row r="508" spans="9:13" x14ac:dyDescent="0.25">
      <c r="I508" s="8">
        <v>69.020896911600005</v>
      </c>
      <c r="K508" s="8">
        <v>658</v>
      </c>
      <c r="L508" s="8">
        <v>20.028440475499998</v>
      </c>
      <c r="M508" s="8">
        <v>65.082305908199999</v>
      </c>
    </row>
    <row r="509" spans="9:13" x14ac:dyDescent="0.25">
      <c r="I509" s="8">
        <v>76.191154479999994</v>
      </c>
      <c r="K509" s="8">
        <v>659</v>
      </c>
      <c r="L509" s="8">
        <v>53.488590240500002</v>
      </c>
      <c r="M509" s="8">
        <v>65.113822936999995</v>
      </c>
    </row>
    <row r="510" spans="9:13" x14ac:dyDescent="0.25">
      <c r="I510" s="8">
        <v>91.685256957999997</v>
      </c>
      <c r="K510" s="8">
        <v>660</v>
      </c>
      <c r="L510" s="8">
        <v>15.6211500168</v>
      </c>
      <c r="M510" s="8">
        <v>78.743476867699997</v>
      </c>
    </row>
    <row r="511" spans="9:13" x14ac:dyDescent="0.25">
      <c r="I511" s="8">
        <v>116.07747650100001</v>
      </c>
      <c r="K511" s="8">
        <v>661</v>
      </c>
      <c r="L511" s="8">
        <v>4.4922819137600003</v>
      </c>
      <c r="M511" s="8">
        <v>100.62766265899999</v>
      </c>
    </row>
    <row r="512" spans="9:13" x14ac:dyDescent="0.25">
      <c r="I512" s="8">
        <v>108.79365539600001</v>
      </c>
      <c r="K512" s="8">
        <v>662</v>
      </c>
      <c r="L512" s="8">
        <v>147.44039917000001</v>
      </c>
      <c r="M512" s="8">
        <v>94.972595214799995</v>
      </c>
    </row>
    <row r="513" spans="9:13" x14ac:dyDescent="0.25">
      <c r="I513" s="8">
        <v>95.296058654800007</v>
      </c>
      <c r="K513" s="8">
        <v>663</v>
      </c>
      <c r="L513" s="8">
        <v>50.465511321999998</v>
      </c>
      <c r="M513" s="8">
        <v>82.717857360799997</v>
      </c>
    </row>
    <row r="514" spans="9:13" x14ac:dyDescent="0.25">
      <c r="I514" s="8">
        <v>82.690505981399994</v>
      </c>
      <c r="K514" s="8">
        <v>664</v>
      </c>
      <c r="L514" s="8">
        <v>24.580974578900001</v>
      </c>
      <c r="M514" s="8">
        <v>69.436256408700004</v>
      </c>
    </row>
    <row r="515" spans="9:13" x14ac:dyDescent="0.25">
      <c r="I515" s="8">
        <v>68.558250427199994</v>
      </c>
      <c r="K515" s="8">
        <v>665</v>
      </c>
      <c r="L515" s="8">
        <v>39.637180328399999</v>
      </c>
      <c r="M515" s="8">
        <v>61.3672828674</v>
      </c>
    </row>
    <row r="516" spans="9:13" x14ac:dyDescent="0.25">
      <c r="I516" s="8">
        <v>70.712814331100006</v>
      </c>
      <c r="K516" s="8">
        <v>666</v>
      </c>
      <c r="L516" s="8">
        <v>43.126728057900003</v>
      </c>
      <c r="M516" s="8">
        <v>59.669563293499998</v>
      </c>
    </row>
    <row r="517" spans="9:13" x14ac:dyDescent="0.25">
      <c r="I517" s="8">
        <v>82.091911315900006</v>
      </c>
      <c r="K517" s="8">
        <v>667</v>
      </c>
      <c r="L517" s="8">
        <v>21.906482696499999</v>
      </c>
      <c r="M517" s="8">
        <v>71.4255981445</v>
      </c>
    </row>
    <row r="518" spans="9:13" x14ac:dyDescent="0.25">
      <c r="I518" s="8">
        <v>57.422679901099997</v>
      </c>
      <c r="K518" s="8">
        <v>668</v>
      </c>
      <c r="L518" s="8">
        <v>70.2666015625</v>
      </c>
      <c r="M518" s="8">
        <v>47.7974777222</v>
      </c>
    </row>
    <row r="519" spans="9:13" x14ac:dyDescent="0.25">
      <c r="I519" s="8">
        <v>81.998970031699997</v>
      </c>
      <c r="K519" s="8">
        <v>669</v>
      </c>
      <c r="L519" s="8">
        <v>83.877166747999993</v>
      </c>
      <c r="M519" s="8">
        <v>70.759849548299997</v>
      </c>
    </row>
    <row r="520" spans="9:13" x14ac:dyDescent="0.25">
      <c r="I520" s="8">
        <v>64.422996521000002</v>
      </c>
      <c r="K520" s="8">
        <v>670</v>
      </c>
      <c r="L520" s="8">
        <v>38.366802215600003</v>
      </c>
      <c r="M520" s="8">
        <v>53.5341567993</v>
      </c>
    </row>
    <row r="521" spans="9:13" x14ac:dyDescent="0.25">
      <c r="I521" s="8">
        <v>60.788124084499998</v>
      </c>
      <c r="K521" s="8">
        <v>671</v>
      </c>
      <c r="L521" s="8">
        <v>27.862701416</v>
      </c>
      <c r="M521" s="8">
        <v>49.918785095200001</v>
      </c>
    </row>
    <row r="522" spans="9:13" x14ac:dyDescent="0.25">
      <c r="I522" s="8">
        <v>51.657539367699997</v>
      </c>
      <c r="K522" s="8">
        <v>672</v>
      </c>
      <c r="L522" s="8">
        <v>38.745250701899998</v>
      </c>
      <c r="M522" s="8">
        <v>43.673866271999998</v>
      </c>
    </row>
    <row r="523" spans="9:13" x14ac:dyDescent="0.25">
      <c r="I523" s="8">
        <v>62.589729309100001</v>
      </c>
      <c r="K523" s="8">
        <v>673</v>
      </c>
      <c r="L523" s="8">
        <v>73.836601257300003</v>
      </c>
      <c r="M523" s="8">
        <v>54.735172271700002</v>
      </c>
    </row>
    <row r="524" spans="9:13" x14ac:dyDescent="0.25">
      <c r="I524" s="8">
        <v>48.438377380399999</v>
      </c>
      <c r="K524" s="8">
        <v>674</v>
      </c>
      <c r="L524" s="8">
        <v>45.480449676500001</v>
      </c>
      <c r="M524" s="8">
        <v>39.627548217799998</v>
      </c>
    </row>
    <row r="525" spans="9:13" x14ac:dyDescent="0.25">
      <c r="I525" s="8">
        <v>65.915428161600005</v>
      </c>
      <c r="K525" s="8">
        <v>675</v>
      </c>
      <c r="L525" s="8">
        <v>38.0901222229</v>
      </c>
      <c r="M525" s="8">
        <v>56.583312988300001</v>
      </c>
    </row>
    <row r="526" spans="9:13" x14ac:dyDescent="0.25">
      <c r="I526" s="8">
        <v>73.4273147583</v>
      </c>
      <c r="K526" s="8">
        <v>676</v>
      </c>
      <c r="L526" s="8">
        <v>20.4485931396</v>
      </c>
      <c r="M526" s="8">
        <v>73.228385925300003</v>
      </c>
    </row>
    <row r="527" spans="9:13" x14ac:dyDescent="0.25">
      <c r="I527" s="8">
        <v>87.290893554700006</v>
      </c>
      <c r="K527" s="8">
        <v>677</v>
      </c>
      <c r="L527" s="8">
        <v>18.033380508400001</v>
      </c>
      <c r="M527" s="8">
        <v>83.2054977417</v>
      </c>
    </row>
    <row r="528" spans="9:13" x14ac:dyDescent="0.25">
      <c r="I528" s="8">
        <v>78.644096374499995</v>
      </c>
      <c r="K528" s="8">
        <v>678</v>
      </c>
      <c r="L528" s="8">
        <v>17.933380127</v>
      </c>
      <c r="M528" s="8">
        <v>74.639366149899999</v>
      </c>
    </row>
    <row r="529" spans="9:13" x14ac:dyDescent="0.25">
      <c r="I529" s="8">
        <v>79.237716674799998</v>
      </c>
      <c r="K529" s="8">
        <v>679</v>
      </c>
      <c r="L529" s="8">
        <v>13.7214441299</v>
      </c>
      <c r="M529" s="8">
        <v>77.245635986300002</v>
      </c>
    </row>
    <row r="530" spans="9:13" x14ac:dyDescent="0.25">
      <c r="I530" s="8">
        <v>86.540145874000004</v>
      </c>
      <c r="K530" s="8">
        <v>680</v>
      </c>
      <c r="L530" s="8">
        <v>7.8851795196500003</v>
      </c>
      <c r="M530" s="8">
        <v>82.113395690900006</v>
      </c>
    </row>
    <row r="531" spans="9:13" x14ac:dyDescent="0.25">
      <c r="I531" s="8">
        <v>77.973098754899993</v>
      </c>
      <c r="K531" s="8">
        <v>681</v>
      </c>
      <c r="L531" s="8">
        <v>10.0294141769</v>
      </c>
      <c r="M531" s="8">
        <v>76.929496765099998</v>
      </c>
    </row>
    <row r="532" spans="9:13" x14ac:dyDescent="0.25">
      <c r="I532" s="8">
        <v>91.139846801800005</v>
      </c>
      <c r="K532" s="8">
        <v>682</v>
      </c>
      <c r="L532" s="8">
        <v>83.464576721200004</v>
      </c>
      <c r="M532" s="8">
        <v>84.650856018100001</v>
      </c>
    </row>
    <row r="533" spans="9:13" x14ac:dyDescent="0.25">
      <c r="I533" s="8">
        <v>83.684173584000007</v>
      </c>
      <c r="K533" s="8">
        <v>683</v>
      </c>
      <c r="L533" s="8">
        <v>13.077335357700001</v>
      </c>
      <c r="M533" s="8">
        <v>83.305335998499999</v>
      </c>
    </row>
    <row r="534" spans="9:13" x14ac:dyDescent="0.25">
      <c r="I534" s="8">
        <v>83.3252410889</v>
      </c>
      <c r="K534" s="8">
        <v>684</v>
      </c>
      <c r="L534" s="8">
        <v>16.2994098663</v>
      </c>
      <c r="M534" s="8">
        <v>83.069366455099996</v>
      </c>
    </row>
    <row r="535" spans="9:13" x14ac:dyDescent="0.25">
      <c r="I535" s="8">
        <v>70.772636413599997</v>
      </c>
      <c r="K535" s="8">
        <v>685</v>
      </c>
      <c r="L535" s="8">
        <v>1.9999998807899999</v>
      </c>
      <c r="M535" s="8">
        <v>70.758796691900002</v>
      </c>
    </row>
    <row r="536" spans="9:13" x14ac:dyDescent="0.25">
      <c r="I536" s="8">
        <v>71.223915100100001</v>
      </c>
      <c r="K536" s="8">
        <v>686</v>
      </c>
      <c r="L536" s="8">
        <v>15.745605468799999</v>
      </c>
      <c r="M536" s="8">
        <v>69.499671935999999</v>
      </c>
    </row>
    <row r="537" spans="9:13" x14ac:dyDescent="0.25">
      <c r="I537" s="8">
        <v>52.405311584499998</v>
      </c>
      <c r="K537" s="8">
        <v>687</v>
      </c>
      <c r="L537" s="8">
        <v>14.751680374099999</v>
      </c>
      <c r="M537" s="8">
        <v>51.268199920699999</v>
      </c>
    </row>
    <row r="538" spans="9:13" x14ac:dyDescent="0.25">
      <c r="I538" s="8">
        <v>57.284389495799999</v>
      </c>
      <c r="K538" s="8">
        <v>688</v>
      </c>
      <c r="L538" s="8">
        <v>8.6932106018099997</v>
      </c>
      <c r="M538" s="8">
        <v>56.890033721899997</v>
      </c>
    </row>
    <row r="539" spans="9:13" x14ac:dyDescent="0.25">
      <c r="I539" s="8">
        <v>54.783058166499998</v>
      </c>
      <c r="K539" s="8">
        <v>689</v>
      </c>
      <c r="L539" s="8">
        <v>6.4831485748300004</v>
      </c>
      <c r="M539" s="8">
        <v>53.637222289999997</v>
      </c>
    </row>
    <row r="540" spans="9:13" x14ac:dyDescent="0.25">
      <c r="I540" s="8">
        <v>61.6071662903</v>
      </c>
      <c r="K540" s="8">
        <v>690</v>
      </c>
      <c r="L540" s="8">
        <v>12.885052680999999</v>
      </c>
      <c r="M540" s="8">
        <v>59.856208801299999</v>
      </c>
    </row>
    <row r="541" spans="9:13" x14ac:dyDescent="0.25">
      <c r="I541" s="8">
        <v>82.899642944299998</v>
      </c>
      <c r="K541" s="8">
        <v>691</v>
      </c>
      <c r="L541" s="8">
        <v>163.78684997600001</v>
      </c>
      <c r="M541" s="8">
        <v>81.9131317139</v>
      </c>
    </row>
    <row r="542" spans="9:13" x14ac:dyDescent="0.25">
      <c r="I542" s="8">
        <v>89.646583557100001</v>
      </c>
      <c r="K542" s="8">
        <v>692</v>
      </c>
      <c r="L542" s="8">
        <v>46.703826904300001</v>
      </c>
      <c r="M542" s="8">
        <v>84.920440673800002</v>
      </c>
    </row>
    <row r="543" spans="9:13" x14ac:dyDescent="0.25">
      <c r="I543" s="8">
        <v>77.619232177699999</v>
      </c>
      <c r="K543" s="8">
        <v>693</v>
      </c>
      <c r="L543" s="8">
        <v>162.67958068799999</v>
      </c>
      <c r="M543" s="8">
        <v>76.704315185499993</v>
      </c>
    </row>
    <row r="544" spans="9:13" x14ac:dyDescent="0.25">
      <c r="I544" s="8">
        <v>83.120841979999994</v>
      </c>
      <c r="K544" s="8">
        <v>694</v>
      </c>
      <c r="L544" s="8">
        <v>231.89213562</v>
      </c>
      <c r="M544" s="8">
        <v>78.368743896500007</v>
      </c>
    </row>
    <row r="545" spans="9:13" x14ac:dyDescent="0.25">
      <c r="I545" s="8">
        <v>95.789978027299995</v>
      </c>
      <c r="K545" s="8">
        <v>695</v>
      </c>
      <c r="L545" s="8">
        <v>129.37986755399999</v>
      </c>
      <c r="M545" s="8">
        <v>91.915710449200006</v>
      </c>
    </row>
    <row r="546" spans="9:13" x14ac:dyDescent="0.25">
      <c r="I546" s="8">
        <v>59.6950340271</v>
      </c>
      <c r="K546" s="8">
        <v>696</v>
      </c>
      <c r="L546" s="8">
        <v>10.3077602386</v>
      </c>
      <c r="M546" s="8">
        <v>56.206504821800003</v>
      </c>
    </row>
    <row r="547" spans="9:13" x14ac:dyDescent="0.25">
      <c r="I547" s="8">
        <v>43.475868225100001</v>
      </c>
      <c r="K547" s="8">
        <v>697</v>
      </c>
      <c r="L547" s="8">
        <v>36.136482238799999</v>
      </c>
      <c r="M547" s="8">
        <v>43.083671569800003</v>
      </c>
    </row>
    <row r="548" spans="9:13" x14ac:dyDescent="0.25">
      <c r="I548" s="8">
        <v>42.1451568604</v>
      </c>
      <c r="K548" s="8">
        <v>698</v>
      </c>
      <c r="L548" s="8">
        <v>22.919494628900001</v>
      </c>
      <c r="M548" s="8">
        <v>41.521091461200001</v>
      </c>
    </row>
    <row r="549" spans="9:13" x14ac:dyDescent="0.25">
      <c r="I549" s="8">
        <v>30.947607040400001</v>
      </c>
      <c r="K549" s="8">
        <v>699</v>
      </c>
      <c r="L549" s="8">
        <v>30.132349014300001</v>
      </c>
      <c r="M549" s="8">
        <v>30.292022705099999</v>
      </c>
    </row>
    <row r="550" spans="9:13" x14ac:dyDescent="0.25">
      <c r="I550" s="8">
        <v>29.7271537781</v>
      </c>
      <c r="K550" s="8">
        <v>700</v>
      </c>
      <c r="L550" s="8">
        <v>25.0102329254</v>
      </c>
      <c r="M550" s="8">
        <v>29.321166992199998</v>
      </c>
    </row>
    <row r="551" spans="9:13" x14ac:dyDescent="0.25">
      <c r="I551" s="8">
        <v>72.001869201700003</v>
      </c>
      <c r="K551" s="8">
        <v>701</v>
      </c>
      <c r="L551" s="8">
        <v>37.165290832499998</v>
      </c>
      <c r="M551" s="8">
        <v>70.186279296899997</v>
      </c>
    </row>
    <row r="552" spans="9:13" x14ac:dyDescent="0.25">
      <c r="I552" s="8">
        <v>73.457435607899995</v>
      </c>
      <c r="K552" s="8">
        <v>702</v>
      </c>
      <c r="L552" s="8">
        <v>31.419809341400001</v>
      </c>
      <c r="M552" s="8">
        <v>71.461784362800003</v>
      </c>
    </row>
    <row r="553" spans="9:13" x14ac:dyDescent="0.25">
      <c r="I553" s="8">
        <v>71.704299926800005</v>
      </c>
      <c r="K553" s="8">
        <v>703</v>
      </c>
      <c r="L553" s="8">
        <v>5.6440606117199996</v>
      </c>
      <c r="M553" s="8">
        <v>69.695838928200004</v>
      </c>
    </row>
    <row r="554" spans="9:13" x14ac:dyDescent="0.25">
      <c r="I554" s="8">
        <v>33.929927825900002</v>
      </c>
      <c r="K554" s="8">
        <v>704</v>
      </c>
      <c r="L554" s="8">
        <v>21.269149780300001</v>
      </c>
      <c r="M554" s="8">
        <v>33.301391601600002</v>
      </c>
    </row>
    <row r="555" spans="9:13" x14ac:dyDescent="0.25">
      <c r="I555" s="8">
        <v>45.778999328600001</v>
      </c>
      <c r="K555" s="8">
        <v>705</v>
      </c>
      <c r="L555" s="8">
        <v>10.1343307495</v>
      </c>
      <c r="M555" s="8">
        <v>42.655235290500002</v>
      </c>
    </row>
    <row r="556" spans="9:13" x14ac:dyDescent="0.25">
      <c r="I556" s="8">
        <v>73.149131774899999</v>
      </c>
      <c r="K556" s="8">
        <v>706</v>
      </c>
      <c r="L556" s="8">
        <v>72.141365051299999</v>
      </c>
      <c r="M556" s="8">
        <v>72.534828185999999</v>
      </c>
    </row>
    <row r="557" spans="9:13" x14ac:dyDescent="0.25">
      <c r="I557" s="8">
        <v>74.4912109375</v>
      </c>
      <c r="K557" s="8">
        <v>707</v>
      </c>
      <c r="L557" s="8">
        <v>76.558433532699993</v>
      </c>
      <c r="M557" s="8">
        <v>73.003814697300001</v>
      </c>
    </row>
    <row r="558" spans="9:13" x14ac:dyDescent="0.25">
      <c r="I558" s="8">
        <v>87.513267517100005</v>
      </c>
      <c r="K558" s="8">
        <v>708</v>
      </c>
      <c r="L558" s="8">
        <v>109.43923950200001</v>
      </c>
      <c r="M558" s="8">
        <v>85.673248290999993</v>
      </c>
    </row>
    <row r="559" spans="9:13" x14ac:dyDescent="0.25">
      <c r="I559" s="8">
        <v>94.646003723099994</v>
      </c>
      <c r="K559" s="8">
        <v>709</v>
      </c>
      <c r="L559" s="8">
        <v>108.941070557</v>
      </c>
      <c r="M559" s="8">
        <v>91.716651916499998</v>
      </c>
    </row>
    <row r="560" spans="9:13" x14ac:dyDescent="0.25">
      <c r="I560" s="8">
        <v>98.089637756299993</v>
      </c>
      <c r="K560" s="8">
        <v>710</v>
      </c>
      <c r="L560" s="8">
        <v>123.182441711</v>
      </c>
      <c r="M560" s="8">
        <v>95.579940795900001</v>
      </c>
    </row>
    <row r="561" spans="9:13" x14ac:dyDescent="0.25">
      <c r="I561" s="8">
        <v>96.992927551299999</v>
      </c>
      <c r="K561" s="8">
        <v>711</v>
      </c>
      <c r="L561" s="8">
        <v>117.19029235799999</v>
      </c>
      <c r="M561" s="8">
        <v>93.392387390099998</v>
      </c>
    </row>
    <row r="562" spans="9:13" x14ac:dyDescent="0.25">
      <c r="I562" s="8">
        <v>65.802864074699997</v>
      </c>
      <c r="K562" s="8">
        <v>712</v>
      </c>
      <c r="L562" s="8">
        <v>161.475097656</v>
      </c>
      <c r="M562" s="8">
        <v>64.353187560999999</v>
      </c>
    </row>
    <row r="563" spans="9:13" x14ac:dyDescent="0.25">
      <c r="I563" s="8">
        <v>66.090988159199995</v>
      </c>
      <c r="K563" s="8">
        <v>713</v>
      </c>
      <c r="L563" s="8">
        <v>99.930572509800001</v>
      </c>
      <c r="M563" s="8">
        <v>63.205192565899999</v>
      </c>
    </row>
    <row r="564" spans="9:13" x14ac:dyDescent="0.25">
      <c r="I564" s="8">
        <v>39.768142700200002</v>
      </c>
      <c r="K564" s="8">
        <v>714</v>
      </c>
      <c r="L564" s="8">
        <v>56.313308715799998</v>
      </c>
      <c r="M564" s="8">
        <v>38.675914764399998</v>
      </c>
    </row>
    <row r="565" spans="9:13" x14ac:dyDescent="0.25">
      <c r="I565" s="8">
        <v>39.340152740500002</v>
      </c>
      <c r="K565" s="8">
        <v>715</v>
      </c>
      <c r="L565" s="8">
        <v>65.504585266099994</v>
      </c>
      <c r="M565" s="8">
        <v>38.228302002</v>
      </c>
    </row>
    <row r="566" spans="9:13" x14ac:dyDescent="0.25">
      <c r="I566" s="8">
        <v>39.516391754200001</v>
      </c>
      <c r="K566" s="8">
        <v>716</v>
      </c>
      <c r="L566" s="8">
        <v>9.0743227004999998</v>
      </c>
      <c r="M566" s="8">
        <v>38.938331603999998</v>
      </c>
    </row>
    <row r="567" spans="9:13" x14ac:dyDescent="0.25">
      <c r="I567" s="8">
        <v>39.159317016599999</v>
      </c>
      <c r="K567" s="8">
        <v>717</v>
      </c>
      <c r="L567" s="8">
        <v>25.109523773199999</v>
      </c>
      <c r="M567" s="8">
        <v>38.668743133500001</v>
      </c>
    </row>
    <row r="568" spans="9:13" x14ac:dyDescent="0.25">
      <c r="I568" s="8">
        <v>53.520816803000002</v>
      </c>
      <c r="K568" s="8">
        <v>718</v>
      </c>
      <c r="L568" s="8">
        <v>10.96159935</v>
      </c>
      <c r="M568" s="8">
        <v>51.659355163599997</v>
      </c>
    </row>
    <row r="569" spans="9:13" x14ac:dyDescent="0.25">
      <c r="I569" s="8">
        <v>56.956146240199999</v>
      </c>
      <c r="K569" s="8">
        <v>719</v>
      </c>
      <c r="L569" s="8">
        <v>11.8002128601</v>
      </c>
      <c r="M569" s="8">
        <v>54.874107360799997</v>
      </c>
    </row>
    <row r="570" spans="9:13" x14ac:dyDescent="0.25">
      <c r="I570" s="8">
        <v>50.6279067993</v>
      </c>
      <c r="K570" s="8">
        <v>720</v>
      </c>
      <c r="L570" s="8">
        <v>93.200004577599998</v>
      </c>
      <c r="M570" s="8">
        <v>48.988037109399997</v>
      </c>
    </row>
    <row r="571" spans="9:13" x14ac:dyDescent="0.25">
      <c r="I571" s="8">
        <v>54.988990783699997</v>
      </c>
      <c r="K571" s="8">
        <v>721</v>
      </c>
      <c r="L571" s="8">
        <v>92.346336364699994</v>
      </c>
      <c r="M571" s="8">
        <v>53.263107299799998</v>
      </c>
    </row>
    <row r="572" spans="9:13" x14ac:dyDescent="0.25">
      <c r="I572" s="8">
        <v>46.983406066900002</v>
      </c>
      <c r="K572" s="8">
        <v>722</v>
      </c>
      <c r="L572" s="8">
        <v>129.06211852999999</v>
      </c>
      <c r="M572" s="8">
        <v>46.227123260500001</v>
      </c>
    </row>
    <row r="573" spans="9:13" x14ac:dyDescent="0.25">
      <c r="I573" s="8">
        <v>45.443561553999999</v>
      </c>
      <c r="K573" s="8">
        <v>723</v>
      </c>
      <c r="L573" s="8">
        <v>180.15370178200001</v>
      </c>
      <c r="M573" s="8">
        <v>44.702461242699997</v>
      </c>
    </row>
    <row r="574" spans="9:13" x14ac:dyDescent="0.25">
      <c r="I574" s="8">
        <v>70.229560852099993</v>
      </c>
      <c r="K574" s="8">
        <v>724</v>
      </c>
      <c r="L574" s="8">
        <v>37.377059936499997</v>
      </c>
      <c r="M574" s="8">
        <v>61.771827697799999</v>
      </c>
    </row>
    <row r="575" spans="9:13" x14ac:dyDescent="0.25">
      <c r="I575" s="8">
        <v>51.235694885299999</v>
      </c>
      <c r="K575" s="8">
        <v>725</v>
      </c>
      <c r="L575" s="8">
        <v>16.8005981445</v>
      </c>
      <c r="M575" s="8">
        <v>48.009933471700002</v>
      </c>
    </row>
    <row r="576" spans="9:13" x14ac:dyDescent="0.25">
      <c r="I576" s="8">
        <v>52.582267761200001</v>
      </c>
      <c r="K576" s="8">
        <v>726</v>
      </c>
      <c r="L576" s="8">
        <v>17.0253791809</v>
      </c>
      <c r="M576" s="8">
        <v>51.3395881653</v>
      </c>
    </row>
    <row r="577" spans="9:13" x14ac:dyDescent="0.25">
      <c r="I577" s="8">
        <v>56.335391998299997</v>
      </c>
      <c r="K577" s="8">
        <v>727</v>
      </c>
      <c r="L577" s="8">
        <v>2.4256381988500002</v>
      </c>
      <c r="M577" s="8">
        <v>50.946990966800001</v>
      </c>
    </row>
    <row r="578" spans="9:13" x14ac:dyDescent="0.25">
      <c r="I578" s="8">
        <v>42.280941009499998</v>
      </c>
      <c r="K578" s="8">
        <v>728</v>
      </c>
      <c r="L578" s="8">
        <v>6.5836539268500003</v>
      </c>
      <c r="M578" s="8">
        <v>41.929264068599998</v>
      </c>
    </row>
    <row r="579" spans="9:13" x14ac:dyDescent="0.25">
      <c r="I579" s="8">
        <v>19.158344268800001</v>
      </c>
      <c r="K579" s="8">
        <v>729</v>
      </c>
      <c r="L579" s="8">
        <v>10.336056709299999</v>
      </c>
      <c r="M579" s="8">
        <v>17.549530029300001</v>
      </c>
    </row>
    <row r="580" spans="9:13" x14ac:dyDescent="0.25">
      <c r="I580" s="8">
        <v>15.731462478599999</v>
      </c>
      <c r="K580" s="8">
        <v>730</v>
      </c>
      <c r="L580" s="8">
        <v>0</v>
      </c>
      <c r="M580" s="8">
        <v>15.133839607200001</v>
      </c>
    </row>
    <row r="581" spans="9:13" x14ac:dyDescent="0.25">
      <c r="I581" s="8">
        <v>130.36607360799999</v>
      </c>
      <c r="K581" s="8">
        <v>731</v>
      </c>
      <c r="L581" s="8">
        <v>100.673278809</v>
      </c>
      <c r="M581" s="8">
        <v>106.570556641</v>
      </c>
    </row>
    <row r="582" spans="9:13" x14ac:dyDescent="0.25">
      <c r="I582" s="8">
        <v>107.572654724</v>
      </c>
      <c r="K582" s="8">
        <v>732</v>
      </c>
      <c r="L582" s="8">
        <v>53.081569671600001</v>
      </c>
      <c r="M582" s="8">
        <v>92.914855957</v>
      </c>
    </row>
    <row r="583" spans="9:13" x14ac:dyDescent="0.25">
      <c r="I583" s="8">
        <v>82.809226989699994</v>
      </c>
      <c r="K583" s="8">
        <v>733</v>
      </c>
      <c r="L583" s="8">
        <v>122.181510925</v>
      </c>
      <c r="M583" s="8">
        <v>80.945381164599993</v>
      </c>
    </row>
    <row r="584" spans="9:13" x14ac:dyDescent="0.25">
      <c r="I584" s="8">
        <v>91.923751831100006</v>
      </c>
      <c r="K584" s="8">
        <v>734</v>
      </c>
      <c r="L584" s="8">
        <v>80.1216964722</v>
      </c>
      <c r="M584" s="8">
        <v>78.756248474100005</v>
      </c>
    </row>
    <row r="585" spans="9:13" x14ac:dyDescent="0.25">
      <c r="I585" s="8">
        <v>93.386772155800003</v>
      </c>
      <c r="K585" s="8">
        <v>735</v>
      </c>
      <c r="L585" s="8">
        <v>230.21472168</v>
      </c>
      <c r="M585" s="8">
        <v>78.237220764200003</v>
      </c>
    </row>
    <row r="586" spans="9:13" x14ac:dyDescent="0.25">
      <c r="I586" s="8">
        <v>104.069549561</v>
      </c>
      <c r="K586" s="8">
        <v>736</v>
      </c>
      <c r="L586" s="8">
        <v>140.97837829599999</v>
      </c>
      <c r="M586" s="8">
        <v>88.909584045399995</v>
      </c>
    </row>
    <row r="587" spans="9:13" x14ac:dyDescent="0.25">
      <c r="I587" s="8">
        <v>66.3265457153</v>
      </c>
      <c r="K587" s="8">
        <v>737</v>
      </c>
      <c r="L587" s="8">
        <v>9.4071521759000003</v>
      </c>
      <c r="M587" s="8">
        <v>64.291427612299998</v>
      </c>
    </row>
    <row r="588" spans="9:13" x14ac:dyDescent="0.25">
      <c r="I588" s="8">
        <v>82.908599853499993</v>
      </c>
      <c r="K588" s="8">
        <v>738</v>
      </c>
      <c r="L588" s="8">
        <v>286.36444091800001</v>
      </c>
      <c r="M588" s="8">
        <v>70.252517700200002</v>
      </c>
    </row>
    <row r="589" spans="9:13" x14ac:dyDescent="0.25">
      <c r="I589" s="8">
        <v>74.194854736300002</v>
      </c>
      <c r="K589" s="8">
        <v>739</v>
      </c>
      <c r="L589" s="8">
        <v>165.75759887699999</v>
      </c>
      <c r="M589" s="8">
        <v>61.746250152599998</v>
      </c>
    </row>
    <row r="590" spans="9:13" x14ac:dyDescent="0.25">
      <c r="I590" s="8">
        <v>75.194702148399998</v>
      </c>
      <c r="K590" s="8">
        <v>740</v>
      </c>
      <c r="L590" s="8">
        <v>54.079311370799999</v>
      </c>
      <c r="M590" s="8">
        <v>73.903610229500003</v>
      </c>
    </row>
    <row r="591" spans="9:13" x14ac:dyDescent="0.25">
      <c r="I591" s="8">
        <v>35.6380195618</v>
      </c>
      <c r="K591" s="8">
        <v>741</v>
      </c>
      <c r="L591" s="8">
        <v>4.4382309913600002</v>
      </c>
      <c r="M591" s="8">
        <v>35.322772979699998</v>
      </c>
    </row>
    <row r="592" spans="9:13" x14ac:dyDescent="0.25">
      <c r="I592" s="8">
        <v>30.496536254900001</v>
      </c>
      <c r="K592" s="8">
        <v>742</v>
      </c>
      <c r="L592" s="8">
        <v>3.6225144863100001</v>
      </c>
      <c r="M592" s="8">
        <v>30.2314929962</v>
      </c>
    </row>
    <row r="593" spans="9:13" x14ac:dyDescent="0.25">
      <c r="I593" s="8">
        <v>96.501220703100003</v>
      </c>
      <c r="K593" s="8">
        <v>743</v>
      </c>
      <c r="L593" s="8">
        <v>93.506439209000007</v>
      </c>
      <c r="M593" s="8">
        <v>79.966171264600007</v>
      </c>
    </row>
    <row r="594" spans="9:13" x14ac:dyDescent="0.25">
      <c r="I594" s="8">
        <v>72.650703430199997</v>
      </c>
      <c r="K594" s="8">
        <v>744</v>
      </c>
      <c r="L594" s="8">
        <v>69.3633270264</v>
      </c>
      <c r="M594" s="8">
        <v>68.471252441399997</v>
      </c>
    </row>
    <row r="595" spans="9:13" x14ac:dyDescent="0.25">
      <c r="I595" s="8">
        <v>78.712165832500006</v>
      </c>
      <c r="K595" s="8">
        <v>745</v>
      </c>
      <c r="L595" s="8">
        <v>248.43476867699999</v>
      </c>
      <c r="M595" s="8">
        <v>67.465362548800002</v>
      </c>
    </row>
    <row r="596" spans="9:13" x14ac:dyDescent="0.25">
      <c r="I596" s="8">
        <v>64.154045104999994</v>
      </c>
      <c r="K596" s="8">
        <v>746</v>
      </c>
      <c r="L596" s="8">
        <v>150.39297485399999</v>
      </c>
      <c r="M596" s="8">
        <v>62.316146850599999</v>
      </c>
    </row>
    <row r="597" spans="9:13" x14ac:dyDescent="0.25">
      <c r="I597" s="8">
        <v>39.390110015899999</v>
      </c>
      <c r="K597" s="8">
        <v>747</v>
      </c>
      <c r="L597" s="8">
        <v>9.1114263534499997</v>
      </c>
      <c r="M597" s="8">
        <v>39.008468627900001</v>
      </c>
    </row>
    <row r="598" spans="9:13" x14ac:dyDescent="0.25">
      <c r="I598" s="8">
        <v>38.691448211699999</v>
      </c>
      <c r="K598" s="8">
        <v>748</v>
      </c>
      <c r="L598" s="8">
        <v>7.5175828933700002</v>
      </c>
      <c r="M598" s="8">
        <v>38.267410278299998</v>
      </c>
    </row>
    <row r="599" spans="9:13" x14ac:dyDescent="0.25">
      <c r="I599" s="8">
        <v>28.343547821000001</v>
      </c>
      <c r="K599" s="8">
        <v>749</v>
      </c>
      <c r="L599" s="8">
        <v>11.313151359600001</v>
      </c>
      <c r="M599" s="8">
        <v>28.0708560944</v>
      </c>
    </row>
    <row r="600" spans="9:13" x14ac:dyDescent="0.25">
      <c r="I600" s="8">
        <v>29.228597641</v>
      </c>
      <c r="K600" s="8">
        <v>750</v>
      </c>
      <c r="L600" s="8">
        <v>26.723997116100001</v>
      </c>
      <c r="M600" s="8">
        <v>28.933910369900001</v>
      </c>
    </row>
    <row r="601" spans="9:13" x14ac:dyDescent="0.25">
      <c r="I601" s="8">
        <v>31.403472900400001</v>
      </c>
      <c r="K601" s="8">
        <v>751</v>
      </c>
      <c r="L601" s="8">
        <v>28.2946777344</v>
      </c>
      <c r="M601" s="8">
        <v>31.027980804399999</v>
      </c>
    </row>
    <row r="602" spans="9:13" x14ac:dyDescent="0.25">
      <c r="I602" s="8">
        <v>30.820156097400002</v>
      </c>
      <c r="K602" s="8">
        <v>752</v>
      </c>
      <c r="L602" s="8">
        <v>15.480861663800001</v>
      </c>
      <c r="M602" s="8">
        <v>30.7040786743</v>
      </c>
    </row>
    <row r="603" spans="9:13" x14ac:dyDescent="0.25">
      <c r="I603" s="8">
        <v>32.643211364700001</v>
      </c>
      <c r="K603" s="8">
        <v>753</v>
      </c>
      <c r="L603" s="8">
        <v>50.903293609599999</v>
      </c>
      <c r="M603" s="8">
        <v>32.257919311499997</v>
      </c>
    </row>
    <row r="604" spans="9:13" x14ac:dyDescent="0.25">
      <c r="I604" s="8">
        <v>23.273925781300001</v>
      </c>
      <c r="K604" s="8">
        <v>754</v>
      </c>
      <c r="L604" s="8">
        <v>13.480780601499999</v>
      </c>
      <c r="M604" s="8">
        <v>23.085439682000001</v>
      </c>
    </row>
    <row r="605" spans="9:13" x14ac:dyDescent="0.25">
      <c r="I605" s="8">
        <v>72.140365600600006</v>
      </c>
      <c r="K605" s="8">
        <v>755</v>
      </c>
      <c r="L605" s="8">
        <v>52.488685607900003</v>
      </c>
      <c r="M605" s="8">
        <v>71.140335082999997</v>
      </c>
    </row>
    <row r="606" spans="9:13" x14ac:dyDescent="0.25">
      <c r="I606" s="8">
        <v>25.359903335599999</v>
      </c>
      <c r="K606" s="8">
        <v>756</v>
      </c>
      <c r="L606" s="8">
        <v>12.4827070236</v>
      </c>
      <c r="M606" s="8">
        <v>25.160345077500001</v>
      </c>
    </row>
    <row r="607" spans="9:13" x14ac:dyDescent="0.25">
      <c r="I607" s="8">
        <v>42.894752502400003</v>
      </c>
      <c r="K607" s="8">
        <v>757</v>
      </c>
      <c r="L607" s="8">
        <v>33.198619842500001</v>
      </c>
      <c r="M607" s="8">
        <v>42.575862884499998</v>
      </c>
    </row>
    <row r="608" spans="9:13" x14ac:dyDescent="0.25">
      <c r="I608" s="8">
        <v>72.350936889600007</v>
      </c>
      <c r="K608" s="8">
        <v>758</v>
      </c>
      <c r="L608" s="8">
        <v>18.430669784500001</v>
      </c>
      <c r="M608" s="8">
        <v>71.647338867200006</v>
      </c>
    </row>
    <row r="609" spans="9:13" x14ac:dyDescent="0.25">
      <c r="I609" s="8">
        <v>38.111248016399998</v>
      </c>
      <c r="K609" s="8">
        <v>759</v>
      </c>
      <c r="L609" s="8">
        <v>13.9720849991</v>
      </c>
      <c r="M609" s="8">
        <v>37.828071594199997</v>
      </c>
    </row>
    <row r="610" spans="9:13" x14ac:dyDescent="0.25">
      <c r="I610" s="8">
        <v>25.5064754486</v>
      </c>
      <c r="K610" s="8">
        <v>760</v>
      </c>
      <c r="L610" s="8">
        <v>23.567941665599999</v>
      </c>
      <c r="M610" s="8">
        <v>24.920328140300001</v>
      </c>
    </row>
    <row r="611" spans="9:13" x14ac:dyDescent="0.25">
      <c r="I611" s="8">
        <v>24.806104659999999</v>
      </c>
      <c r="K611" s="8">
        <v>761</v>
      </c>
      <c r="L611" s="8">
        <v>26.883335113499999</v>
      </c>
      <c r="M611" s="8">
        <v>24.615493774400001</v>
      </c>
    </row>
    <row r="612" spans="9:13" x14ac:dyDescent="0.25">
      <c r="I612" s="8">
        <v>65.501235961899994</v>
      </c>
      <c r="K612" s="8">
        <v>762</v>
      </c>
      <c r="L612" s="8">
        <v>32.924194335899998</v>
      </c>
      <c r="M612" s="8">
        <v>61.522502899199999</v>
      </c>
    </row>
    <row r="613" spans="9:13" x14ac:dyDescent="0.25">
      <c r="I613" s="8">
        <v>69.987976074200006</v>
      </c>
      <c r="K613" s="8">
        <v>763</v>
      </c>
      <c r="L613" s="8">
        <v>30.5029754639</v>
      </c>
      <c r="M613" s="8">
        <v>65.456779479999994</v>
      </c>
    </row>
    <row r="614" spans="9:13" x14ac:dyDescent="0.25">
      <c r="I614" s="8">
        <v>62.186691284200002</v>
      </c>
      <c r="K614" s="8">
        <v>764</v>
      </c>
      <c r="L614" s="8">
        <v>21.525228500400001</v>
      </c>
      <c r="M614" s="8">
        <v>61.127742767299999</v>
      </c>
    </row>
    <row r="615" spans="9:13" x14ac:dyDescent="0.25">
      <c r="I615" s="8">
        <v>67.256095886200001</v>
      </c>
      <c r="K615" s="8">
        <v>765</v>
      </c>
      <c r="L615" s="8">
        <v>20.8085575104</v>
      </c>
      <c r="M615" s="8">
        <v>66.068367004400002</v>
      </c>
    </row>
    <row r="616" spans="9:13" x14ac:dyDescent="0.25">
      <c r="I616" s="8">
        <v>51.176227569600002</v>
      </c>
      <c r="K616" s="8">
        <v>766</v>
      </c>
      <c r="L616" s="8">
        <v>65.985832214400006</v>
      </c>
      <c r="M616" s="8">
        <v>47.616119384800001</v>
      </c>
    </row>
    <row r="617" spans="9:13" x14ac:dyDescent="0.25">
      <c r="I617" s="8">
        <v>46.453018188500003</v>
      </c>
      <c r="K617" s="8">
        <v>767</v>
      </c>
      <c r="L617" s="8">
        <v>60.958675384499998</v>
      </c>
      <c r="M617" s="8">
        <v>44.221286773700001</v>
      </c>
    </row>
    <row r="618" spans="9:13" x14ac:dyDescent="0.25">
      <c r="I618" s="8">
        <v>9.1706190109300003</v>
      </c>
      <c r="K618" s="8">
        <v>768</v>
      </c>
      <c r="L618" s="8">
        <v>0</v>
      </c>
      <c r="M618" s="8">
        <v>7.9505496025099998</v>
      </c>
    </row>
    <row r="619" spans="9:13" x14ac:dyDescent="0.25">
      <c r="I619" s="8">
        <v>16.337026596099999</v>
      </c>
      <c r="K619" s="8">
        <v>769</v>
      </c>
      <c r="L619" s="8">
        <v>30.3300323486</v>
      </c>
      <c r="M619" s="8">
        <v>15.081001281700001</v>
      </c>
    </row>
    <row r="620" spans="9:13" x14ac:dyDescent="0.25">
      <c r="I620" s="8">
        <v>14.8834266663</v>
      </c>
      <c r="K620" s="8">
        <v>770</v>
      </c>
      <c r="L620" s="8">
        <v>58.081035614000001</v>
      </c>
      <c r="M620" s="8">
        <v>13.737317085300001</v>
      </c>
    </row>
    <row r="621" spans="9:13" x14ac:dyDescent="0.25">
      <c r="I621" s="8">
        <v>78.403312683099998</v>
      </c>
      <c r="K621" s="8">
        <v>771</v>
      </c>
      <c r="L621" s="8">
        <v>65.594398498499999</v>
      </c>
      <c r="M621" s="8">
        <v>73.841499328599994</v>
      </c>
    </row>
    <row r="622" spans="9:13" x14ac:dyDescent="0.25">
      <c r="I622" s="8">
        <v>38.673324585000003</v>
      </c>
      <c r="K622" s="8">
        <v>772</v>
      </c>
      <c r="L622" s="8">
        <v>3.3278205394699998</v>
      </c>
      <c r="M622" s="8">
        <v>38.308055877699999</v>
      </c>
    </row>
    <row r="623" spans="9:13" x14ac:dyDescent="0.25">
      <c r="I623" s="8">
        <v>49.046966552699999</v>
      </c>
      <c r="K623" s="8">
        <v>773</v>
      </c>
      <c r="L623" s="8">
        <v>34.337512969999999</v>
      </c>
      <c r="M623" s="8">
        <v>48.635951995799999</v>
      </c>
    </row>
    <row r="624" spans="9:13" x14ac:dyDescent="0.25">
      <c r="I624" s="8">
        <v>48.375221252400003</v>
      </c>
      <c r="K624" s="8">
        <v>774</v>
      </c>
      <c r="L624" s="8">
        <v>37.509868621800003</v>
      </c>
      <c r="M624" s="8">
        <v>48.128837585399999</v>
      </c>
    </row>
    <row r="625" spans="9:13" x14ac:dyDescent="0.25">
      <c r="I625" s="8">
        <v>42.9557991028</v>
      </c>
      <c r="K625" s="8">
        <v>775</v>
      </c>
      <c r="L625" s="8">
        <v>18.9310112</v>
      </c>
      <c r="M625" s="8">
        <v>42.2156143188</v>
      </c>
    </row>
    <row r="626" spans="9:13" x14ac:dyDescent="0.25">
      <c r="I626" s="8">
        <v>40.431632995599998</v>
      </c>
      <c r="K626" s="8">
        <v>776</v>
      </c>
      <c r="L626" s="8">
        <v>7.8620009422299999</v>
      </c>
      <c r="M626" s="8">
        <v>40.340171814000001</v>
      </c>
    </row>
    <row r="627" spans="9:13" x14ac:dyDescent="0.25">
      <c r="I627" s="8">
        <v>44.296108245799999</v>
      </c>
      <c r="K627" s="8">
        <v>777</v>
      </c>
      <c r="L627" s="8">
        <v>2.9377567768100001</v>
      </c>
      <c r="M627" s="8">
        <v>42.106132507300003</v>
      </c>
    </row>
    <row r="628" spans="9:13" x14ac:dyDescent="0.25">
      <c r="I628" s="8">
        <v>39.417339325</v>
      </c>
      <c r="K628" s="8">
        <v>778</v>
      </c>
      <c r="L628" s="8">
        <v>2.5100021362299998</v>
      </c>
      <c r="M628" s="8">
        <v>39.367794036900001</v>
      </c>
    </row>
    <row r="629" spans="9:13" x14ac:dyDescent="0.25">
      <c r="I629" s="8">
        <v>29.693870544399999</v>
      </c>
      <c r="K629" s="8">
        <v>779</v>
      </c>
      <c r="L629" s="8">
        <v>24.941532134999999</v>
      </c>
      <c r="M629" s="8">
        <v>29.424402236900001</v>
      </c>
    </row>
    <row r="630" spans="9:13" x14ac:dyDescent="0.25">
      <c r="I630" s="8">
        <v>27.973436355600001</v>
      </c>
      <c r="K630" s="8">
        <v>780</v>
      </c>
      <c r="L630" s="8">
        <v>16.004274368299999</v>
      </c>
      <c r="M630" s="8">
        <v>27.703495025599999</v>
      </c>
    </row>
    <row r="631" spans="9:13" x14ac:dyDescent="0.25">
      <c r="I631" s="8">
        <v>37.920631408699997</v>
      </c>
      <c r="K631" s="8">
        <v>781</v>
      </c>
      <c r="L631" s="8">
        <v>2.3389241695399998</v>
      </c>
      <c r="M631" s="8">
        <v>36.747959137000002</v>
      </c>
    </row>
    <row r="632" spans="9:13" x14ac:dyDescent="0.25">
      <c r="I632" s="8">
        <v>37.035991668699999</v>
      </c>
      <c r="K632" s="8">
        <v>782</v>
      </c>
      <c r="L632" s="8">
        <v>1.1875071525600001</v>
      </c>
      <c r="M632" s="8">
        <v>36.093814849899999</v>
      </c>
    </row>
    <row r="633" spans="9:13" x14ac:dyDescent="0.25">
      <c r="I633" s="8">
        <v>26.058864593500001</v>
      </c>
      <c r="K633" s="8">
        <v>783</v>
      </c>
      <c r="L633" s="8">
        <v>12.8627853394</v>
      </c>
      <c r="M633" s="8">
        <v>25.613033294699999</v>
      </c>
    </row>
    <row r="634" spans="9:13" x14ac:dyDescent="0.25">
      <c r="I634" s="8">
        <v>35.743335723900003</v>
      </c>
      <c r="K634" s="8">
        <v>784</v>
      </c>
      <c r="L634" s="8">
        <v>65.225059509299996</v>
      </c>
      <c r="M634" s="8">
        <v>35.074058532700001</v>
      </c>
    </row>
    <row r="635" spans="9:13" x14ac:dyDescent="0.25">
      <c r="I635" s="8">
        <v>35.376552581799999</v>
      </c>
      <c r="K635" s="8">
        <v>785</v>
      </c>
      <c r="L635" s="8">
        <v>35.687713623</v>
      </c>
      <c r="M635" s="8">
        <v>34.544166564900003</v>
      </c>
    </row>
    <row r="636" spans="9:13" x14ac:dyDescent="0.25">
      <c r="I636" s="8">
        <v>25.8725624084</v>
      </c>
      <c r="K636" s="8">
        <v>786</v>
      </c>
      <c r="L636" s="8">
        <v>18.100067138699998</v>
      </c>
      <c r="M636" s="8">
        <v>25.455081939700001</v>
      </c>
    </row>
    <row r="637" spans="9:13" x14ac:dyDescent="0.25">
      <c r="I637" s="8">
        <v>35.041854858400001</v>
      </c>
      <c r="K637" s="8">
        <v>787</v>
      </c>
      <c r="L637" s="8">
        <v>27.046447753900001</v>
      </c>
      <c r="M637" s="8">
        <v>34.614650726299999</v>
      </c>
    </row>
    <row r="638" spans="9:13" x14ac:dyDescent="0.25">
      <c r="I638" s="8">
        <v>34.204933166499998</v>
      </c>
      <c r="K638" s="8">
        <v>788</v>
      </c>
      <c r="L638" s="8">
        <v>36.092441558799997</v>
      </c>
      <c r="M638" s="8">
        <v>33.720394134499998</v>
      </c>
    </row>
    <row r="639" spans="9:13" x14ac:dyDescent="0.25">
      <c r="I639" s="8">
        <v>41.4352226257</v>
      </c>
      <c r="K639" s="8">
        <v>789</v>
      </c>
      <c r="L639" s="8">
        <v>22.253063201900002</v>
      </c>
      <c r="M639" s="8">
        <v>39.572807312000002</v>
      </c>
    </row>
    <row r="640" spans="9:13" x14ac:dyDescent="0.25">
      <c r="I640" s="8">
        <v>40.128612518300002</v>
      </c>
      <c r="K640" s="8">
        <v>790</v>
      </c>
      <c r="L640" s="8">
        <v>32.882633209200002</v>
      </c>
      <c r="M640" s="8">
        <v>39.579853057900003</v>
      </c>
    </row>
    <row r="641" spans="9:13" x14ac:dyDescent="0.25">
      <c r="I641" s="8">
        <v>11.3755912781</v>
      </c>
      <c r="K641" s="8">
        <v>791</v>
      </c>
      <c r="L641" s="8">
        <v>0</v>
      </c>
      <c r="M641" s="8">
        <v>11.299051284800001</v>
      </c>
    </row>
    <row r="642" spans="9:13" x14ac:dyDescent="0.25">
      <c r="I642" s="8">
        <v>10.9284887314</v>
      </c>
      <c r="K642" s="8">
        <v>792</v>
      </c>
      <c r="L642" s="8">
        <v>0</v>
      </c>
      <c r="M642" s="8">
        <v>10.876165390000001</v>
      </c>
    </row>
    <row r="643" spans="9:13" x14ac:dyDescent="0.25">
      <c r="I643" s="8">
        <v>47.364089965799998</v>
      </c>
      <c r="K643" s="8">
        <v>793</v>
      </c>
      <c r="L643" s="8">
        <v>0</v>
      </c>
      <c r="M643" s="8">
        <v>46.456542968800001</v>
      </c>
    </row>
    <row r="644" spans="9:13" x14ac:dyDescent="0.25">
      <c r="I644" s="8">
        <v>29.516998291</v>
      </c>
      <c r="K644" s="8">
        <v>794</v>
      </c>
      <c r="L644" s="8">
        <v>0.333333313465</v>
      </c>
      <c r="M644" s="8">
        <v>29.421014785800001</v>
      </c>
    </row>
    <row r="645" spans="9:13" x14ac:dyDescent="0.25">
      <c r="I645" s="8">
        <v>30.124439239499999</v>
      </c>
      <c r="K645" s="8">
        <v>795</v>
      </c>
      <c r="L645" s="8">
        <v>0.66666662693000001</v>
      </c>
      <c r="M645" s="8">
        <v>30.0421104431</v>
      </c>
    </row>
    <row r="646" spans="9:13" x14ac:dyDescent="0.25">
      <c r="I646" s="8">
        <v>25.104726791400001</v>
      </c>
      <c r="K646" s="8">
        <v>796</v>
      </c>
      <c r="L646" s="8">
        <v>3</v>
      </c>
      <c r="M646" s="8">
        <v>24.495191574100001</v>
      </c>
    </row>
    <row r="647" spans="9:13" x14ac:dyDescent="0.25">
      <c r="I647" s="8">
        <v>83.746917724599996</v>
      </c>
      <c r="K647" s="8">
        <v>797</v>
      </c>
      <c r="L647" s="8">
        <v>9.6210594177199997</v>
      </c>
      <c r="M647" s="8">
        <v>77.549682617200006</v>
      </c>
    </row>
    <row r="648" spans="9:13" x14ac:dyDescent="0.25">
      <c r="I648" s="8">
        <v>57.499916076700003</v>
      </c>
      <c r="K648" s="8">
        <v>798</v>
      </c>
      <c r="L648" s="8">
        <v>6.5778822898899998</v>
      </c>
      <c r="M648" s="8">
        <v>53.909366607700001</v>
      </c>
    </row>
    <row r="649" spans="9:13" x14ac:dyDescent="0.25">
      <c r="I649" s="8">
        <v>114.60508728000001</v>
      </c>
      <c r="K649" s="8">
        <v>799</v>
      </c>
      <c r="L649" s="8">
        <v>39.081916809100001</v>
      </c>
      <c r="M649" s="8">
        <v>107.742958069</v>
      </c>
    </row>
    <row r="650" spans="9:13" x14ac:dyDescent="0.25">
      <c r="I650" s="8">
        <v>98.311744689899996</v>
      </c>
      <c r="K650" s="8">
        <v>800</v>
      </c>
      <c r="L650" s="8">
        <v>44.515800476099997</v>
      </c>
      <c r="M650" s="8">
        <v>96.474868774399994</v>
      </c>
    </row>
    <row r="651" spans="9:13" x14ac:dyDescent="0.25">
      <c r="I651" s="8">
        <v>74.044029235799997</v>
      </c>
      <c r="K651" s="8">
        <v>801</v>
      </c>
      <c r="L651" s="8">
        <v>34.197132110600002</v>
      </c>
      <c r="M651" s="8">
        <v>72.874153137199997</v>
      </c>
    </row>
    <row r="652" spans="9:13" x14ac:dyDescent="0.25">
      <c r="I652" s="8">
        <v>38.118942260700003</v>
      </c>
      <c r="K652" s="8">
        <v>802</v>
      </c>
      <c r="L652" s="8">
        <v>24.849199294999998</v>
      </c>
      <c r="M652" s="8">
        <v>37.797863006599997</v>
      </c>
    </row>
    <row r="653" spans="9:13" x14ac:dyDescent="0.25">
      <c r="I653" s="8">
        <v>31.656452178999999</v>
      </c>
      <c r="K653" s="8">
        <v>803</v>
      </c>
      <c r="L653" s="8">
        <v>17.886896133400001</v>
      </c>
      <c r="M653" s="8">
        <v>31.474449157700001</v>
      </c>
    </row>
    <row r="654" spans="9:13" x14ac:dyDescent="0.25">
      <c r="I654" s="8">
        <v>36.516479492199998</v>
      </c>
      <c r="K654" s="8">
        <v>804</v>
      </c>
      <c r="L654" s="8">
        <v>30.705051422099999</v>
      </c>
      <c r="M654" s="8">
        <v>36.341567993200002</v>
      </c>
    </row>
    <row r="655" spans="9:13" x14ac:dyDescent="0.25">
      <c r="I655" s="8">
        <v>32.065212249799998</v>
      </c>
      <c r="K655" s="8">
        <v>805</v>
      </c>
      <c r="L655" s="8">
        <v>6.1410102844200001</v>
      </c>
      <c r="M655" s="8">
        <v>31.880235672000001</v>
      </c>
    </row>
    <row r="656" spans="9:13" x14ac:dyDescent="0.25">
      <c r="I656" s="8">
        <v>54.720664978000002</v>
      </c>
      <c r="K656" s="8">
        <v>806</v>
      </c>
      <c r="L656" s="8">
        <v>133.28082275400001</v>
      </c>
      <c r="M656" s="8">
        <v>54.306800842299999</v>
      </c>
    </row>
    <row r="657" spans="9:13" x14ac:dyDescent="0.25">
      <c r="I657" s="8">
        <v>53.687286377</v>
      </c>
      <c r="K657" s="8">
        <v>807</v>
      </c>
      <c r="L657" s="8">
        <v>69.436653137199997</v>
      </c>
      <c r="M657" s="8">
        <v>53.3064346313</v>
      </c>
    </row>
    <row r="658" spans="9:13" x14ac:dyDescent="0.25">
      <c r="I658" s="8">
        <v>28.443233490000001</v>
      </c>
      <c r="K658" s="8">
        <v>808</v>
      </c>
      <c r="L658" s="8">
        <v>8.8185176849399998</v>
      </c>
      <c r="M658" s="8">
        <v>27.731510162399999</v>
      </c>
    </row>
    <row r="659" spans="9:13" x14ac:dyDescent="0.25">
      <c r="I659" s="8">
        <v>24.9704017639</v>
      </c>
      <c r="K659" s="8">
        <v>809</v>
      </c>
      <c r="L659" s="8">
        <v>2.81119155884</v>
      </c>
      <c r="M659" s="8">
        <v>24.828554153399999</v>
      </c>
    </row>
    <row r="660" spans="9:13" x14ac:dyDescent="0.25">
      <c r="I660" s="8">
        <v>39.193019866900002</v>
      </c>
      <c r="K660" s="8">
        <v>810</v>
      </c>
      <c r="L660" s="8">
        <v>1.58089160919</v>
      </c>
      <c r="M660" s="8">
        <v>38.476844787600001</v>
      </c>
    </row>
    <row r="661" spans="9:13" x14ac:dyDescent="0.25">
      <c r="I661" s="8">
        <v>46.991878509499998</v>
      </c>
      <c r="K661" s="8">
        <v>811</v>
      </c>
      <c r="L661" s="8">
        <v>20.127073287999998</v>
      </c>
      <c r="M661" s="8">
        <v>46.405803680399998</v>
      </c>
    </row>
    <row r="662" spans="9:13" x14ac:dyDescent="0.25">
      <c r="I662" s="8">
        <v>48.887073516800001</v>
      </c>
      <c r="K662" s="8">
        <v>812</v>
      </c>
      <c r="L662" s="8">
        <v>13.1809902191</v>
      </c>
      <c r="M662" s="8">
        <v>48.116127014200003</v>
      </c>
    </row>
    <row r="663" spans="9:13" x14ac:dyDescent="0.25">
      <c r="I663" s="8">
        <v>31.8827552795</v>
      </c>
      <c r="K663" s="8">
        <v>813</v>
      </c>
      <c r="L663" s="8">
        <v>29.4242362976</v>
      </c>
      <c r="M663" s="8">
        <v>31.612663268999999</v>
      </c>
    </row>
    <row r="664" spans="9:13" x14ac:dyDescent="0.25">
      <c r="I664" s="8">
        <v>30.011436462399999</v>
      </c>
      <c r="K664" s="8">
        <v>814</v>
      </c>
      <c r="L664" s="8">
        <v>36.1888237</v>
      </c>
      <c r="M664" s="8">
        <v>30.001630783100001</v>
      </c>
    </row>
    <row r="665" spans="9:13" x14ac:dyDescent="0.25">
      <c r="I665" s="8">
        <v>29.539176940899999</v>
      </c>
      <c r="K665" s="8">
        <v>815</v>
      </c>
      <c r="L665" s="8">
        <v>23.373535156300001</v>
      </c>
      <c r="M665" s="8">
        <v>29.227495193500001</v>
      </c>
    </row>
    <row r="666" spans="9:13" x14ac:dyDescent="0.25">
      <c r="I666" s="8">
        <v>27.506725311299999</v>
      </c>
      <c r="K666" s="8">
        <v>816</v>
      </c>
      <c r="L666" s="8">
        <v>11.636856079099999</v>
      </c>
      <c r="M666" s="8">
        <v>27.5140190125</v>
      </c>
    </row>
    <row r="667" spans="9:13" x14ac:dyDescent="0.25">
      <c r="I667" s="8">
        <v>29.545881271399999</v>
      </c>
      <c r="K667" s="8">
        <v>817</v>
      </c>
      <c r="L667" s="8">
        <v>24.473711013799999</v>
      </c>
      <c r="M667" s="8">
        <v>29.5452842712</v>
      </c>
    </row>
    <row r="668" spans="9:13" x14ac:dyDescent="0.25">
      <c r="I668" s="8">
        <v>17.2933635712</v>
      </c>
      <c r="K668" s="8">
        <v>818</v>
      </c>
      <c r="L668" s="8">
        <v>1.1614338159599999</v>
      </c>
      <c r="M668" s="8">
        <v>17.275629043599999</v>
      </c>
    </row>
    <row r="669" spans="9:13" x14ac:dyDescent="0.25">
      <c r="I669" s="8">
        <v>25.610277175899999</v>
      </c>
      <c r="K669" s="8">
        <v>819</v>
      </c>
      <c r="L669" s="8">
        <v>1.1601713895800001</v>
      </c>
      <c r="M669" s="8">
        <v>25.609041214000001</v>
      </c>
    </row>
    <row r="670" spans="9:13" x14ac:dyDescent="0.25">
      <c r="I670" s="8">
        <v>19.038152694699999</v>
      </c>
      <c r="K670" s="8">
        <v>820</v>
      </c>
      <c r="L670" s="8">
        <v>3.4805142879500002</v>
      </c>
      <c r="M670" s="8">
        <v>19.034769058199998</v>
      </c>
    </row>
    <row r="671" spans="9:13" x14ac:dyDescent="0.25">
      <c r="I671" s="8">
        <v>36.4950942993</v>
      </c>
      <c r="K671" s="8">
        <v>821</v>
      </c>
      <c r="L671" s="8">
        <v>39.868202209499998</v>
      </c>
      <c r="M671" s="8">
        <v>36.315917968800001</v>
      </c>
    </row>
    <row r="672" spans="9:13" x14ac:dyDescent="0.25">
      <c r="I672" s="8">
        <v>34.2684822083</v>
      </c>
      <c r="K672" s="8">
        <v>822</v>
      </c>
      <c r="L672" s="8">
        <v>40.955905914299997</v>
      </c>
      <c r="M672" s="8">
        <v>34.138900756799998</v>
      </c>
    </row>
    <row r="673" spans="9:13" x14ac:dyDescent="0.25">
      <c r="I673" s="8">
        <v>22.4819545746</v>
      </c>
      <c r="K673" s="8">
        <v>823</v>
      </c>
      <c r="L673" s="8">
        <v>80.460433960000003</v>
      </c>
      <c r="M673" s="8">
        <v>22.644273757899999</v>
      </c>
    </row>
    <row r="674" spans="9:13" x14ac:dyDescent="0.25">
      <c r="I674" s="8">
        <v>22.5928916931</v>
      </c>
      <c r="K674" s="8">
        <v>824</v>
      </c>
      <c r="L674" s="8">
        <v>132.82420349099999</v>
      </c>
      <c r="M674" s="8">
        <v>22.118005752599998</v>
      </c>
    </row>
    <row r="675" spans="9:13" x14ac:dyDescent="0.25">
      <c r="I675" s="8">
        <v>29.497100830099999</v>
      </c>
      <c r="K675" s="8">
        <v>825</v>
      </c>
      <c r="L675" s="8">
        <v>56.345413207999997</v>
      </c>
      <c r="M675" s="8">
        <v>28.951854705799999</v>
      </c>
    </row>
    <row r="676" spans="9:13" x14ac:dyDescent="0.25">
      <c r="I676" s="8">
        <v>29.563495635999999</v>
      </c>
      <c r="K676" s="8">
        <v>826</v>
      </c>
      <c r="L676" s="8">
        <v>53.880310058600003</v>
      </c>
      <c r="M676" s="8">
        <v>29.225692749</v>
      </c>
    </row>
    <row r="677" spans="9:13" x14ac:dyDescent="0.25">
      <c r="I677" s="8">
        <v>60.104499816900002</v>
      </c>
      <c r="K677" s="8">
        <v>827</v>
      </c>
      <c r="L677" s="8">
        <v>198.72132873499999</v>
      </c>
      <c r="M677" s="8">
        <v>58.984626769999998</v>
      </c>
    </row>
    <row r="678" spans="9:13" x14ac:dyDescent="0.25">
      <c r="I678" s="8">
        <v>58.8476791382</v>
      </c>
      <c r="K678" s="8">
        <v>828</v>
      </c>
      <c r="L678" s="8">
        <v>154.51351928700001</v>
      </c>
      <c r="M678" s="8">
        <v>58.198699951199998</v>
      </c>
    </row>
    <row r="679" spans="9:13" x14ac:dyDescent="0.25">
      <c r="I679" s="8">
        <v>30.587436675999999</v>
      </c>
      <c r="K679" s="8">
        <v>829</v>
      </c>
      <c r="L679" s="8">
        <v>6.8520846366899999</v>
      </c>
      <c r="M679" s="8">
        <v>30.124813079799999</v>
      </c>
    </row>
    <row r="680" spans="9:13" x14ac:dyDescent="0.25">
      <c r="I680" s="8">
        <v>42.054210662800003</v>
      </c>
      <c r="K680" s="8">
        <v>830</v>
      </c>
      <c r="L680" s="8">
        <v>18.088418960599999</v>
      </c>
      <c r="M680" s="8">
        <v>41.472389221199997</v>
      </c>
    </row>
    <row r="681" spans="9:13" x14ac:dyDescent="0.25">
      <c r="I681" s="8">
        <v>41.978652954099999</v>
      </c>
      <c r="K681" s="8">
        <v>831</v>
      </c>
      <c r="L681" s="8">
        <v>17.689905166599999</v>
      </c>
      <c r="M681" s="8">
        <v>41.736717224099998</v>
      </c>
    </row>
    <row r="682" spans="9:13" x14ac:dyDescent="0.25">
      <c r="I682" s="8">
        <v>24.3972072601</v>
      </c>
      <c r="K682" s="8">
        <v>832</v>
      </c>
      <c r="L682" s="8">
        <v>12.121602058400001</v>
      </c>
      <c r="M682" s="8">
        <v>23.533317565899999</v>
      </c>
    </row>
    <row r="683" spans="9:13" x14ac:dyDescent="0.25">
      <c r="I683" s="8">
        <v>25.894096374499998</v>
      </c>
      <c r="K683" s="8">
        <v>833</v>
      </c>
      <c r="L683" s="8">
        <v>12.088127136200001</v>
      </c>
      <c r="M683" s="8">
        <v>25.779436111500001</v>
      </c>
    </row>
    <row r="684" spans="9:13" x14ac:dyDescent="0.25">
      <c r="I684" s="8">
        <v>37.983852386499997</v>
      </c>
      <c r="K684" s="8">
        <v>834</v>
      </c>
      <c r="L684" s="8">
        <v>1.2566680908200001</v>
      </c>
      <c r="M684" s="8">
        <v>37.941894531300001</v>
      </c>
    </row>
    <row r="685" spans="9:13" x14ac:dyDescent="0.25">
      <c r="I685" s="8">
        <v>46.0478973389</v>
      </c>
      <c r="K685" s="8">
        <v>835</v>
      </c>
      <c r="L685" s="8">
        <v>3.05769586563</v>
      </c>
      <c r="M685" s="8">
        <v>42.947864532499999</v>
      </c>
    </row>
    <row r="686" spans="9:13" x14ac:dyDescent="0.25">
      <c r="I686" s="8">
        <v>35.621765136699999</v>
      </c>
      <c r="K686" s="8">
        <v>836</v>
      </c>
      <c r="L686" s="8">
        <v>22.0625114441</v>
      </c>
      <c r="M686" s="8">
        <v>35.563354492199998</v>
      </c>
    </row>
    <row r="687" spans="9:13" x14ac:dyDescent="0.25">
      <c r="I687" s="8">
        <v>36.234104156500003</v>
      </c>
      <c r="K687" s="8">
        <v>837</v>
      </c>
      <c r="L687" s="8">
        <v>40.064575195300002</v>
      </c>
      <c r="M687" s="8">
        <v>35.645870208700003</v>
      </c>
    </row>
    <row r="688" spans="9:13" x14ac:dyDescent="0.25">
      <c r="I688" s="8">
        <v>66.936431884800001</v>
      </c>
      <c r="K688" s="8">
        <v>838</v>
      </c>
      <c r="L688" s="8">
        <v>198.58108520499999</v>
      </c>
      <c r="M688" s="8">
        <v>59.010375976600002</v>
      </c>
    </row>
    <row r="689" spans="9:13" x14ac:dyDescent="0.25">
      <c r="I689" s="8">
        <v>50.513771057100001</v>
      </c>
      <c r="K689" s="8">
        <v>839</v>
      </c>
      <c r="L689" s="8">
        <v>41.389987945599998</v>
      </c>
      <c r="M689" s="8">
        <v>50.403289794899997</v>
      </c>
    </row>
    <row r="690" spans="9:13" x14ac:dyDescent="0.25">
      <c r="I690" s="8">
        <v>58.403896331799999</v>
      </c>
      <c r="K690" s="8">
        <v>840</v>
      </c>
      <c r="L690" s="8">
        <v>31.868841171300001</v>
      </c>
      <c r="M690" s="8">
        <v>53.235130310099997</v>
      </c>
    </row>
    <row r="691" spans="9:13" x14ac:dyDescent="0.25">
      <c r="I691" s="8">
        <v>25.4490470886</v>
      </c>
      <c r="K691" s="8">
        <v>841</v>
      </c>
      <c r="L691" s="8">
        <v>9.6810102462799996</v>
      </c>
      <c r="M691" s="8">
        <v>25.2646961212</v>
      </c>
    </row>
    <row r="692" spans="9:13" x14ac:dyDescent="0.25">
      <c r="I692" s="8">
        <v>28.123878478999998</v>
      </c>
      <c r="K692" s="8">
        <v>842</v>
      </c>
      <c r="L692" s="8">
        <v>21.249439239499999</v>
      </c>
      <c r="M692" s="8">
        <v>27.825227737399999</v>
      </c>
    </row>
    <row r="693" spans="9:13" x14ac:dyDescent="0.25">
      <c r="I693" s="8">
        <v>90.075538635300006</v>
      </c>
      <c r="K693" s="8">
        <v>843</v>
      </c>
      <c r="L693" s="8">
        <v>290.54013061500001</v>
      </c>
      <c r="M693" s="8">
        <v>87.696044921899997</v>
      </c>
    </row>
    <row r="694" spans="9:13" x14ac:dyDescent="0.25">
      <c r="I694" s="8">
        <v>95.344062805199997</v>
      </c>
      <c r="K694" s="8">
        <v>844</v>
      </c>
      <c r="L694" s="8">
        <v>252.23928832999999</v>
      </c>
      <c r="M694" s="8">
        <v>92.916145324699997</v>
      </c>
    </row>
    <row r="695" spans="9:13" x14ac:dyDescent="0.25">
      <c r="I695" s="8">
        <v>89.931312560999999</v>
      </c>
      <c r="K695" s="8">
        <v>845</v>
      </c>
      <c r="L695" s="8">
        <v>140.55271911599999</v>
      </c>
      <c r="M695" s="8">
        <v>89.1865234375</v>
      </c>
    </row>
    <row r="696" spans="9:13" x14ac:dyDescent="0.25">
      <c r="I696" s="8">
        <v>96.854927063000005</v>
      </c>
      <c r="K696" s="8">
        <v>846</v>
      </c>
      <c r="L696" s="8">
        <v>140.154296875</v>
      </c>
      <c r="M696" s="8">
        <v>96.053146362299998</v>
      </c>
    </row>
    <row r="697" spans="9:13" x14ac:dyDescent="0.25">
      <c r="I697" s="8">
        <v>98.550575256299993</v>
      </c>
      <c r="K697" s="8">
        <v>847</v>
      </c>
      <c r="L697" s="8">
        <v>1.38692975044</v>
      </c>
      <c r="M697" s="8">
        <v>84.284416198700001</v>
      </c>
    </row>
    <row r="698" spans="9:13" x14ac:dyDescent="0.25">
      <c r="I698" s="8">
        <v>15.440763473500001</v>
      </c>
      <c r="K698" s="8">
        <v>848</v>
      </c>
      <c r="L698" s="8">
        <v>10.759857177700001</v>
      </c>
      <c r="M698" s="8">
        <v>15.3734817505</v>
      </c>
    </row>
    <row r="699" spans="9:13" x14ac:dyDescent="0.25">
      <c r="I699" s="8">
        <v>27.736474990800001</v>
      </c>
      <c r="K699" s="8">
        <v>849</v>
      </c>
      <c r="L699" s="8">
        <v>5.8328862190199997</v>
      </c>
      <c r="M699" s="8">
        <v>27.650241851800001</v>
      </c>
    </row>
    <row r="700" spans="9:13" x14ac:dyDescent="0.25">
      <c r="I700" s="8">
        <v>30.379999160800001</v>
      </c>
      <c r="K700" s="8">
        <v>852</v>
      </c>
      <c r="L700" s="8">
        <v>30.927404403699999</v>
      </c>
      <c r="M700" s="8">
        <v>30.379999160800001</v>
      </c>
    </row>
    <row r="701" spans="9:13" x14ac:dyDescent="0.25">
      <c r="I701" s="8">
        <v>30.3800010681</v>
      </c>
      <c r="K701" s="8">
        <v>853</v>
      </c>
      <c r="L701" s="8">
        <v>1</v>
      </c>
      <c r="M701" s="8">
        <v>30.3800010681</v>
      </c>
    </row>
    <row r="702" spans="9:13" x14ac:dyDescent="0.25">
      <c r="I702" s="8">
        <v>40.710002899199999</v>
      </c>
      <c r="K702" s="8">
        <v>854</v>
      </c>
      <c r="L702" s="8">
        <v>0</v>
      </c>
      <c r="M702" s="8">
        <v>40.710002899199999</v>
      </c>
    </row>
    <row r="703" spans="9:13" x14ac:dyDescent="0.25">
      <c r="I703" s="8">
        <v>14.7700004578</v>
      </c>
      <c r="K703" s="8">
        <v>855</v>
      </c>
      <c r="L703" s="8">
        <v>0</v>
      </c>
      <c r="M703" s="8">
        <v>14.7700004578</v>
      </c>
    </row>
    <row r="704" spans="9:13" x14ac:dyDescent="0.25">
      <c r="I704" s="8">
        <v>14.7700004578</v>
      </c>
      <c r="K704" s="8">
        <v>856</v>
      </c>
      <c r="L704" s="8">
        <v>0</v>
      </c>
      <c r="M704" s="8">
        <v>14.7700004578</v>
      </c>
    </row>
    <row r="705" spans="9:13" x14ac:dyDescent="0.25">
      <c r="I705" s="8">
        <v>35.049999237100003</v>
      </c>
      <c r="K705" s="8">
        <v>857</v>
      </c>
      <c r="L705" s="8">
        <v>137.861984253</v>
      </c>
      <c r="M705" s="8">
        <v>35.049999237100003</v>
      </c>
    </row>
    <row r="706" spans="9:13" x14ac:dyDescent="0.25">
      <c r="I706" s="8">
        <v>35.049999237100003</v>
      </c>
      <c r="K706" s="8">
        <v>858</v>
      </c>
      <c r="L706" s="8">
        <v>7.9999990463300001</v>
      </c>
      <c r="M706" s="8">
        <v>35.049999237100003</v>
      </c>
    </row>
    <row r="707" spans="9:13" x14ac:dyDescent="0.25">
      <c r="I707" s="8">
        <v>60.189994812000002</v>
      </c>
      <c r="K707" s="8">
        <v>859</v>
      </c>
      <c r="L707" s="8">
        <v>97.125526428200004</v>
      </c>
      <c r="M707" s="8">
        <v>60.189994812000002</v>
      </c>
    </row>
    <row r="708" spans="9:13" x14ac:dyDescent="0.25">
      <c r="I708" s="8">
        <v>60.190002441399997</v>
      </c>
      <c r="K708" s="8">
        <v>860</v>
      </c>
      <c r="L708" s="8">
        <v>1.99999976158</v>
      </c>
      <c r="M708" s="8">
        <v>60.190002441399997</v>
      </c>
    </row>
    <row r="709" spans="9:13" x14ac:dyDescent="0.25">
      <c r="I709" s="8">
        <v>25.190000534100001</v>
      </c>
      <c r="K709" s="8">
        <v>863</v>
      </c>
      <c r="L709" s="8">
        <v>75.459114074699997</v>
      </c>
      <c r="M709" s="8">
        <v>25.190000534100001</v>
      </c>
    </row>
    <row r="710" spans="9:13" x14ac:dyDescent="0.25">
      <c r="I710" s="8">
        <v>25.190000534100001</v>
      </c>
      <c r="K710" s="8">
        <v>864</v>
      </c>
      <c r="L710" s="8">
        <v>2.66666650772</v>
      </c>
      <c r="M710" s="8">
        <v>25.190000534100001</v>
      </c>
    </row>
    <row r="711" spans="9:13" x14ac:dyDescent="0.25">
      <c r="I711" s="8">
        <v>27.079999923700001</v>
      </c>
      <c r="K711" s="8">
        <v>865</v>
      </c>
      <c r="L711" s="8">
        <v>10.607843399</v>
      </c>
      <c r="M711" s="8">
        <v>27.079999923700001</v>
      </c>
    </row>
    <row r="712" spans="9:13" x14ac:dyDescent="0.25">
      <c r="I712" s="8">
        <v>27.079999923700001</v>
      </c>
      <c r="K712" s="8">
        <v>866</v>
      </c>
      <c r="L712" s="8">
        <v>0</v>
      </c>
      <c r="M712" s="8">
        <v>27.079999923700001</v>
      </c>
    </row>
    <row r="713" spans="9:13" x14ac:dyDescent="0.25">
      <c r="I713" s="8">
        <v>9.6100006103499993</v>
      </c>
      <c r="K713" s="8">
        <v>867</v>
      </c>
      <c r="L713" s="8">
        <v>0.33333334326699998</v>
      </c>
      <c r="M713" s="8">
        <v>9.6100006103499993</v>
      </c>
    </row>
    <row r="714" spans="9:13" x14ac:dyDescent="0.25">
      <c r="I714" s="8">
        <v>9.6100006103499993</v>
      </c>
      <c r="K714" s="8">
        <v>868</v>
      </c>
      <c r="L714" s="8">
        <v>0</v>
      </c>
      <c r="M714" s="8">
        <v>9.6100006103499993</v>
      </c>
    </row>
    <row r="715" spans="9:13" x14ac:dyDescent="0.25">
      <c r="I715" s="8">
        <v>62.5</v>
      </c>
      <c r="K715" s="8">
        <v>888</v>
      </c>
      <c r="L715" s="8">
        <v>32.763629913300001</v>
      </c>
      <c r="M715" s="8">
        <v>62.5</v>
      </c>
    </row>
    <row r="716" spans="9:13" x14ac:dyDescent="0.25">
      <c r="I716" s="8">
        <v>62.5</v>
      </c>
      <c r="K716" s="8">
        <v>889</v>
      </c>
      <c r="L716" s="8">
        <v>0.76000213623000001</v>
      </c>
      <c r="M716" s="8">
        <v>62.5</v>
      </c>
    </row>
    <row r="717" spans="9:13" x14ac:dyDescent="0.25">
      <c r="I717" s="8">
        <v>36.800006866499999</v>
      </c>
      <c r="K717" s="8">
        <v>890</v>
      </c>
      <c r="L717" s="8">
        <v>861.71356201200001</v>
      </c>
      <c r="M717" s="8">
        <v>36.800006866499999</v>
      </c>
    </row>
    <row r="718" spans="9:13" x14ac:dyDescent="0.25">
      <c r="I718" s="8">
        <v>36.799995422400002</v>
      </c>
      <c r="K718" s="8">
        <v>891</v>
      </c>
      <c r="L718" s="8">
        <v>559.02832031299999</v>
      </c>
      <c r="M718" s="8">
        <v>36.799995422400002</v>
      </c>
    </row>
    <row r="719" spans="9:13" x14ac:dyDescent="0.25">
      <c r="I719" s="8">
        <v>60</v>
      </c>
      <c r="K719" s="8">
        <v>892</v>
      </c>
      <c r="L719" s="8">
        <v>424.78024291999998</v>
      </c>
      <c r="M719" s="8">
        <v>60</v>
      </c>
    </row>
    <row r="720" spans="9:13" x14ac:dyDescent="0.25">
      <c r="I720" s="8">
        <v>7</v>
      </c>
      <c r="K720" s="8">
        <v>893</v>
      </c>
      <c r="L720" s="8">
        <v>28.344383239700001</v>
      </c>
      <c r="M720" s="8">
        <v>7</v>
      </c>
    </row>
    <row r="721" spans="9:13" x14ac:dyDescent="0.25">
      <c r="I721" s="8">
        <v>7</v>
      </c>
      <c r="K721" s="8">
        <v>894</v>
      </c>
      <c r="L721" s="8">
        <v>28.774084091199999</v>
      </c>
      <c r="M721" s="8">
        <v>7</v>
      </c>
    </row>
    <row r="722" spans="9:13" x14ac:dyDescent="0.25">
      <c r="I722" s="8">
        <v>2</v>
      </c>
      <c r="K722" s="8">
        <v>895</v>
      </c>
      <c r="L722" s="8">
        <v>0</v>
      </c>
      <c r="M722" s="8">
        <v>2</v>
      </c>
    </row>
    <row r="723" spans="9:13" x14ac:dyDescent="0.25">
      <c r="I723" s="8">
        <v>2</v>
      </c>
      <c r="K723" s="8">
        <v>896</v>
      </c>
      <c r="L723" s="8">
        <v>0</v>
      </c>
      <c r="M723" s="8">
        <v>2</v>
      </c>
    </row>
    <row r="724" spans="9:13" x14ac:dyDescent="0.25">
      <c r="I724" s="8">
        <v>60</v>
      </c>
      <c r="K724" s="8">
        <v>897</v>
      </c>
      <c r="L724" s="8">
        <v>25.427915573100002</v>
      </c>
      <c r="M724" s="8">
        <v>60</v>
      </c>
    </row>
    <row r="725" spans="9:13" x14ac:dyDescent="0.25">
      <c r="I725" s="8">
        <v>46.680881500200002</v>
      </c>
      <c r="K725" s="8">
        <v>898</v>
      </c>
      <c r="L725" s="8">
        <v>1.3094100952100001</v>
      </c>
      <c r="M725" s="8">
        <v>45.606739044199998</v>
      </c>
    </row>
    <row r="726" spans="9:13" x14ac:dyDescent="0.25">
      <c r="I726" s="8">
        <v>49.931171417199998</v>
      </c>
      <c r="K726" s="8">
        <v>899</v>
      </c>
      <c r="L726" s="8">
        <v>8.0154857635500001</v>
      </c>
      <c r="M726" s="8">
        <v>48.296665191700001</v>
      </c>
    </row>
    <row r="727" spans="9:13" x14ac:dyDescent="0.25">
      <c r="I727" s="8">
        <v>34.876609802200001</v>
      </c>
      <c r="K727" s="8">
        <v>900</v>
      </c>
      <c r="L727" s="8">
        <v>8.8905906677199997</v>
      </c>
      <c r="M727" s="8">
        <v>34.573215484599999</v>
      </c>
    </row>
    <row r="728" spans="9:13" x14ac:dyDescent="0.25">
      <c r="I728" s="8">
        <v>35.245281219500001</v>
      </c>
      <c r="K728" s="8">
        <v>901</v>
      </c>
      <c r="L728" s="8">
        <v>28.522233963000001</v>
      </c>
      <c r="M728" s="8">
        <v>34.878376007100002</v>
      </c>
    </row>
    <row r="729" spans="9:13" x14ac:dyDescent="0.25">
      <c r="I729" s="8">
        <v>35.295509338400002</v>
      </c>
      <c r="K729" s="8">
        <v>902</v>
      </c>
      <c r="L729" s="8">
        <v>12.282610893199999</v>
      </c>
      <c r="M729" s="8">
        <v>34.9899787903</v>
      </c>
    </row>
    <row r="730" spans="9:13" x14ac:dyDescent="0.25">
      <c r="I730" s="8">
        <v>35.166450500499998</v>
      </c>
      <c r="K730" s="8">
        <v>903</v>
      </c>
      <c r="L730" s="8">
        <v>18.442510604900001</v>
      </c>
      <c r="M730" s="8">
        <v>34.807785034200002</v>
      </c>
    </row>
    <row r="731" spans="9:13" x14ac:dyDescent="0.25">
      <c r="I731" s="8">
        <v>27.232513427699999</v>
      </c>
      <c r="K731" s="8">
        <v>904</v>
      </c>
      <c r="L731" s="8">
        <v>0</v>
      </c>
      <c r="M731" s="8">
        <v>27.0195331573</v>
      </c>
    </row>
    <row r="732" spans="9:13" x14ac:dyDescent="0.25">
      <c r="I732" s="8">
        <v>31.9884243011</v>
      </c>
      <c r="K732" s="8">
        <v>905</v>
      </c>
      <c r="L732" s="8">
        <v>72.544357299799998</v>
      </c>
      <c r="M732" s="8">
        <v>31.767597198499999</v>
      </c>
    </row>
    <row r="733" spans="9:13" x14ac:dyDescent="0.25">
      <c r="I733" s="8">
        <v>17.9669208527</v>
      </c>
      <c r="K733" s="8">
        <v>906</v>
      </c>
      <c r="L733" s="8">
        <v>12.5206823349</v>
      </c>
      <c r="M733" s="8">
        <v>17.601882934599999</v>
      </c>
    </row>
    <row r="734" spans="9:13" x14ac:dyDescent="0.25">
      <c r="I734" s="8">
        <v>18.321521758999999</v>
      </c>
      <c r="K734" s="8">
        <v>907</v>
      </c>
      <c r="L734" s="8">
        <v>12.4693775177</v>
      </c>
      <c r="M734" s="8">
        <v>18.028854370099999</v>
      </c>
    </row>
    <row r="735" spans="9:13" x14ac:dyDescent="0.25">
      <c r="I735" s="8">
        <v>39.448112487800003</v>
      </c>
      <c r="K735" s="8">
        <v>908</v>
      </c>
      <c r="L735" s="8">
        <v>0</v>
      </c>
      <c r="M735" s="8">
        <v>38.9557304382</v>
      </c>
    </row>
    <row r="736" spans="9:13" x14ac:dyDescent="0.25">
      <c r="I736" s="8">
        <v>55.269634246800003</v>
      </c>
      <c r="K736" s="8">
        <v>909</v>
      </c>
      <c r="L736" s="8">
        <v>43.104274749799998</v>
      </c>
      <c r="M736" s="8">
        <v>54.249893188500003</v>
      </c>
    </row>
    <row r="737" spans="9:13" x14ac:dyDescent="0.25">
      <c r="I737" s="8">
        <v>56.063648223900003</v>
      </c>
      <c r="K737" s="8">
        <v>910</v>
      </c>
      <c r="L737" s="8">
        <v>30.178506851200002</v>
      </c>
      <c r="M737" s="8">
        <v>55.748363494899998</v>
      </c>
    </row>
    <row r="738" spans="9:13" x14ac:dyDescent="0.25">
      <c r="I738" s="8">
        <v>47.032604217500001</v>
      </c>
      <c r="K738" s="8">
        <v>911</v>
      </c>
      <c r="L738" s="8">
        <v>55.197029113799999</v>
      </c>
      <c r="M738" s="8">
        <v>46.548934936499997</v>
      </c>
    </row>
    <row r="739" spans="9:13" x14ac:dyDescent="0.25">
      <c r="I739" s="8">
        <v>55.049057006799998</v>
      </c>
      <c r="K739" s="8">
        <v>912</v>
      </c>
      <c r="L739" s="8">
        <v>16.2265739441</v>
      </c>
      <c r="M739" s="8">
        <v>54.530818939200003</v>
      </c>
    </row>
    <row r="740" spans="9:13" x14ac:dyDescent="0.25">
      <c r="I740" s="8">
        <v>17.2431755066</v>
      </c>
      <c r="K740" s="8">
        <v>913</v>
      </c>
      <c r="L740" s="8">
        <v>4.4600019455000002</v>
      </c>
      <c r="M740" s="8">
        <v>17.0001831055</v>
      </c>
    </row>
    <row r="741" spans="9:13" x14ac:dyDescent="0.25">
      <c r="I741" s="8">
        <v>11.9120006561</v>
      </c>
      <c r="K741" s="8">
        <v>914</v>
      </c>
      <c r="L741" s="8">
        <v>0</v>
      </c>
      <c r="M741" s="8">
        <v>11.8389892578</v>
      </c>
    </row>
    <row r="742" spans="9:13" x14ac:dyDescent="0.25">
      <c r="I742" s="8">
        <v>38.589420318599998</v>
      </c>
      <c r="K742" s="8">
        <v>915</v>
      </c>
      <c r="L742" s="8">
        <v>0</v>
      </c>
      <c r="M742" s="8">
        <v>38.081020355200003</v>
      </c>
    </row>
    <row r="743" spans="9:13" x14ac:dyDescent="0.25">
      <c r="I743" s="8">
        <v>52.948837280299998</v>
      </c>
      <c r="K743" s="8">
        <v>916</v>
      </c>
      <c r="L743" s="8">
        <v>60.935558319099997</v>
      </c>
      <c r="M743" s="8">
        <v>52.024250030499999</v>
      </c>
    </row>
    <row r="744" spans="9:13" x14ac:dyDescent="0.25">
      <c r="I744" s="8">
        <v>26.090864181499999</v>
      </c>
      <c r="K744" s="8">
        <v>917</v>
      </c>
      <c r="L744" s="8">
        <v>1.0476191043900001</v>
      </c>
      <c r="M744" s="8">
        <v>26.030456543</v>
      </c>
    </row>
    <row r="745" spans="9:13" x14ac:dyDescent="0.25">
      <c r="I745" s="8">
        <v>20.029827117899998</v>
      </c>
      <c r="K745" s="8">
        <v>918</v>
      </c>
      <c r="L745" s="8">
        <v>3.7331066131599999</v>
      </c>
      <c r="M745" s="8">
        <v>19.849302291899999</v>
      </c>
    </row>
    <row r="746" spans="9:13" x14ac:dyDescent="0.25">
      <c r="I746" s="8">
        <v>20.554597854600001</v>
      </c>
      <c r="K746" s="8">
        <v>919</v>
      </c>
      <c r="L746" s="8">
        <v>12.375369072</v>
      </c>
      <c r="M746" s="8">
        <v>20.1334533691</v>
      </c>
    </row>
    <row r="747" spans="9:13" x14ac:dyDescent="0.25">
      <c r="I747" s="8">
        <v>54.194984435999999</v>
      </c>
      <c r="K747" s="8">
        <v>920</v>
      </c>
      <c r="L747" s="8">
        <v>19.136272430399998</v>
      </c>
      <c r="M747" s="8">
        <v>52.7308654785</v>
      </c>
    </row>
    <row r="748" spans="9:13" x14ac:dyDescent="0.25">
      <c r="I748" s="8">
        <v>40.3951835632</v>
      </c>
      <c r="K748" s="8">
        <v>921</v>
      </c>
      <c r="L748" s="8">
        <v>31.400568008400001</v>
      </c>
      <c r="M748" s="8">
        <v>40.072990417500002</v>
      </c>
    </row>
    <row r="749" spans="9:13" x14ac:dyDescent="0.25">
      <c r="I749" s="8">
        <v>42.865798950200002</v>
      </c>
      <c r="K749" s="8">
        <v>922</v>
      </c>
      <c r="L749" s="8">
        <v>112.276512146</v>
      </c>
      <c r="M749" s="8">
        <v>42.230735778800003</v>
      </c>
    </row>
    <row r="750" spans="9:13" x14ac:dyDescent="0.25">
      <c r="I750" s="8">
        <v>44.072437286400003</v>
      </c>
      <c r="K750" s="8">
        <v>923</v>
      </c>
      <c r="L750" s="8">
        <v>2.90765023232</v>
      </c>
      <c r="M750" s="8">
        <v>43.447216033899998</v>
      </c>
    </row>
    <row r="751" spans="9:13" x14ac:dyDescent="0.25">
      <c r="I751" s="8">
        <v>50.383312225300003</v>
      </c>
      <c r="K751" s="8">
        <v>924</v>
      </c>
      <c r="L751" s="8">
        <v>81.765464782699993</v>
      </c>
      <c r="M751" s="8">
        <v>49.313018798800002</v>
      </c>
    </row>
    <row r="752" spans="9:13" x14ac:dyDescent="0.25">
      <c r="I752" s="8">
        <v>59.155956268300002</v>
      </c>
      <c r="K752" s="8">
        <v>925</v>
      </c>
      <c r="L752" s="8">
        <v>3.3042073249800001</v>
      </c>
      <c r="M752" s="8">
        <v>58.440589904799999</v>
      </c>
    </row>
    <row r="753" spans="9:13" x14ac:dyDescent="0.25">
      <c r="I753" s="8">
        <v>34.482666015600003</v>
      </c>
      <c r="K753" s="8">
        <v>926</v>
      </c>
      <c r="L753" s="8">
        <v>30.596010208100001</v>
      </c>
      <c r="M753" s="8">
        <v>34.219150543200001</v>
      </c>
    </row>
    <row r="754" spans="9:13" x14ac:dyDescent="0.25">
      <c r="I754" s="8">
        <v>10.1062936783</v>
      </c>
      <c r="K754" s="8">
        <v>927</v>
      </c>
      <c r="L754" s="8">
        <v>0.70543611049699995</v>
      </c>
      <c r="M754" s="8">
        <v>10.0349435806</v>
      </c>
    </row>
    <row r="755" spans="9:13" x14ac:dyDescent="0.25">
      <c r="I755" s="8">
        <v>10.5311384201</v>
      </c>
      <c r="K755" s="8">
        <v>928</v>
      </c>
      <c r="L755" s="8">
        <v>0.84489798545799999</v>
      </c>
      <c r="M755" s="8">
        <v>10.460523605300001</v>
      </c>
    </row>
    <row r="756" spans="9:13" x14ac:dyDescent="0.25">
      <c r="I756" s="8">
        <v>17.851881027200001</v>
      </c>
      <c r="K756" s="8">
        <v>929</v>
      </c>
      <c r="L756" s="8">
        <v>0.82634818553900002</v>
      </c>
      <c r="M756" s="8">
        <v>17.605173110999999</v>
      </c>
    </row>
    <row r="757" spans="9:13" x14ac:dyDescent="0.25">
      <c r="I757" s="8">
        <v>17.981615066500002</v>
      </c>
      <c r="K757" s="8">
        <v>930</v>
      </c>
      <c r="L757" s="8">
        <v>0.81555837392800001</v>
      </c>
      <c r="M757" s="8">
        <v>17.728355407700001</v>
      </c>
    </row>
    <row r="758" spans="9:13" x14ac:dyDescent="0.25">
      <c r="I758" s="8">
        <v>13.641160964999999</v>
      </c>
      <c r="K758" s="8">
        <v>931</v>
      </c>
      <c r="L758" s="8">
        <v>3.7340080738100001</v>
      </c>
      <c r="M758" s="8">
        <v>13.4816608429</v>
      </c>
    </row>
    <row r="759" spans="9:13" x14ac:dyDescent="0.25">
      <c r="I759" s="8">
        <v>25.562696456899999</v>
      </c>
      <c r="K759" s="8">
        <v>932</v>
      </c>
      <c r="L759" s="8">
        <v>16.1607818604</v>
      </c>
      <c r="M759" s="8">
        <v>25.208574294999998</v>
      </c>
    </row>
    <row r="760" spans="9:13" x14ac:dyDescent="0.25">
      <c r="I760" s="8">
        <v>29.289279937700002</v>
      </c>
      <c r="K760" s="8">
        <v>933</v>
      </c>
      <c r="L760" s="8">
        <v>26.879360199000001</v>
      </c>
      <c r="M760" s="8">
        <v>28.937982559200002</v>
      </c>
    </row>
    <row r="761" spans="9:13" x14ac:dyDescent="0.25">
      <c r="I761" s="8">
        <v>33.074764251700003</v>
      </c>
      <c r="K761" s="8">
        <v>934</v>
      </c>
      <c r="L761" s="8">
        <v>18.241569518999999</v>
      </c>
      <c r="M761" s="8">
        <v>32.702270507800002</v>
      </c>
    </row>
    <row r="762" spans="9:13" x14ac:dyDescent="0.25">
      <c r="I762" s="8">
        <v>25.012725830099999</v>
      </c>
      <c r="K762" s="8">
        <v>935</v>
      </c>
      <c r="L762" s="8">
        <v>7.6661052703900001</v>
      </c>
      <c r="M762" s="8">
        <v>24.786525726299999</v>
      </c>
    </row>
    <row r="763" spans="9:13" x14ac:dyDescent="0.25">
      <c r="I763" s="8">
        <v>25.7580432892</v>
      </c>
      <c r="K763" s="8">
        <v>936</v>
      </c>
      <c r="L763" s="8">
        <v>8.7006521224999993</v>
      </c>
      <c r="M763" s="8">
        <v>25.3627719879</v>
      </c>
    </row>
    <row r="764" spans="9:13" x14ac:dyDescent="0.25">
      <c r="I764" s="8">
        <v>27.555400848400001</v>
      </c>
      <c r="K764" s="8">
        <v>937</v>
      </c>
      <c r="L764" s="8">
        <v>1.0114285945899999</v>
      </c>
      <c r="M764" s="8">
        <v>26.893728256199999</v>
      </c>
    </row>
    <row r="765" spans="9:13" x14ac:dyDescent="0.25">
      <c r="I765" s="8">
        <v>22.937076568599998</v>
      </c>
      <c r="K765" s="8">
        <v>938</v>
      </c>
      <c r="L765" s="8">
        <v>1.8943977355999999</v>
      </c>
      <c r="M765" s="8">
        <v>22.600950241100001</v>
      </c>
    </row>
    <row r="766" spans="9:13" x14ac:dyDescent="0.25">
      <c r="I766" s="8">
        <v>24.287633895900001</v>
      </c>
      <c r="K766" s="8">
        <v>939</v>
      </c>
      <c r="L766" s="8">
        <v>2.10404467583</v>
      </c>
      <c r="M766" s="8">
        <v>23.829248428300001</v>
      </c>
    </row>
    <row r="767" spans="9:13" x14ac:dyDescent="0.25">
      <c r="I767" s="8">
        <v>21.813945770299998</v>
      </c>
      <c r="K767" s="8">
        <v>940</v>
      </c>
      <c r="L767" s="8">
        <v>0.77637875080100005</v>
      </c>
      <c r="M767" s="8">
        <v>21.735158920300002</v>
      </c>
    </row>
    <row r="768" spans="9:13" x14ac:dyDescent="0.25">
      <c r="I768" s="8">
        <v>23.148130416899999</v>
      </c>
      <c r="K768" s="8">
        <v>941</v>
      </c>
      <c r="L768" s="8">
        <v>6.5020980835</v>
      </c>
      <c r="M768" s="8">
        <v>22.8395671844</v>
      </c>
    </row>
    <row r="769" spans="9:13" x14ac:dyDescent="0.25">
      <c r="I769" s="8">
        <v>11.316305160500001</v>
      </c>
      <c r="K769" s="8">
        <v>942</v>
      </c>
      <c r="L769" s="8">
        <v>0</v>
      </c>
      <c r="M769" s="8">
        <v>11.096035003700001</v>
      </c>
    </row>
    <row r="770" spans="9:13" x14ac:dyDescent="0.25">
      <c r="I770" s="8">
        <v>26.8953533173</v>
      </c>
      <c r="K770" s="8">
        <v>943</v>
      </c>
      <c r="L770" s="8">
        <v>6.2499992549400002E-2</v>
      </c>
      <c r="M770" s="8">
        <v>26.821599960299999</v>
      </c>
    </row>
    <row r="771" spans="9:13" x14ac:dyDescent="0.25">
      <c r="I771" s="8">
        <v>22.985858917200002</v>
      </c>
      <c r="K771" s="8">
        <v>944</v>
      </c>
      <c r="L771" s="8">
        <v>1.6898149251900001</v>
      </c>
      <c r="M771" s="8">
        <v>22.836349487300001</v>
      </c>
    </row>
    <row r="772" spans="9:13" x14ac:dyDescent="0.25">
      <c r="I772" s="8">
        <v>24.501098632800002</v>
      </c>
      <c r="K772" s="8">
        <v>945</v>
      </c>
      <c r="L772" s="8">
        <v>5.0261478424100003</v>
      </c>
      <c r="M772" s="8">
        <v>24.187236785900001</v>
      </c>
    </row>
    <row r="773" spans="9:13" x14ac:dyDescent="0.25">
      <c r="I773" s="8">
        <v>18.7252120972</v>
      </c>
      <c r="K773" s="8">
        <v>946</v>
      </c>
      <c r="L773" s="8">
        <v>1.73925447464</v>
      </c>
      <c r="M773" s="8">
        <v>18.502162933299999</v>
      </c>
    </row>
    <row r="774" spans="9:13" x14ac:dyDescent="0.25">
      <c r="I774" s="8">
        <v>20.853353500400001</v>
      </c>
      <c r="K774" s="8">
        <v>947</v>
      </c>
      <c r="L774" s="8">
        <v>1.65269637108</v>
      </c>
      <c r="M774" s="8">
        <v>20.542095184299999</v>
      </c>
    </row>
    <row r="775" spans="9:13" x14ac:dyDescent="0.25">
      <c r="I775" s="8">
        <v>27.5616950989</v>
      </c>
      <c r="K775" s="8">
        <v>948</v>
      </c>
      <c r="L775" s="8">
        <v>0.83887875080100005</v>
      </c>
      <c r="M775" s="8">
        <v>27.3060836792</v>
      </c>
    </row>
    <row r="776" spans="9:13" x14ac:dyDescent="0.25">
      <c r="I776" s="8">
        <v>29.918767929099999</v>
      </c>
      <c r="K776" s="8">
        <v>949</v>
      </c>
      <c r="L776" s="8">
        <v>2.21427726746</v>
      </c>
      <c r="M776" s="8">
        <v>29.584651947000001</v>
      </c>
    </row>
    <row r="777" spans="9:13" x14ac:dyDescent="0.25">
      <c r="I777" s="8">
        <v>9.2363605499299997</v>
      </c>
      <c r="K777" s="8">
        <v>950</v>
      </c>
      <c r="L777" s="8">
        <v>1.42857152969E-2</v>
      </c>
      <c r="M777" s="8">
        <v>9.1622076034499997</v>
      </c>
    </row>
    <row r="778" spans="9:13" x14ac:dyDescent="0.25">
      <c r="I778" s="8">
        <v>19.036052703900001</v>
      </c>
      <c r="K778" s="8">
        <v>951</v>
      </c>
      <c r="L778" s="8">
        <v>0.257501602173</v>
      </c>
      <c r="M778" s="8">
        <v>18.7317237854</v>
      </c>
    </row>
    <row r="779" spans="9:13" x14ac:dyDescent="0.25">
      <c r="I779" s="8">
        <v>38.363693237299998</v>
      </c>
      <c r="K779" s="8">
        <v>952</v>
      </c>
      <c r="L779" s="8">
        <v>6.0009002685500003E-2</v>
      </c>
      <c r="M779" s="8">
        <v>36.903907775900002</v>
      </c>
    </row>
    <row r="780" spans="9:13" x14ac:dyDescent="0.25">
      <c r="I780" s="8">
        <v>34.069107055700002</v>
      </c>
      <c r="K780" s="8">
        <v>953</v>
      </c>
      <c r="L780" s="8">
        <v>2.4347653389000001</v>
      </c>
      <c r="M780" s="8">
        <v>33.7119369507</v>
      </c>
    </row>
    <row r="781" spans="9:13" x14ac:dyDescent="0.25">
      <c r="I781" s="8">
        <v>23.7587528229</v>
      </c>
      <c r="K781" s="8">
        <v>954</v>
      </c>
      <c r="L781" s="8">
        <v>7.0527596473700003</v>
      </c>
      <c r="M781" s="8">
        <v>23.471685409500001</v>
      </c>
    </row>
    <row r="782" spans="9:13" x14ac:dyDescent="0.25">
      <c r="I782" s="8">
        <v>34.323947906500003</v>
      </c>
      <c r="K782" s="8">
        <v>955</v>
      </c>
      <c r="L782" s="8">
        <v>6.5707545280500002</v>
      </c>
      <c r="M782" s="8">
        <v>33.7557868958</v>
      </c>
    </row>
    <row r="783" spans="9:13" x14ac:dyDescent="0.25">
      <c r="I783" s="8">
        <v>29.3702354431</v>
      </c>
      <c r="K783" s="8">
        <v>956</v>
      </c>
      <c r="L783" s="8">
        <v>4.3805031776399996</v>
      </c>
      <c r="M783" s="8">
        <v>28.727340698199999</v>
      </c>
    </row>
    <row r="784" spans="9:13" x14ac:dyDescent="0.25">
      <c r="I784" s="8">
        <v>20.642688751200001</v>
      </c>
      <c r="K784" s="8">
        <v>957</v>
      </c>
      <c r="L784" s="8">
        <v>5.1587572097800001</v>
      </c>
      <c r="M784" s="8">
        <v>20.312492370600001</v>
      </c>
    </row>
    <row r="785" spans="9:13" x14ac:dyDescent="0.25">
      <c r="I785" s="8">
        <v>14.0399999619</v>
      </c>
      <c r="K785" s="8">
        <v>958</v>
      </c>
      <c r="L785" s="8">
        <v>0</v>
      </c>
      <c r="M785" s="8">
        <v>14.0399999619</v>
      </c>
    </row>
    <row r="786" spans="9:13" x14ac:dyDescent="0.25">
      <c r="I786" s="8">
        <v>14.0399999619</v>
      </c>
      <c r="K786" s="8">
        <v>959</v>
      </c>
      <c r="L786" s="8">
        <v>1.92357206345</v>
      </c>
      <c r="M786" s="8">
        <v>14.0399999619</v>
      </c>
    </row>
    <row r="787" spans="9:13" x14ac:dyDescent="0.25">
      <c r="I787" s="8">
        <v>32.383361816399997</v>
      </c>
      <c r="K787" s="8">
        <v>960</v>
      </c>
      <c r="L787" s="8">
        <v>29.294475555399998</v>
      </c>
      <c r="M787" s="8">
        <v>29.647958755499999</v>
      </c>
    </row>
    <row r="788" spans="9:13" x14ac:dyDescent="0.25">
      <c r="I788" s="8">
        <v>27.4031486511</v>
      </c>
      <c r="K788" s="8">
        <v>961</v>
      </c>
      <c r="L788" s="8">
        <v>6.8397951126100001</v>
      </c>
      <c r="M788" s="8">
        <v>26.874225616499999</v>
      </c>
    </row>
    <row r="789" spans="9:13" x14ac:dyDescent="0.25">
      <c r="I789" s="8">
        <v>26.9930400848</v>
      </c>
      <c r="K789" s="8">
        <v>962</v>
      </c>
      <c r="L789" s="8">
        <v>1.8709795475</v>
      </c>
      <c r="M789" s="8">
        <v>26.586833953900001</v>
      </c>
    </row>
    <row r="790" spans="9:13" x14ac:dyDescent="0.25">
      <c r="I790" s="8">
        <v>27.042518615700001</v>
      </c>
      <c r="K790" s="8">
        <v>963</v>
      </c>
      <c r="L790" s="8">
        <v>4.3001317977899998</v>
      </c>
      <c r="M790" s="8">
        <v>26.508762359599999</v>
      </c>
    </row>
    <row r="791" spans="9:13" x14ac:dyDescent="0.25">
      <c r="I791" s="8">
        <v>28.0776042938</v>
      </c>
      <c r="K791" s="8">
        <v>964</v>
      </c>
      <c r="L791" s="8">
        <v>0</v>
      </c>
      <c r="M791" s="8">
        <v>27.908229827900001</v>
      </c>
    </row>
    <row r="792" spans="9:13" x14ac:dyDescent="0.25">
      <c r="I792" s="8">
        <v>68.384895324699997</v>
      </c>
      <c r="K792" s="8">
        <v>965</v>
      </c>
      <c r="L792" s="8">
        <v>9.77325057983</v>
      </c>
      <c r="M792" s="8">
        <v>67.310432434099994</v>
      </c>
    </row>
    <row r="793" spans="9:13" x14ac:dyDescent="0.25">
      <c r="I793" s="8">
        <v>7.8115592002899996</v>
      </c>
      <c r="K793" s="8">
        <v>966</v>
      </c>
      <c r="L793" s="8">
        <v>1.4288765378300001E-3</v>
      </c>
      <c r="M793" s="8">
        <v>7.8198928832999997</v>
      </c>
    </row>
    <row r="794" spans="9:13" x14ac:dyDescent="0.25">
      <c r="I794" s="8">
        <v>42.751506805399998</v>
      </c>
      <c r="K794" s="8">
        <v>967</v>
      </c>
      <c r="L794" s="8">
        <v>14.554348945599999</v>
      </c>
      <c r="M794" s="8">
        <v>41.359348297099999</v>
      </c>
    </row>
    <row r="795" spans="9:13" x14ac:dyDescent="0.25">
      <c r="I795" s="8">
        <v>41.562450408899998</v>
      </c>
      <c r="K795" s="8">
        <v>968</v>
      </c>
      <c r="L795" s="8">
        <v>9.6580972671499996</v>
      </c>
      <c r="M795" s="8">
        <v>38.973224639900003</v>
      </c>
    </row>
    <row r="796" spans="9:13" x14ac:dyDescent="0.25">
      <c r="I796" s="8">
        <v>38.884727478000002</v>
      </c>
      <c r="K796" s="8">
        <v>969</v>
      </c>
      <c r="L796" s="8">
        <v>11.808288574200001</v>
      </c>
      <c r="M796" s="8">
        <v>37.991428375200002</v>
      </c>
    </row>
    <row r="797" spans="9:13" x14ac:dyDescent="0.25">
      <c r="I797" s="8">
        <v>42.768661498999997</v>
      </c>
      <c r="K797" s="8">
        <v>970</v>
      </c>
      <c r="L797" s="8">
        <v>16.575363159199998</v>
      </c>
      <c r="M797" s="8">
        <v>42.5222473145</v>
      </c>
    </row>
    <row r="798" spans="9:13" x14ac:dyDescent="0.25">
      <c r="I798" s="8">
        <v>38.120941162100003</v>
      </c>
      <c r="K798" s="8">
        <v>971</v>
      </c>
      <c r="L798" s="8">
        <v>16.904760360699999</v>
      </c>
      <c r="M798" s="8">
        <v>37.400421142600003</v>
      </c>
    </row>
    <row r="799" spans="9:13" x14ac:dyDescent="0.25">
      <c r="I799" s="8">
        <v>9.5600004196199997</v>
      </c>
      <c r="K799" s="8">
        <v>972</v>
      </c>
      <c r="L799" s="8">
        <v>0</v>
      </c>
      <c r="M799" s="8">
        <v>9.5600004196199997</v>
      </c>
    </row>
    <row r="800" spans="9:13" x14ac:dyDescent="0.25">
      <c r="I800" s="8">
        <v>9.5600004196199997</v>
      </c>
      <c r="K800" s="8">
        <v>973</v>
      </c>
      <c r="L800" s="8">
        <v>0.53097343444800005</v>
      </c>
      <c r="M800" s="8">
        <v>9.5600004196199997</v>
      </c>
    </row>
    <row r="801" spans="9:13" x14ac:dyDescent="0.25">
      <c r="I801" s="8">
        <v>31.3029003143</v>
      </c>
      <c r="K801" s="8">
        <v>974</v>
      </c>
      <c r="L801" s="8">
        <v>5.03214836121</v>
      </c>
      <c r="M801" s="8">
        <v>30.849769592299999</v>
      </c>
    </row>
    <row r="802" spans="9:13" x14ac:dyDescent="0.25">
      <c r="I802" s="8">
        <v>26.358312606799998</v>
      </c>
      <c r="K802" s="8">
        <v>975</v>
      </c>
      <c r="L802" s="8">
        <v>7.0527596473700003</v>
      </c>
      <c r="M802" s="8">
        <v>26.004226684599999</v>
      </c>
    </row>
    <row r="803" spans="9:13" x14ac:dyDescent="0.25">
      <c r="I803" s="8">
        <v>31.3577823639</v>
      </c>
      <c r="K803" s="8">
        <v>976</v>
      </c>
      <c r="L803" s="8">
        <v>0</v>
      </c>
      <c r="M803" s="8">
        <v>31.333257675199999</v>
      </c>
    </row>
    <row r="804" spans="9:13" x14ac:dyDescent="0.25">
      <c r="I804" s="8">
        <v>24.976425170900001</v>
      </c>
      <c r="K804" s="8">
        <v>977</v>
      </c>
      <c r="L804" s="8">
        <v>2.83145403862</v>
      </c>
      <c r="M804" s="8">
        <v>24.239459991499999</v>
      </c>
    </row>
    <row r="805" spans="9:13" x14ac:dyDescent="0.25">
      <c r="I805" s="8">
        <v>28.829191207899999</v>
      </c>
      <c r="K805" s="8">
        <v>978</v>
      </c>
      <c r="L805" s="8">
        <v>1.65269637108</v>
      </c>
      <c r="M805" s="8">
        <v>28.4498348236</v>
      </c>
    </row>
    <row r="806" spans="9:13" x14ac:dyDescent="0.25">
      <c r="I806" s="8">
        <v>28.1701049805</v>
      </c>
      <c r="K806" s="8">
        <v>979</v>
      </c>
      <c r="L806" s="8">
        <v>1.1225607395199999</v>
      </c>
      <c r="M806" s="8">
        <v>27.886159896900001</v>
      </c>
    </row>
    <row r="807" spans="9:13" x14ac:dyDescent="0.25">
      <c r="I807" s="8">
        <v>24.7186317444</v>
      </c>
      <c r="K807" s="8">
        <v>980</v>
      </c>
      <c r="L807" s="8">
        <v>2.4808297157300001</v>
      </c>
      <c r="M807" s="8">
        <v>24.572711944600002</v>
      </c>
    </row>
    <row r="808" spans="9:13" x14ac:dyDescent="0.25">
      <c r="I808" s="8">
        <v>24.306175231899999</v>
      </c>
      <c r="K808" s="8">
        <v>981</v>
      </c>
      <c r="L808" s="8">
        <v>9.5981922149700001</v>
      </c>
      <c r="M808" s="8">
        <v>24.1019477844</v>
      </c>
    </row>
    <row r="809" spans="9:13" x14ac:dyDescent="0.25">
      <c r="I809" s="8">
        <v>24.659353256199999</v>
      </c>
      <c r="K809" s="8">
        <v>982</v>
      </c>
      <c r="L809" s="8">
        <v>9.5981922149700001</v>
      </c>
      <c r="M809" s="8">
        <v>24.401361465499999</v>
      </c>
    </row>
    <row r="810" spans="9:13" x14ac:dyDescent="0.25">
      <c r="I810" s="8">
        <v>25.341865539600001</v>
      </c>
      <c r="K810" s="8">
        <v>983</v>
      </c>
      <c r="L810" s="8">
        <v>4.6759448051500003</v>
      </c>
      <c r="M810" s="8">
        <v>25.201032638499999</v>
      </c>
    </row>
    <row r="811" spans="9:13" x14ac:dyDescent="0.25">
      <c r="I811" s="8">
        <v>45.485839843800001</v>
      </c>
      <c r="K811" s="8">
        <v>984</v>
      </c>
      <c r="L811" s="8">
        <v>1.2887694835700001</v>
      </c>
      <c r="M811" s="8">
        <v>45.063796997099999</v>
      </c>
    </row>
    <row r="812" spans="9:13" x14ac:dyDescent="0.25">
      <c r="I812" s="8">
        <v>21.877851486200001</v>
      </c>
      <c r="K812" s="8">
        <v>985</v>
      </c>
      <c r="L812" s="8">
        <v>3.9672615528100001</v>
      </c>
      <c r="M812" s="8">
        <v>21.741621017500002</v>
      </c>
    </row>
    <row r="813" spans="9:13" x14ac:dyDescent="0.25">
      <c r="I813" s="8">
        <v>21.3615818024</v>
      </c>
      <c r="K813" s="8">
        <v>986</v>
      </c>
      <c r="L813" s="8">
        <v>9.7923793792700007</v>
      </c>
      <c r="M813" s="8">
        <v>21.0050773621</v>
      </c>
    </row>
    <row r="814" spans="9:13" x14ac:dyDescent="0.25">
      <c r="I814" s="8">
        <v>21.245830535900001</v>
      </c>
      <c r="K814" s="8">
        <v>987</v>
      </c>
      <c r="L814" s="8">
        <v>0.10000000149</v>
      </c>
      <c r="M814" s="8">
        <v>21.163475036600001</v>
      </c>
    </row>
    <row r="815" spans="9:13" x14ac:dyDescent="0.25">
      <c r="I815" s="8">
        <v>27.239192962600001</v>
      </c>
      <c r="K815" s="8">
        <v>988</v>
      </c>
      <c r="L815" s="8">
        <v>0.441269814968</v>
      </c>
      <c r="M815" s="8">
        <v>26.990776061999998</v>
      </c>
    </row>
    <row r="816" spans="9:13" x14ac:dyDescent="0.25">
      <c r="I816" s="8">
        <v>14.6202011108</v>
      </c>
      <c r="K816" s="8">
        <v>989</v>
      </c>
      <c r="L816" s="8">
        <v>0</v>
      </c>
      <c r="M816" s="8">
        <v>14.5503959656</v>
      </c>
    </row>
    <row r="817" spans="9:13" x14ac:dyDescent="0.25">
      <c r="I817" s="8">
        <v>36.173789978000002</v>
      </c>
      <c r="K817" s="8">
        <v>990</v>
      </c>
      <c r="L817" s="8">
        <v>0.16666665673299999</v>
      </c>
      <c r="M817" s="8">
        <v>35.919670105000002</v>
      </c>
    </row>
    <row r="818" spans="9:13" x14ac:dyDescent="0.25">
      <c r="I818" s="8">
        <v>41.395469665500002</v>
      </c>
      <c r="K818" s="8">
        <v>991</v>
      </c>
      <c r="L818" s="8">
        <v>24.492197036699999</v>
      </c>
      <c r="M818" s="8">
        <v>39.938785553000002</v>
      </c>
    </row>
    <row r="819" spans="9:13" x14ac:dyDescent="0.25">
      <c r="I819" s="8">
        <v>12.2468681335</v>
      </c>
      <c r="K819" s="8">
        <v>992</v>
      </c>
      <c r="L819" s="8">
        <v>2.9464285373700001</v>
      </c>
      <c r="M819" s="8">
        <v>12.224612236</v>
      </c>
    </row>
    <row r="820" spans="9:13" x14ac:dyDescent="0.25">
      <c r="I820" s="8">
        <v>12.3068971634</v>
      </c>
      <c r="K820" s="8">
        <v>993</v>
      </c>
      <c r="L820" s="8">
        <v>1.05815422535</v>
      </c>
      <c r="M820" s="8">
        <v>12.1419181824</v>
      </c>
    </row>
    <row r="821" spans="9:13" x14ac:dyDescent="0.25">
      <c r="I821" s="8">
        <v>32.978061676000003</v>
      </c>
      <c r="K821" s="8">
        <v>994</v>
      </c>
      <c r="L821" s="8">
        <v>14.557142257700001</v>
      </c>
      <c r="M821" s="8">
        <v>30.847587585399999</v>
      </c>
    </row>
    <row r="822" spans="9:13" x14ac:dyDescent="0.25">
      <c r="I822" s="8">
        <v>30.104415893599999</v>
      </c>
      <c r="K822" s="8">
        <v>995</v>
      </c>
      <c r="L822" s="8">
        <v>0.46067261695900003</v>
      </c>
      <c r="M822" s="8">
        <v>29.3306941986</v>
      </c>
    </row>
    <row r="823" spans="9:13" x14ac:dyDescent="0.25">
      <c r="I823" s="8">
        <v>40.055435180700002</v>
      </c>
      <c r="K823" s="8">
        <v>996</v>
      </c>
      <c r="L823" s="8">
        <v>56.325641632100002</v>
      </c>
      <c r="M823" s="8">
        <v>39.230773925800001</v>
      </c>
    </row>
    <row r="824" spans="9:13" x14ac:dyDescent="0.25">
      <c r="I824" s="8">
        <v>51.2078018188</v>
      </c>
      <c r="K824" s="8">
        <v>997</v>
      </c>
      <c r="L824" s="8">
        <v>1.1451284885399999</v>
      </c>
      <c r="M824" s="8">
        <v>49.109939575200002</v>
      </c>
    </row>
    <row r="825" spans="9:13" x14ac:dyDescent="0.25">
      <c r="I825" s="8">
        <v>37.813980102499997</v>
      </c>
      <c r="K825" s="8">
        <v>998</v>
      </c>
      <c r="L825" s="8">
        <v>0.74512851238300004</v>
      </c>
      <c r="M825" s="8">
        <v>35.6993370056</v>
      </c>
    </row>
    <row r="826" spans="9:13" x14ac:dyDescent="0.25">
      <c r="I826" s="8">
        <v>51.755317687999998</v>
      </c>
      <c r="K826" s="8">
        <v>999</v>
      </c>
      <c r="L826" s="8">
        <v>2.1876304149600001</v>
      </c>
      <c r="M826" s="8">
        <v>49.340766906699997</v>
      </c>
    </row>
    <row r="827" spans="9:13" x14ac:dyDescent="0.25">
      <c r="I827" s="8">
        <v>41.361896514900003</v>
      </c>
      <c r="K827" s="8">
        <v>1000</v>
      </c>
      <c r="L827" s="8">
        <v>1.5051457881899999</v>
      </c>
      <c r="M827" s="8">
        <v>39.073925018300002</v>
      </c>
    </row>
    <row r="828" spans="9:13" x14ac:dyDescent="0.25">
      <c r="I828" s="8">
        <v>57.639213562000002</v>
      </c>
      <c r="K828" s="8">
        <v>1001</v>
      </c>
      <c r="L828" s="8">
        <v>3.4476478099799999</v>
      </c>
      <c r="M828" s="8">
        <v>54.945209503199997</v>
      </c>
    </row>
    <row r="829" spans="9:13" x14ac:dyDescent="0.25">
      <c r="I829" s="8">
        <v>45.069000244100003</v>
      </c>
      <c r="K829" s="8">
        <v>1002</v>
      </c>
      <c r="L829" s="8">
        <v>3.5730030536699999</v>
      </c>
      <c r="M829" s="8">
        <v>42.471767425499998</v>
      </c>
    </row>
    <row r="830" spans="9:13" x14ac:dyDescent="0.25">
      <c r="I830" s="8">
        <v>70.186996460000003</v>
      </c>
      <c r="K830" s="8">
        <v>1003</v>
      </c>
      <c r="L830" s="8">
        <v>9.0204696655299994</v>
      </c>
      <c r="M830" s="8">
        <v>67.684059143100001</v>
      </c>
    </row>
    <row r="831" spans="9:13" x14ac:dyDescent="0.25">
      <c r="I831" s="8">
        <v>52.3616752625</v>
      </c>
      <c r="K831" s="8">
        <v>1004</v>
      </c>
      <c r="L831" s="8">
        <v>1.14800298214</v>
      </c>
      <c r="M831" s="8">
        <v>50.290805816700001</v>
      </c>
    </row>
    <row r="832" spans="9:13" x14ac:dyDescent="0.25">
      <c r="I832" s="8">
        <v>46.771358489999997</v>
      </c>
      <c r="K832" s="8">
        <v>1005</v>
      </c>
      <c r="L832" s="8">
        <v>1.8263481855399999</v>
      </c>
      <c r="M832" s="8">
        <v>46.191017150900002</v>
      </c>
    </row>
    <row r="833" spans="9:13" x14ac:dyDescent="0.25">
      <c r="I833" s="8">
        <v>61.828639984100001</v>
      </c>
      <c r="K833" s="8">
        <v>1006</v>
      </c>
      <c r="L833" s="8">
        <v>12.179482459999999</v>
      </c>
      <c r="M833" s="8">
        <v>61.053668975800001</v>
      </c>
    </row>
    <row r="834" spans="9:13" x14ac:dyDescent="0.25">
      <c r="I834" s="8">
        <v>42.490695953399999</v>
      </c>
      <c r="K834" s="8">
        <v>1007</v>
      </c>
      <c r="L834" s="8">
        <v>1.10524022579</v>
      </c>
      <c r="M834" s="8">
        <v>42.077060699500002</v>
      </c>
    </row>
    <row r="835" spans="9:13" x14ac:dyDescent="0.25">
      <c r="I835" s="8">
        <v>47.316318512000002</v>
      </c>
      <c r="K835" s="8">
        <v>1008</v>
      </c>
      <c r="L835" s="8">
        <v>1.1119046211200001</v>
      </c>
      <c r="M835" s="8">
        <v>46.898593902599998</v>
      </c>
    </row>
    <row r="836" spans="9:13" x14ac:dyDescent="0.25">
      <c r="I836" s="8">
        <v>41.586879730200003</v>
      </c>
      <c r="K836" s="8">
        <v>1009</v>
      </c>
      <c r="L836" s="8">
        <v>0</v>
      </c>
      <c r="M836" s="8">
        <v>41.198055267299999</v>
      </c>
    </row>
    <row r="837" spans="9:13" x14ac:dyDescent="0.25">
      <c r="I837" s="8">
        <v>31.259084701500001</v>
      </c>
      <c r="K837" s="8">
        <v>1010</v>
      </c>
      <c r="L837" s="8">
        <v>7.1690073013299997</v>
      </c>
      <c r="M837" s="8">
        <v>30.874284744299999</v>
      </c>
    </row>
    <row r="838" spans="9:13" x14ac:dyDescent="0.25">
      <c r="I838" s="8">
        <v>34.141437530499999</v>
      </c>
      <c r="K838" s="8">
        <v>1011</v>
      </c>
      <c r="L838" s="8">
        <v>0.13131313025999999</v>
      </c>
      <c r="M838" s="8">
        <v>33.680820465099998</v>
      </c>
    </row>
    <row r="839" spans="9:13" x14ac:dyDescent="0.25">
      <c r="I839" s="8">
        <v>41.231250762899997</v>
      </c>
      <c r="K839" s="8">
        <v>1012</v>
      </c>
      <c r="L839" s="8">
        <v>16.6802692413</v>
      </c>
      <c r="M839" s="8">
        <v>40.587253570599998</v>
      </c>
    </row>
    <row r="840" spans="9:13" x14ac:dyDescent="0.25">
      <c r="I840" s="8">
        <v>89.641662597700005</v>
      </c>
      <c r="K840" s="8">
        <v>1013</v>
      </c>
      <c r="L840" s="8">
        <v>12.905718803399999</v>
      </c>
      <c r="M840" s="8">
        <v>86.543891906699997</v>
      </c>
    </row>
    <row r="841" spans="9:13" x14ac:dyDescent="0.25">
      <c r="I841" s="8">
        <v>58.3209877014</v>
      </c>
      <c r="K841" s="8">
        <v>1014</v>
      </c>
      <c r="L841" s="8">
        <v>3.0613446235700001</v>
      </c>
      <c r="M841" s="8">
        <v>57.254611969000003</v>
      </c>
    </row>
    <row r="842" spans="9:13" x14ac:dyDescent="0.25">
      <c r="I842" s="8">
        <v>70.736854553200004</v>
      </c>
      <c r="K842" s="8">
        <v>1015</v>
      </c>
      <c r="L842" s="8">
        <v>28.4833278656</v>
      </c>
      <c r="M842" s="8">
        <v>69.165092468300003</v>
      </c>
    </row>
    <row r="843" spans="9:13" x14ac:dyDescent="0.25">
      <c r="I843" s="8">
        <v>77.658370971699995</v>
      </c>
      <c r="K843" s="8">
        <v>1016</v>
      </c>
      <c r="L843" s="8">
        <v>9.6156339645400006</v>
      </c>
      <c r="M843" s="8">
        <v>76.552200317399993</v>
      </c>
    </row>
    <row r="844" spans="9:13" x14ac:dyDescent="0.25">
      <c r="I844" s="8">
        <v>93.961143493700007</v>
      </c>
      <c r="K844" s="8">
        <v>1017</v>
      </c>
      <c r="L844" s="8">
        <v>25.9641208649</v>
      </c>
      <c r="M844" s="8">
        <v>92.176963806200007</v>
      </c>
    </row>
    <row r="845" spans="9:13" x14ac:dyDescent="0.25">
      <c r="I845" s="8">
        <v>43.9399375916</v>
      </c>
      <c r="K845" s="8">
        <v>1018</v>
      </c>
      <c r="L845" s="8">
        <v>1.6634792089499999</v>
      </c>
      <c r="M845" s="8">
        <v>41.805843353299998</v>
      </c>
    </row>
    <row r="846" spans="9:13" x14ac:dyDescent="0.25">
      <c r="I846" s="8">
        <v>57.7024726868</v>
      </c>
      <c r="K846" s="8">
        <v>1019</v>
      </c>
      <c r="L846" s="8">
        <v>3.1089611053500001</v>
      </c>
      <c r="M846" s="8">
        <v>55.949920654300001</v>
      </c>
    </row>
    <row r="847" spans="9:13" x14ac:dyDescent="0.25">
      <c r="I847" s="8">
        <v>52.0715446472</v>
      </c>
      <c r="K847" s="8">
        <v>1020</v>
      </c>
      <c r="L847" s="8">
        <v>1.5951285362200001</v>
      </c>
      <c r="M847" s="8">
        <v>49.654144287100003</v>
      </c>
    </row>
    <row r="848" spans="9:13" x14ac:dyDescent="0.25">
      <c r="I848" s="8">
        <v>58.704677581799999</v>
      </c>
      <c r="K848" s="8">
        <v>1021</v>
      </c>
      <c r="L848" s="8">
        <v>2.1563363075300002</v>
      </c>
      <c r="M848" s="8">
        <v>55.897884368900002</v>
      </c>
    </row>
    <row r="849" spans="9:13" x14ac:dyDescent="0.25">
      <c r="I849" s="8">
        <v>39.248428344700002</v>
      </c>
      <c r="K849" s="8">
        <v>1022</v>
      </c>
      <c r="L849" s="8">
        <v>2.7551457881900001</v>
      </c>
      <c r="M849" s="8">
        <v>37.206878662100003</v>
      </c>
    </row>
    <row r="850" spans="9:13" x14ac:dyDescent="0.25">
      <c r="I850" s="8">
        <v>33.351833343499997</v>
      </c>
      <c r="K850" s="8">
        <v>1047</v>
      </c>
      <c r="L850" s="8">
        <v>7.4137687683099998</v>
      </c>
      <c r="M850" s="8">
        <v>33.297073364299997</v>
      </c>
    </row>
    <row r="851" spans="9:13" x14ac:dyDescent="0.25">
      <c r="I851" s="8">
        <v>34.246879577599998</v>
      </c>
      <c r="K851" s="8">
        <v>1048</v>
      </c>
      <c r="L851" s="8">
        <v>6.8685131073000001</v>
      </c>
      <c r="M851" s="8">
        <v>33.809074401899998</v>
      </c>
    </row>
  </sheetData>
  <sortState ref="B2:AB947">
    <sortCondition ref="D1"/>
  </sortState>
  <mergeCells count="1">
    <mergeCell ref="AW2:BB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11"/>
  <dimension ref="A1:AA1004"/>
  <sheetViews>
    <sheetView topLeftCell="G1" zoomScale="80" zoomScaleNormal="80" workbookViewId="0">
      <selection activeCell="L2" sqref="L2:N1001"/>
    </sheetView>
  </sheetViews>
  <sheetFormatPr defaultRowHeight="15" x14ac:dyDescent="0.25"/>
  <cols>
    <col min="1" max="2" width="8.85546875" style="8"/>
    <col min="3" max="3" width="14.140625" style="8" bestFit="1" customWidth="1"/>
    <col min="4" max="6" width="9.140625" style="8"/>
    <col min="8" max="10" width="9.140625" style="8"/>
    <col min="12" max="15" width="9.140625" style="8"/>
  </cols>
  <sheetData>
    <row r="1" spans="1:27" x14ac:dyDescent="0.25">
      <c r="A1" s="8" t="s">
        <v>25</v>
      </c>
      <c r="B1" s="8" t="s">
        <v>2135</v>
      </c>
      <c r="C1" s="9" t="s">
        <v>26</v>
      </c>
      <c r="D1" s="8" t="s">
        <v>25</v>
      </c>
      <c r="E1" s="8" t="s">
        <v>27</v>
      </c>
      <c r="F1" s="8" t="s">
        <v>28</v>
      </c>
      <c r="G1" s="7"/>
      <c r="H1" s="8" t="s">
        <v>25</v>
      </c>
      <c r="I1" s="8" t="s">
        <v>29</v>
      </c>
      <c r="J1" s="8" t="s">
        <v>30</v>
      </c>
      <c r="K1" s="7"/>
      <c r="L1" s="8" t="s">
        <v>25</v>
      </c>
      <c r="M1" s="8" t="s">
        <v>31</v>
      </c>
      <c r="N1" s="8" t="s">
        <v>32</v>
      </c>
      <c r="P1" s="7" t="s">
        <v>2156</v>
      </c>
      <c r="Q1" t="s">
        <v>25</v>
      </c>
      <c r="R1" t="s">
        <v>2150</v>
      </c>
      <c r="S1" t="s">
        <v>2151</v>
      </c>
      <c r="U1" t="s">
        <v>25</v>
      </c>
      <c r="V1" t="s">
        <v>2152</v>
      </c>
      <c r="W1" t="s">
        <v>2153</v>
      </c>
      <c r="Y1" t="s">
        <v>25</v>
      </c>
      <c r="Z1" t="s">
        <v>2154</v>
      </c>
      <c r="AA1" t="s">
        <v>2155</v>
      </c>
    </row>
    <row r="2" spans="1:27" x14ac:dyDescent="0.25">
      <c r="A2" s="8">
        <f>IF(D2="","",D2)</f>
        <v>1</v>
      </c>
      <c r="B2" s="8">
        <f>IF(OR(D2&lt;&gt;H2,H2&lt;&gt;L2,D2&lt;&gt;L2),0,1)</f>
        <v>1</v>
      </c>
      <c r="C2" s="8">
        <f>SUM(E2,I2,M2)</f>
        <v>195.3637733459471</v>
      </c>
      <c r="D2" s="8">
        <v>1</v>
      </c>
      <c r="E2" s="8">
        <v>60.826690673828097</v>
      </c>
      <c r="F2" s="8">
        <v>22.545902252197202</v>
      </c>
      <c r="G2" s="8"/>
      <c r="H2" s="8">
        <v>1</v>
      </c>
      <c r="I2" s="8">
        <v>72.884490966796804</v>
      </c>
      <c r="J2" s="8">
        <v>22.6430263519287</v>
      </c>
      <c r="K2" s="8"/>
      <c r="L2" s="8">
        <v>1</v>
      </c>
      <c r="M2" s="8">
        <v>61.652591705322202</v>
      </c>
      <c r="N2" s="8">
        <v>22.56396484375</v>
      </c>
      <c r="P2" s="8">
        <f>R2+V2+Z2</f>
        <v>610.91570281982195</v>
      </c>
      <c r="Q2">
        <v>1</v>
      </c>
      <c r="R2">
        <v>106.686264038085</v>
      </c>
      <c r="S2">
        <v>23.947441101074201</v>
      </c>
      <c r="U2">
        <v>1</v>
      </c>
      <c r="V2">
        <v>397.54553222656199</v>
      </c>
      <c r="W2">
        <v>23.870418548583899</v>
      </c>
      <c r="Y2">
        <v>1</v>
      </c>
      <c r="Z2">
        <v>106.683906555175</v>
      </c>
      <c r="AA2">
        <v>23.876552581787099</v>
      </c>
    </row>
    <row r="3" spans="1:27" x14ac:dyDescent="0.25">
      <c r="A3" s="8">
        <f t="shared" ref="A3:A66" si="0">IF(D3="","",D3)</f>
        <v>2</v>
      </c>
      <c r="B3" s="8">
        <f t="shared" ref="B3:B66" si="1">IF(OR(D3&lt;&gt;H3,H3&lt;&gt;L3,D3&lt;&gt;L3),0,1)</f>
        <v>1</v>
      </c>
      <c r="C3" s="8">
        <f t="shared" ref="C3:C66" si="2">SUM(E3,I3,M3)</f>
        <v>347.03031921386616</v>
      </c>
      <c r="D3" s="8">
        <v>2</v>
      </c>
      <c r="E3" s="8">
        <v>135.42123413085901</v>
      </c>
      <c r="F3" s="8">
        <v>20.181331634521399</v>
      </c>
      <c r="G3" s="8"/>
      <c r="H3" s="8">
        <v>2</v>
      </c>
      <c r="I3" s="8">
        <v>120.79688262939401</v>
      </c>
      <c r="J3" s="8">
        <v>20.2195644378662</v>
      </c>
      <c r="K3" s="8"/>
      <c r="L3" s="8">
        <v>2</v>
      </c>
      <c r="M3" s="8">
        <v>90.812202453613196</v>
      </c>
      <c r="N3" s="8">
        <v>20.205245971679599</v>
      </c>
      <c r="P3" s="8">
        <f t="shared" ref="P3:P66" si="3">R3+V3+Z3</f>
        <v>502.50543975830021</v>
      </c>
      <c r="Q3">
        <v>2</v>
      </c>
      <c r="R3">
        <v>63.985542297363203</v>
      </c>
      <c r="S3">
        <v>21.216789245605401</v>
      </c>
      <c r="U3">
        <v>2</v>
      </c>
      <c r="V3">
        <v>337.15075683593699</v>
      </c>
      <c r="W3">
        <v>21.215908050537099</v>
      </c>
      <c r="Y3">
        <v>2</v>
      </c>
      <c r="Z3">
        <v>101.369140625</v>
      </c>
      <c r="AA3">
        <v>21.283367156982401</v>
      </c>
    </row>
    <row r="4" spans="1:27" x14ac:dyDescent="0.25">
      <c r="A4" s="8">
        <f t="shared" si="0"/>
        <v>3</v>
      </c>
      <c r="B4" s="8">
        <f t="shared" si="1"/>
        <v>1</v>
      </c>
      <c r="C4" s="8">
        <f t="shared" si="2"/>
        <v>133.55934906005839</v>
      </c>
      <c r="D4" s="8">
        <v>3</v>
      </c>
      <c r="E4" s="8">
        <v>39.499217987060497</v>
      </c>
      <c r="F4" s="8">
        <v>21.9202575683593</v>
      </c>
      <c r="G4" s="8"/>
      <c r="H4" s="8">
        <v>3</v>
      </c>
      <c r="I4" s="8">
        <v>50.855461120605398</v>
      </c>
      <c r="J4" s="8">
        <v>22.028450012206999</v>
      </c>
      <c r="K4" s="8"/>
      <c r="L4" s="8">
        <v>3</v>
      </c>
      <c r="M4" s="8">
        <v>43.2046699523925</v>
      </c>
      <c r="N4" s="8">
        <v>21.935682296752901</v>
      </c>
      <c r="P4" s="8">
        <f t="shared" si="3"/>
        <v>337.59547805786059</v>
      </c>
      <c r="Q4">
        <v>3</v>
      </c>
      <c r="R4">
        <v>58.518993377685497</v>
      </c>
      <c r="S4">
        <v>23.277956008911101</v>
      </c>
      <c r="U4">
        <v>3</v>
      </c>
      <c r="V4">
        <v>223.128326416015</v>
      </c>
      <c r="W4">
        <v>23.2214660644531</v>
      </c>
      <c r="Y4">
        <v>3</v>
      </c>
      <c r="Z4">
        <v>55.948158264160099</v>
      </c>
      <c r="AA4">
        <v>23.204319000244102</v>
      </c>
    </row>
    <row r="5" spans="1:27" x14ac:dyDescent="0.25">
      <c r="A5" s="8">
        <f t="shared" si="0"/>
        <v>4</v>
      </c>
      <c r="B5" s="8">
        <f t="shared" si="1"/>
        <v>1</v>
      </c>
      <c r="C5" s="8">
        <f t="shared" si="2"/>
        <v>57.590538024902202</v>
      </c>
      <c r="D5" s="8">
        <v>4</v>
      </c>
      <c r="E5" s="8">
        <v>16.977338790893501</v>
      </c>
      <c r="F5" s="8">
        <v>28.8094577789306</v>
      </c>
      <c r="G5" s="8"/>
      <c r="H5" s="8">
        <v>4</v>
      </c>
      <c r="I5" s="8">
        <v>22.089723587036101</v>
      </c>
      <c r="J5" s="8">
        <v>28.921297073364201</v>
      </c>
      <c r="K5" s="8"/>
      <c r="L5" s="8">
        <v>4</v>
      </c>
      <c r="M5" s="8">
        <v>18.523475646972599</v>
      </c>
      <c r="N5" s="8">
        <v>28.829387664794901</v>
      </c>
      <c r="P5" s="8">
        <f t="shared" si="3"/>
        <v>489.52625274658141</v>
      </c>
      <c r="Q5">
        <v>4</v>
      </c>
      <c r="R5">
        <v>66.587226867675696</v>
      </c>
      <c r="S5">
        <v>20.352489471435501</v>
      </c>
      <c r="U5">
        <v>4</v>
      </c>
      <c r="V5">
        <v>325.69177246093699</v>
      </c>
      <c r="W5">
        <v>20.355485916137599</v>
      </c>
      <c r="Y5">
        <v>4</v>
      </c>
      <c r="Z5">
        <v>97.247253417968693</v>
      </c>
      <c r="AA5">
        <v>20.428199768066399</v>
      </c>
    </row>
    <row r="6" spans="1:27" x14ac:dyDescent="0.25">
      <c r="A6" s="8">
        <f t="shared" si="0"/>
        <v>5</v>
      </c>
      <c r="B6" s="8">
        <f t="shared" si="1"/>
        <v>1</v>
      </c>
      <c r="C6" s="8">
        <f t="shared" si="2"/>
        <v>369.60022735595601</v>
      </c>
      <c r="D6" s="8">
        <v>5</v>
      </c>
      <c r="E6" s="8">
        <v>141.70494079589801</v>
      </c>
      <c r="F6" s="8">
        <v>19.3038940429687</v>
      </c>
      <c r="G6" s="8"/>
      <c r="H6" s="8">
        <v>5</v>
      </c>
      <c r="I6" s="8">
        <v>133.29335021972599</v>
      </c>
      <c r="J6" s="8">
        <v>19.333032608032202</v>
      </c>
      <c r="K6" s="8"/>
      <c r="L6" s="8">
        <v>5</v>
      </c>
      <c r="M6" s="8">
        <v>94.601936340332003</v>
      </c>
      <c r="N6" s="8">
        <v>19.3207683563232</v>
      </c>
      <c r="P6" s="8">
        <f t="shared" si="3"/>
        <v>716.32262420654172</v>
      </c>
      <c r="Q6">
        <v>5</v>
      </c>
      <c r="R6">
        <v>99.343086242675696</v>
      </c>
      <c r="S6">
        <v>21.804531097412099</v>
      </c>
      <c r="U6">
        <v>5</v>
      </c>
      <c r="V6">
        <v>473.68325805664</v>
      </c>
      <c r="W6">
        <v>21.799158096313398</v>
      </c>
      <c r="Y6">
        <v>5</v>
      </c>
      <c r="Z6">
        <v>143.29627990722599</v>
      </c>
      <c r="AA6">
        <v>21.881055831909102</v>
      </c>
    </row>
    <row r="7" spans="1:27" x14ac:dyDescent="0.25">
      <c r="A7" s="8">
        <f t="shared" si="0"/>
        <v>6</v>
      </c>
      <c r="B7" s="8">
        <f t="shared" si="1"/>
        <v>1</v>
      </c>
      <c r="C7" s="8">
        <f t="shared" si="2"/>
        <v>185.91749572753889</v>
      </c>
      <c r="D7" s="8">
        <v>6</v>
      </c>
      <c r="E7" s="8">
        <v>56.377346038818303</v>
      </c>
      <c r="F7" s="8">
        <v>23.3936748504638</v>
      </c>
      <c r="G7" s="8"/>
      <c r="H7" s="8">
        <v>6</v>
      </c>
      <c r="I7" s="8">
        <v>70.800498962402301</v>
      </c>
      <c r="J7" s="8">
        <v>23.466444015502901</v>
      </c>
      <c r="K7" s="8"/>
      <c r="L7" s="8">
        <v>6</v>
      </c>
      <c r="M7" s="8">
        <v>58.739650726318303</v>
      </c>
      <c r="N7" s="8">
        <v>23.414524078369102</v>
      </c>
      <c r="P7" s="8">
        <f t="shared" si="3"/>
        <v>638.12449645996026</v>
      </c>
      <c r="Q7">
        <v>6</v>
      </c>
      <c r="R7">
        <v>88.838699340820298</v>
      </c>
      <c r="S7">
        <v>21.977878570556602</v>
      </c>
      <c r="U7">
        <v>6</v>
      </c>
      <c r="V7">
        <v>416.29919433593699</v>
      </c>
      <c r="W7">
        <v>21.9421882629394</v>
      </c>
      <c r="Y7">
        <v>6</v>
      </c>
      <c r="Z7">
        <v>132.98660278320301</v>
      </c>
      <c r="AA7">
        <v>21.951677322387599</v>
      </c>
    </row>
    <row r="8" spans="1:27" x14ac:dyDescent="0.25">
      <c r="A8" s="8">
        <f t="shared" si="0"/>
        <v>7</v>
      </c>
      <c r="B8" s="8">
        <f t="shared" si="1"/>
        <v>1</v>
      </c>
      <c r="C8" s="8">
        <f t="shared" si="2"/>
        <v>145.3167648315428</v>
      </c>
      <c r="D8" s="8">
        <v>7</v>
      </c>
      <c r="E8" s="8">
        <v>52.3319702148437</v>
      </c>
      <c r="F8" s="8">
        <v>20.8548374176025</v>
      </c>
      <c r="G8" s="8"/>
      <c r="H8" s="8">
        <v>7</v>
      </c>
      <c r="I8" s="8">
        <v>40.2282104492187</v>
      </c>
      <c r="J8" s="8">
        <v>20.9460124969482</v>
      </c>
      <c r="K8" s="8"/>
      <c r="L8" s="8">
        <v>7</v>
      </c>
      <c r="M8" s="8">
        <v>52.756584167480398</v>
      </c>
      <c r="N8" s="8">
        <v>20.9090480804443</v>
      </c>
      <c r="P8" s="8">
        <f t="shared" si="3"/>
        <v>360.71101760864252</v>
      </c>
      <c r="Q8">
        <v>7</v>
      </c>
      <c r="R8">
        <v>57.792766571044901</v>
      </c>
      <c r="S8">
        <v>19.3947944641113</v>
      </c>
      <c r="U8">
        <v>7</v>
      </c>
      <c r="V8">
        <v>235.2978515625</v>
      </c>
      <c r="W8">
        <v>19.3735637664794</v>
      </c>
      <c r="Y8">
        <v>7</v>
      </c>
      <c r="Z8">
        <v>67.620399475097599</v>
      </c>
      <c r="AA8">
        <v>19.561912536621001</v>
      </c>
    </row>
    <row r="9" spans="1:27" x14ac:dyDescent="0.25">
      <c r="A9" s="8">
        <f t="shared" si="0"/>
        <v>8</v>
      </c>
      <c r="B9" s="8">
        <f t="shared" si="1"/>
        <v>1</v>
      </c>
      <c r="C9" s="8">
        <f t="shared" si="2"/>
        <v>190.5170249938964</v>
      </c>
      <c r="D9" s="8">
        <v>8</v>
      </c>
      <c r="E9" s="8">
        <v>56.607631683349602</v>
      </c>
      <c r="F9" s="8">
        <v>21.4909954071044</v>
      </c>
      <c r="G9" s="8"/>
      <c r="H9" s="8">
        <v>8</v>
      </c>
      <c r="I9" s="8">
        <v>69.949203491210895</v>
      </c>
      <c r="J9" s="8">
        <v>21.5566711425781</v>
      </c>
      <c r="K9" s="8"/>
      <c r="L9" s="8">
        <v>8</v>
      </c>
      <c r="M9" s="8">
        <v>63.960189819335902</v>
      </c>
      <c r="N9" s="8">
        <v>21.511571884155199</v>
      </c>
      <c r="P9" s="8">
        <f t="shared" si="3"/>
        <v>344.33439254760651</v>
      </c>
      <c r="Q9">
        <v>8</v>
      </c>
      <c r="R9">
        <v>54.349250793457003</v>
      </c>
      <c r="S9">
        <v>21.397556304931602</v>
      </c>
      <c r="U9">
        <v>8</v>
      </c>
      <c r="V9">
        <v>229.81832885742099</v>
      </c>
      <c r="W9">
        <v>21.388755798339801</v>
      </c>
      <c r="Y9">
        <v>8</v>
      </c>
      <c r="Z9">
        <v>60.166812896728501</v>
      </c>
      <c r="AA9">
        <v>21.4329814910888</v>
      </c>
    </row>
    <row r="10" spans="1:27" x14ac:dyDescent="0.25">
      <c r="A10" s="8">
        <f t="shared" si="0"/>
        <v>9</v>
      </c>
      <c r="B10" s="8">
        <f t="shared" si="1"/>
        <v>1</v>
      </c>
      <c r="C10" s="8">
        <f t="shared" si="2"/>
        <v>105.9531002044677</v>
      </c>
      <c r="D10" s="8">
        <v>9</v>
      </c>
      <c r="E10" s="8">
        <v>39.942348480224602</v>
      </c>
      <c r="F10" s="8">
        <v>26.225933074951101</v>
      </c>
      <c r="G10" s="8"/>
      <c r="H10" s="8">
        <v>9</v>
      </c>
      <c r="I10" s="8">
        <v>39.574493408203097</v>
      </c>
      <c r="J10" s="8">
        <v>26.442577362060501</v>
      </c>
      <c r="K10" s="8"/>
      <c r="L10" s="8">
        <v>9</v>
      </c>
      <c r="M10" s="8">
        <v>26.43625831604</v>
      </c>
      <c r="N10" s="8">
        <v>26.328720092773398</v>
      </c>
      <c r="P10" s="8">
        <f t="shared" si="3"/>
        <v>37.518789768218994</v>
      </c>
      <c r="Q10">
        <v>9</v>
      </c>
      <c r="R10">
        <v>5.6542592048645002</v>
      </c>
      <c r="S10">
        <v>22.499422073364201</v>
      </c>
      <c r="U10">
        <v>9</v>
      </c>
      <c r="V10">
        <v>24.851446151733398</v>
      </c>
      <c r="W10">
        <v>22.513679504394499</v>
      </c>
      <c r="Y10">
        <v>9</v>
      </c>
      <c r="Z10">
        <v>7.0130844116210902</v>
      </c>
      <c r="AA10">
        <v>22.5499572753906</v>
      </c>
    </row>
    <row r="11" spans="1:27" x14ac:dyDescent="0.25">
      <c r="A11" s="8">
        <f t="shared" si="0"/>
        <v>10</v>
      </c>
      <c r="B11" s="8">
        <f t="shared" si="1"/>
        <v>1</v>
      </c>
      <c r="C11" s="8">
        <f t="shared" si="2"/>
        <v>135.1108589172361</v>
      </c>
      <c r="D11" s="8">
        <v>10</v>
      </c>
      <c r="E11" s="8">
        <v>52.136489868163999</v>
      </c>
      <c r="F11" s="8">
        <v>18.247264862060501</v>
      </c>
      <c r="G11" s="8"/>
      <c r="H11" s="8">
        <v>10</v>
      </c>
      <c r="I11" s="8">
        <v>46.739570617675703</v>
      </c>
      <c r="J11" s="8">
        <v>18.435684204101499</v>
      </c>
      <c r="K11" s="8"/>
      <c r="L11" s="8">
        <v>10</v>
      </c>
      <c r="M11" s="8">
        <v>36.234798431396399</v>
      </c>
      <c r="N11" s="8">
        <v>18.344638824462798</v>
      </c>
      <c r="P11" s="8">
        <f t="shared" si="3"/>
        <v>343.56460571288972</v>
      </c>
      <c r="Q11">
        <v>10</v>
      </c>
      <c r="R11">
        <v>52.369049072265597</v>
      </c>
      <c r="S11">
        <v>15.6137742996215</v>
      </c>
      <c r="U11">
        <v>10</v>
      </c>
      <c r="V11">
        <v>228.98139953613199</v>
      </c>
      <c r="W11">
        <v>15.6093082427978</v>
      </c>
      <c r="Y11">
        <v>10</v>
      </c>
      <c r="Z11">
        <v>62.214157104492102</v>
      </c>
      <c r="AA11">
        <v>15.626237869262599</v>
      </c>
    </row>
    <row r="12" spans="1:27" x14ac:dyDescent="0.25">
      <c r="A12" s="8">
        <f t="shared" si="0"/>
        <v>11</v>
      </c>
      <c r="B12" s="8">
        <f t="shared" si="1"/>
        <v>1</v>
      </c>
      <c r="C12" s="8">
        <f t="shared" si="2"/>
        <v>60.632341384887596</v>
      </c>
      <c r="D12" s="8">
        <v>11</v>
      </c>
      <c r="E12" s="8">
        <v>21.949691772460898</v>
      </c>
      <c r="F12" s="8">
        <v>23.532129287719702</v>
      </c>
      <c r="G12" s="8"/>
      <c r="H12" s="8">
        <v>11</v>
      </c>
      <c r="I12" s="8">
        <v>22.513341903686499</v>
      </c>
      <c r="J12" s="8">
        <v>23.653404235839801</v>
      </c>
      <c r="K12" s="8"/>
      <c r="L12" s="8">
        <v>11</v>
      </c>
      <c r="M12" s="8">
        <v>16.169307708740199</v>
      </c>
      <c r="N12" s="8">
        <v>23.601289749145501</v>
      </c>
      <c r="P12" s="8">
        <f t="shared" si="3"/>
        <v>180.89018440246511</v>
      </c>
      <c r="Q12">
        <v>11</v>
      </c>
      <c r="R12">
        <v>26.914327621459901</v>
      </c>
      <c r="S12">
        <v>24.315929412841701</v>
      </c>
      <c r="U12">
        <v>11</v>
      </c>
      <c r="V12">
        <v>118.34341430664</v>
      </c>
      <c r="W12">
        <v>24.330186843871999</v>
      </c>
      <c r="Y12">
        <v>11</v>
      </c>
      <c r="Z12">
        <v>35.632442474365199</v>
      </c>
      <c r="AA12">
        <v>24.366466522216701</v>
      </c>
    </row>
    <row r="13" spans="1:27" x14ac:dyDescent="0.25">
      <c r="A13" s="8">
        <f t="shared" si="0"/>
        <v>12</v>
      </c>
      <c r="B13" s="8">
        <f t="shared" si="1"/>
        <v>1</v>
      </c>
      <c r="C13" s="8">
        <f t="shared" si="2"/>
        <v>10.722002506256089</v>
      </c>
      <c r="D13" s="8">
        <v>12</v>
      </c>
      <c r="E13" s="8">
        <v>3.4710898399353001</v>
      </c>
      <c r="F13" s="8">
        <v>20.285860061645501</v>
      </c>
      <c r="G13" s="8"/>
      <c r="H13" s="8">
        <v>12</v>
      </c>
      <c r="I13" s="8">
        <v>4.6948208808898899</v>
      </c>
      <c r="J13" s="8">
        <v>20.398441314697202</v>
      </c>
      <c r="K13" s="8"/>
      <c r="L13" s="8">
        <v>12</v>
      </c>
      <c r="M13" s="8">
        <v>2.5560917854309002</v>
      </c>
      <c r="N13" s="8">
        <v>20.363256454467699</v>
      </c>
      <c r="P13" s="8">
        <f t="shared" si="3"/>
        <v>222.07079696655239</v>
      </c>
      <c r="Q13">
        <v>12</v>
      </c>
      <c r="R13">
        <v>35.707374572753899</v>
      </c>
      <c r="S13">
        <v>26.3241252899169</v>
      </c>
      <c r="U13">
        <v>12</v>
      </c>
      <c r="V13">
        <v>143.10040283203099</v>
      </c>
      <c r="W13">
        <v>26.296760559081999</v>
      </c>
      <c r="Y13">
        <v>12</v>
      </c>
      <c r="Z13">
        <v>43.2630195617675</v>
      </c>
      <c r="AA13">
        <v>26.325338363647401</v>
      </c>
    </row>
    <row r="14" spans="1:27" x14ac:dyDescent="0.25">
      <c r="A14" s="8">
        <f t="shared" si="0"/>
        <v>13</v>
      </c>
      <c r="B14" s="8">
        <f t="shared" si="1"/>
        <v>1</v>
      </c>
      <c r="C14" s="8">
        <f t="shared" si="2"/>
        <v>124.65948867797829</v>
      </c>
      <c r="D14" s="8">
        <v>13</v>
      </c>
      <c r="E14" s="8">
        <v>41.654953002929602</v>
      </c>
      <c r="F14" s="8">
        <v>21.4881267547607</v>
      </c>
      <c r="G14" s="8"/>
      <c r="H14" s="8">
        <v>13</v>
      </c>
      <c r="I14" s="8">
        <v>42.503730773925703</v>
      </c>
      <c r="J14" s="8">
        <v>21.522680282592699</v>
      </c>
      <c r="K14" s="8"/>
      <c r="L14" s="8">
        <v>13</v>
      </c>
      <c r="M14" s="8">
        <v>40.500804901122997</v>
      </c>
      <c r="N14" s="8">
        <v>21.504365921020501</v>
      </c>
      <c r="P14" s="8">
        <f t="shared" si="3"/>
        <v>444.41144561767499</v>
      </c>
      <c r="Q14">
        <v>13</v>
      </c>
      <c r="R14">
        <v>66.578224182128906</v>
      </c>
      <c r="S14">
        <v>21.767019271850501</v>
      </c>
      <c r="U14">
        <v>13</v>
      </c>
      <c r="V14">
        <v>308.95330810546801</v>
      </c>
      <c r="W14">
        <v>21.772048950195298</v>
      </c>
      <c r="Y14">
        <v>13</v>
      </c>
      <c r="Z14">
        <v>68.879913330078097</v>
      </c>
      <c r="AA14">
        <v>21.7955513000488</v>
      </c>
    </row>
    <row r="15" spans="1:27" x14ac:dyDescent="0.25">
      <c r="A15" s="8">
        <f t="shared" si="0"/>
        <v>14</v>
      </c>
      <c r="B15" s="8">
        <f t="shared" si="1"/>
        <v>1</v>
      </c>
      <c r="C15" s="8">
        <f t="shared" si="2"/>
        <v>32.245671272277683</v>
      </c>
      <c r="D15" s="8">
        <v>14</v>
      </c>
      <c r="E15" s="8">
        <v>11.0555410385131</v>
      </c>
      <c r="F15" s="8">
        <v>14.9242763519287</v>
      </c>
      <c r="G15" s="8"/>
      <c r="H15" s="8">
        <v>14</v>
      </c>
      <c r="I15" s="8">
        <v>11.269058227539</v>
      </c>
      <c r="J15" s="8">
        <v>14.949439048766999</v>
      </c>
      <c r="K15" s="8"/>
      <c r="L15" s="8">
        <v>14</v>
      </c>
      <c r="M15" s="8">
        <v>9.9210720062255806</v>
      </c>
      <c r="N15" s="8">
        <v>14.943575859069799</v>
      </c>
      <c r="P15" s="8">
        <f t="shared" si="3"/>
        <v>395.38232040405211</v>
      </c>
      <c r="Q15">
        <v>14</v>
      </c>
      <c r="R15">
        <v>62.077037811279297</v>
      </c>
      <c r="S15">
        <v>17.499992370605401</v>
      </c>
      <c r="U15">
        <v>14</v>
      </c>
      <c r="V15">
        <v>258.338287353515</v>
      </c>
      <c r="W15">
        <v>17.485649108886701</v>
      </c>
      <c r="Y15">
        <v>14</v>
      </c>
      <c r="Z15">
        <v>74.966995239257798</v>
      </c>
      <c r="AA15">
        <v>17.662294387817301</v>
      </c>
    </row>
    <row r="16" spans="1:27" x14ac:dyDescent="0.25">
      <c r="A16" s="8">
        <f t="shared" si="0"/>
        <v>15</v>
      </c>
      <c r="B16" s="8">
        <f t="shared" si="1"/>
        <v>1</v>
      </c>
      <c r="C16" s="8">
        <f t="shared" si="2"/>
        <v>55.690862655639499</v>
      </c>
      <c r="D16" s="8">
        <v>15</v>
      </c>
      <c r="E16" s="8">
        <v>18.879158020019499</v>
      </c>
      <c r="F16" s="8">
        <v>23.202795028686499</v>
      </c>
      <c r="G16" s="8"/>
      <c r="H16" s="8">
        <v>15</v>
      </c>
      <c r="I16" s="8">
        <v>19.640645980834901</v>
      </c>
      <c r="J16" s="8">
        <v>23.237346649169901</v>
      </c>
      <c r="K16" s="8"/>
      <c r="L16" s="8">
        <v>15</v>
      </c>
      <c r="M16" s="8">
        <v>17.171058654785099</v>
      </c>
      <c r="N16" s="8">
        <v>23.219032287597599</v>
      </c>
      <c r="P16" s="8">
        <f t="shared" si="3"/>
        <v>446.38105010986317</v>
      </c>
      <c r="Q16">
        <v>15</v>
      </c>
      <c r="R16">
        <v>69.235214233398395</v>
      </c>
      <c r="S16">
        <v>19.917850494384702</v>
      </c>
      <c r="U16">
        <v>15</v>
      </c>
      <c r="V16">
        <v>303.8798828125</v>
      </c>
      <c r="W16">
        <v>19.8866271972656</v>
      </c>
      <c r="Y16">
        <v>15</v>
      </c>
      <c r="Z16">
        <v>73.265953063964801</v>
      </c>
      <c r="AA16">
        <v>19.899110794067301</v>
      </c>
    </row>
    <row r="17" spans="1:27" x14ac:dyDescent="0.25">
      <c r="A17" s="8">
        <f t="shared" si="0"/>
        <v>16</v>
      </c>
      <c r="B17" s="8">
        <f t="shared" si="1"/>
        <v>1</v>
      </c>
      <c r="C17" s="8">
        <f t="shared" si="2"/>
        <v>30.37487411499011</v>
      </c>
      <c r="D17" s="8">
        <v>16</v>
      </c>
      <c r="E17" s="8">
        <v>11.0335493087768</v>
      </c>
      <c r="F17" s="8">
        <v>25.051437377929599</v>
      </c>
      <c r="G17" s="8"/>
      <c r="H17" s="8">
        <v>16</v>
      </c>
      <c r="I17" s="8">
        <v>11.2566709518432</v>
      </c>
      <c r="J17" s="8">
        <v>25.172712326049801</v>
      </c>
      <c r="K17" s="8"/>
      <c r="L17" s="8">
        <v>16</v>
      </c>
      <c r="M17" s="8">
        <v>8.0846538543701101</v>
      </c>
      <c r="N17" s="8">
        <v>25.120597839355401</v>
      </c>
      <c r="P17" s="8">
        <f t="shared" si="3"/>
        <v>286.17217636108313</v>
      </c>
      <c r="Q17">
        <v>16</v>
      </c>
      <c r="R17">
        <v>45.218189239501903</v>
      </c>
      <c r="S17">
        <v>33.728664398193303</v>
      </c>
      <c r="U17">
        <v>16</v>
      </c>
      <c r="V17">
        <v>190.80340576171801</v>
      </c>
      <c r="W17">
        <v>33.758697509765597</v>
      </c>
      <c r="Y17">
        <v>16</v>
      </c>
      <c r="Z17">
        <v>50.150581359863203</v>
      </c>
      <c r="AA17">
        <v>33.860950469970703</v>
      </c>
    </row>
    <row r="18" spans="1:27" x14ac:dyDescent="0.25">
      <c r="A18" s="8">
        <f t="shared" si="0"/>
        <v>17</v>
      </c>
      <c r="B18" s="8">
        <f t="shared" si="1"/>
        <v>1</v>
      </c>
      <c r="C18" s="8">
        <f t="shared" si="2"/>
        <v>11.2242166996002</v>
      </c>
      <c r="D18" s="8">
        <v>17</v>
      </c>
      <c r="E18" s="8">
        <v>3.8499548435211102</v>
      </c>
      <c r="F18" s="8">
        <v>16.638942718505799</v>
      </c>
      <c r="G18" s="8"/>
      <c r="H18" s="8">
        <v>17</v>
      </c>
      <c r="I18" s="8">
        <v>3.9464707374572701</v>
      </c>
      <c r="J18" s="8">
        <v>16.664104461669901</v>
      </c>
      <c r="K18" s="8"/>
      <c r="L18" s="8">
        <v>17</v>
      </c>
      <c r="M18" s="8">
        <v>3.42779111862182</v>
      </c>
      <c r="N18" s="8">
        <v>16.658241271972599</v>
      </c>
      <c r="P18" s="8">
        <f t="shared" si="3"/>
        <v>273.28649520873972</v>
      </c>
      <c r="Q18">
        <v>17</v>
      </c>
      <c r="R18">
        <v>38.540065765380803</v>
      </c>
      <c r="S18">
        <v>28.597520828246999</v>
      </c>
      <c r="U18">
        <v>17</v>
      </c>
      <c r="V18">
        <v>178.45860290527301</v>
      </c>
      <c r="W18">
        <v>28.556459426879801</v>
      </c>
      <c r="Y18">
        <v>17</v>
      </c>
      <c r="Z18">
        <v>56.287826538085902</v>
      </c>
      <c r="AA18">
        <v>28.6079082489013</v>
      </c>
    </row>
    <row r="19" spans="1:27" x14ac:dyDescent="0.25">
      <c r="A19" s="8">
        <f t="shared" si="0"/>
        <v>18</v>
      </c>
      <c r="B19" s="8">
        <f t="shared" si="1"/>
        <v>1</v>
      </c>
      <c r="C19" s="8">
        <f t="shared" si="2"/>
        <v>134.5743255615233</v>
      </c>
      <c r="D19" s="8">
        <v>18</v>
      </c>
      <c r="E19" s="8">
        <v>37.552711486816399</v>
      </c>
      <c r="F19" s="8">
        <v>20.700826644897401</v>
      </c>
      <c r="G19" s="8"/>
      <c r="H19" s="8">
        <v>18</v>
      </c>
      <c r="I19" s="8">
        <v>55.141086578369098</v>
      </c>
      <c r="J19" s="8">
        <v>20.776611328125</v>
      </c>
      <c r="K19" s="8"/>
      <c r="L19" s="8">
        <v>18</v>
      </c>
      <c r="M19" s="8">
        <v>41.880527496337798</v>
      </c>
      <c r="N19" s="8">
        <v>20.690362930297798</v>
      </c>
      <c r="P19" s="8">
        <f t="shared" si="3"/>
        <v>1207.9058380126939</v>
      </c>
      <c r="Q19">
        <v>18</v>
      </c>
      <c r="R19">
        <v>198.39784240722599</v>
      </c>
      <c r="S19">
        <v>45.074100494384702</v>
      </c>
      <c r="U19">
        <v>18</v>
      </c>
      <c r="V19">
        <v>799.27362060546795</v>
      </c>
      <c r="W19">
        <v>45.434787750244098</v>
      </c>
      <c r="Y19">
        <v>18</v>
      </c>
      <c r="Z19">
        <v>210.234375</v>
      </c>
      <c r="AA19">
        <v>45.671611785888601</v>
      </c>
    </row>
    <row r="20" spans="1:27" x14ac:dyDescent="0.25">
      <c r="A20" s="8">
        <f t="shared" si="0"/>
        <v>19</v>
      </c>
      <c r="B20" s="8">
        <f t="shared" si="1"/>
        <v>1</v>
      </c>
      <c r="C20" s="8">
        <f t="shared" si="2"/>
        <v>29.5765056610107</v>
      </c>
      <c r="D20" s="8">
        <v>19</v>
      </c>
      <c r="E20" s="8">
        <v>8.2703104019165004</v>
      </c>
      <c r="F20" s="8">
        <v>22.882095336913999</v>
      </c>
      <c r="G20" s="8"/>
      <c r="H20" s="8">
        <v>19</v>
      </c>
      <c r="I20" s="8">
        <v>11.583503723144499</v>
      </c>
      <c r="J20" s="8">
        <v>22.981370925903299</v>
      </c>
      <c r="K20" s="8"/>
      <c r="L20" s="8">
        <v>19</v>
      </c>
      <c r="M20" s="8">
        <v>9.7226915359496999</v>
      </c>
      <c r="N20" s="8">
        <v>22.870782852172798</v>
      </c>
      <c r="P20" s="8">
        <f t="shared" si="3"/>
        <v>186.1666412353508</v>
      </c>
      <c r="Q20">
        <v>19</v>
      </c>
      <c r="R20">
        <v>31.2411499023437</v>
      </c>
      <c r="S20">
        <v>47.344131469726499</v>
      </c>
      <c r="U20">
        <v>19</v>
      </c>
      <c r="V20">
        <v>122.332801818847</v>
      </c>
      <c r="W20">
        <v>47.330314636230398</v>
      </c>
      <c r="Y20">
        <v>19</v>
      </c>
      <c r="Z20">
        <v>32.592689514160099</v>
      </c>
      <c r="AA20">
        <v>47.672534942626903</v>
      </c>
    </row>
    <row r="21" spans="1:27" x14ac:dyDescent="0.25">
      <c r="A21" s="8">
        <f t="shared" si="0"/>
        <v>20</v>
      </c>
      <c r="B21" s="8">
        <f t="shared" si="1"/>
        <v>1</v>
      </c>
      <c r="C21" s="8">
        <f t="shared" si="2"/>
        <v>27.022169589996238</v>
      </c>
      <c r="D21" s="8">
        <v>20</v>
      </c>
      <c r="E21" s="8">
        <v>10.427297592163001</v>
      </c>
      <c r="F21" s="8">
        <v>18.247264862060501</v>
      </c>
      <c r="G21" s="8"/>
      <c r="H21" s="8">
        <v>20</v>
      </c>
      <c r="I21" s="8">
        <v>9.3479127883911097</v>
      </c>
      <c r="J21" s="8">
        <v>18.435684204101499</v>
      </c>
      <c r="K21" s="8"/>
      <c r="L21" s="8">
        <v>20</v>
      </c>
      <c r="M21" s="8">
        <v>7.2469592094421298</v>
      </c>
      <c r="N21" s="8">
        <v>18.344638824462798</v>
      </c>
      <c r="P21" s="8">
        <f t="shared" si="3"/>
        <v>1015.4544219970689</v>
      </c>
      <c r="Q21">
        <v>20</v>
      </c>
      <c r="R21">
        <v>170.40629577636699</v>
      </c>
      <c r="S21">
        <v>47.344131469726499</v>
      </c>
      <c r="U21">
        <v>20</v>
      </c>
      <c r="V21">
        <v>667.26983642578102</v>
      </c>
      <c r="W21">
        <v>47.330314636230398</v>
      </c>
      <c r="Y21">
        <v>20</v>
      </c>
      <c r="Z21">
        <v>177.77828979492099</v>
      </c>
      <c r="AA21">
        <v>47.672534942626903</v>
      </c>
    </row>
    <row r="22" spans="1:27" x14ac:dyDescent="0.25">
      <c r="A22" s="8">
        <f t="shared" si="0"/>
        <v>21</v>
      </c>
      <c r="B22" s="8">
        <f t="shared" si="1"/>
        <v>1</v>
      </c>
      <c r="C22" s="8">
        <f t="shared" si="2"/>
        <v>202.69797134399408</v>
      </c>
      <c r="D22" s="8">
        <v>21</v>
      </c>
      <c r="E22" s="8">
        <v>77.449790954589801</v>
      </c>
      <c r="F22" s="8">
        <v>16.506914138793899</v>
      </c>
      <c r="G22" s="8"/>
      <c r="H22" s="8">
        <v>21</v>
      </c>
      <c r="I22" s="8">
        <v>69.159568786621094</v>
      </c>
      <c r="J22" s="8">
        <v>16.616834640502901</v>
      </c>
      <c r="K22" s="8"/>
      <c r="L22" s="8">
        <v>21</v>
      </c>
      <c r="M22" s="8">
        <v>56.088611602783203</v>
      </c>
      <c r="N22" s="8">
        <v>16.584178924560501</v>
      </c>
      <c r="P22" s="8">
        <f t="shared" si="3"/>
        <v>1048.954925537108</v>
      </c>
      <c r="Q22">
        <v>21</v>
      </c>
      <c r="R22">
        <v>135.07472229003901</v>
      </c>
      <c r="S22">
        <v>44.3624458312988</v>
      </c>
      <c r="U22">
        <v>21</v>
      </c>
      <c r="V22">
        <v>704.51647949218705</v>
      </c>
      <c r="W22">
        <v>44.900821685791001</v>
      </c>
      <c r="Y22">
        <v>21</v>
      </c>
      <c r="Z22">
        <v>209.36372375488199</v>
      </c>
      <c r="AA22">
        <v>45.244575500488203</v>
      </c>
    </row>
    <row r="23" spans="1:27" x14ac:dyDescent="0.25">
      <c r="A23" s="8">
        <f t="shared" si="0"/>
        <v>22</v>
      </c>
      <c r="B23" s="8">
        <f t="shared" si="1"/>
        <v>1</v>
      </c>
      <c r="C23" s="8">
        <f t="shared" si="2"/>
        <v>135.38142776489241</v>
      </c>
      <c r="D23" s="8">
        <v>22</v>
      </c>
      <c r="E23" s="8">
        <v>37.696598052978501</v>
      </c>
      <c r="F23" s="8">
        <v>18.945804595947202</v>
      </c>
      <c r="G23" s="8"/>
      <c r="H23" s="8">
        <v>22</v>
      </c>
      <c r="I23" s="8">
        <v>54.1028633117675</v>
      </c>
      <c r="J23" s="8">
        <v>18.994926452636701</v>
      </c>
      <c r="K23" s="8"/>
      <c r="L23" s="8">
        <v>22</v>
      </c>
      <c r="M23" s="8">
        <v>43.581966400146399</v>
      </c>
      <c r="N23" s="8">
        <v>18.9306030273437</v>
      </c>
      <c r="P23" s="8">
        <f t="shared" si="3"/>
        <v>1028.2211914062482</v>
      </c>
      <c r="Q23">
        <v>22</v>
      </c>
      <c r="R23">
        <v>130.88426208496</v>
      </c>
      <c r="S23">
        <v>45.690185546875</v>
      </c>
      <c r="U23">
        <v>22</v>
      </c>
      <c r="V23">
        <v>687.82092285156205</v>
      </c>
      <c r="W23">
        <v>46.159767150878899</v>
      </c>
      <c r="Y23">
        <v>22</v>
      </c>
      <c r="Z23">
        <v>209.51600646972599</v>
      </c>
      <c r="AA23">
        <v>46.723411560058501</v>
      </c>
    </row>
    <row r="24" spans="1:27" x14ac:dyDescent="0.25">
      <c r="A24" s="8">
        <f t="shared" si="0"/>
        <v>23</v>
      </c>
      <c r="B24" s="8">
        <f t="shared" si="1"/>
        <v>1</v>
      </c>
      <c r="C24" s="8">
        <f t="shared" si="2"/>
        <v>143.3319740295409</v>
      </c>
      <c r="D24" s="8">
        <v>23</v>
      </c>
      <c r="E24" s="8">
        <v>46.6294136047363</v>
      </c>
      <c r="F24" s="8">
        <v>25.398149490356399</v>
      </c>
      <c r="G24" s="8"/>
      <c r="H24" s="8">
        <v>23</v>
      </c>
      <c r="I24" s="8">
        <v>48.639408111572202</v>
      </c>
      <c r="J24" s="8">
        <v>25.496494293212798</v>
      </c>
      <c r="K24" s="8"/>
      <c r="L24" s="8">
        <v>23</v>
      </c>
      <c r="M24" s="8">
        <v>48.063152313232401</v>
      </c>
      <c r="N24" s="8">
        <v>25.412109375</v>
      </c>
      <c r="P24" s="8">
        <f t="shared" si="3"/>
        <v>47.461306095123213</v>
      </c>
      <c r="Q24">
        <v>23</v>
      </c>
      <c r="R24">
        <v>5.3475165367126403</v>
      </c>
      <c r="S24">
        <v>28.8787536621093</v>
      </c>
      <c r="U24">
        <v>23</v>
      </c>
      <c r="V24">
        <v>32.366802215576101</v>
      </c>
      <c r="W24">
        <v>29.1201076507568</v>
      </c>
      <c r="Y24">
        <v>23</v>
      </c>
      <c r="Z24">
        <v>9.7469873428344709</v>
      </c>
      <c r="AA24">
        <v>29.389324188232401</v>
      </c>
    </row>
    <row r="25" spans="1:27" x14ac:dyDescent="0.25">
      <c r="A25" s="8">
        <f t="shared" si="0"/>
        <v>24</v>
      </c>
      <c r="B25" s="8">
        <f t="shared" si="1"/>
        <v>1</v>
      </c>
      <c r="C25" s="8">
        <f t="shared" si="2"/>
        <v>67.214504241943203</v>
      </c>
      <c r="D25" s="8">
        <v>24</v>
      </c>
      <c r="E25" s="8">
        <v>22.839397430419901</v>
      </c>
      <c r="F25" s="8">
        <v>30.4663906097412</v>
      </c>
      <c r="G25" s="8"/>
      <c r="H25" s="8">
        <v>24</v>
      </c>
      <c r="I25" s="8">
        <v>27.372381210327099</v>
      </c>
      <c r="J25" s="8">
        <v>30.636243820190401</v>
      </c>
      <c r="K25" s="8"/>
      <c r="L25" s="8">
        <v>24</v>
      </c>
      <c r="M25" s="8">
        <v>17.0027256011962</v>
      </c>
      <c r="N25" s="8">
        <v>30.5878582000732</v>
      </c>
      <c r="P25" s="8">
        <f t="shared" si="3"/>
        <v>2065.5201416015589</v>
      </c>
      <c r="Q25">
        <v>24</v>
      </c>
      <c r="R25">
        <v>334.24053955078102</v>
      </c>
      <c r="S25">
        <v>45.333545684814403</v>
      </c>
      <c r="U25">
        <v>24</v>
      </c>
      <c r="V25">
        <v>1395.95275878906</v>
      </c>
      <c r="W25">
        <v>45.328414916992102</v>
      </c>
      <c r="Y25">
        <v>24</v>
      </c>
      <c r="Z25">
        <v>335.32684326171801</v>
      </c>
      <c r="AA25">
        <v>45.530662536621001</v>
      </c>
    </row>
    <row r="26" spans="1:27" x14ac:dyDescent="0.25">
      <c r="A26" s="8">
        <f t="shared" si="0"/>
        <v>25</v>
      </c>
      <c r="B26" s="8">
        <f t="shared" si="1"/>
        <v>1</v>
      </c>
      <c r="C26" s="8">
        <f t="shared" si="2"/>
        <v>34.048545837402223</v>
      </c>
      <c r="D26" s="8">
        <v>25</v>
      </c>
      <c r="E26" s="8">
        <v>11.6564846038818</v>
      </c>
      <c r="F26" s="8">
        <v>31.985698699951101</v>
      </c>
      <c r="G26" s="8"/>
      <c r="H26" s="8">
        <v>25</v>
      </c>
      <c r="I26" s="8">
        <v>13.7829637527465</v>
      </c>
      <c r="J26" s="8">
        <v>32.155551910400298</v>
      </c>
      <c r="K26" s="8"/>
      <c r="L26" s="8">
        <v>25</v>
      </c>
      <c r="M26" s="8">
        <v>8.6090974807739205</v>
      </c>
      <c r="N26" s="8">
        <v>32.107166290283203</v>
      </c>
      <c r="P26" s="8">
        <f t="shared" si="3"/>
        <v>1050.008010864256</v>
      </c>
      <c r="Q26">
        <v>25</v>
      </c>
      <c r="R26">
        <v>139.452377319335</v>
      </c>
      <c r="S26">
        <v>38.891632080078097</v>
      </c>
      <c r="U26">
        <v>25</v>
      </c>
      <c r="V26">
        <v>705.38122558593705</v>
      </c>
      <c r="W26">
        <v>39.1311836242675</v>
      </c>
      <c r="Y26">
        <v>25</v>
      </c>
      <c r="Z26">
        <v>205.17440795898401</v>
      </c>
      <c r="AA26">
        <v>39.401004791259702</v>
      </c>
    </row>
    <row r="27" spans="1:27" x14ac:dyDescent="0.25">
      <c r="A27" s="8">
        <f t="shared" si="0"/>
        <v>26</v>
      </c>
      <c r="B27" s="8">
        <f t="shared" si="1"/>
        <v>1</v>
      </c>
      <c r="C27" s="8">
        <f t="shared" si="2"/>
        <v>30.401848793029639</v>
      </c>
      <c r="D27" s="8">
        <v>26</v>
      </c>
      <c r="E27" s="8">
        <v>9.5929679870605398</v>
      </c>
      <c r="F27" s="8">
        <v>27.112817764282202</v>
      </c>
      <c r="G27" s="8"/>
      <c r="H27" s="8">
        <v>26</v>
      </c>
      <c r="I27" s="8">
        <v>10.469016075134199</v>
      </c>
      <c r="J27" s="8">
        <v>27.21116065979</v>
      </c>
      <c r="K27" s="8"/>
      <c r="L27" s="8">
        <v>26</v>
      </c>
      <c r="M27" s="8">
        <v>10.339864730834901</v>
      </c>
      <c r="N27" s="8">
        <v>27.1267776489257</v>
      </c>
      <c r="P27" s="8">
        <f t="shared" si="3"/>
        <v>533.07612609863145</v>
      </c>
      <c r="Q27">
        <v>26</v>
      </c>
      <c r="R27">
        <v>70.028327941894503</v>
      </c>
      <c r="S27">
        <v>54.949653625488203</v>
      </c>
      <c r="U27">
        <v>26</v>
      </c>
      <c r="V27">
        <v>358.931060791015</v>
      </c>
      <c r="W27">
        <v>55.282180786132798</v>
      </c>
      <c r="Y27">
        <v>26</v>
      </c>
      <c r="Z27">
        <v>104.116737365722</v>
      </c>
      <c r="AA27">
        <v>55.592372894287102</v>
      </c>
    </row>
    <row r="28" spans="1:27" x14ac:dyDescent="0.25">
      <c r="A28" s="8">
        <f t="shared" si="0"/>
        <v>27</v>
      </c>
      <c r="B28" s="8">
        <f t="shared" si="1"/>
        <v>1</v>
      </c>
      <c r="C28" s="8">
        <f t="shared" si="2"/>
        <v>82.772125244140398</v>
      </c>
      <c r="D28" s="8">
        <v>27</v>
      </c>
      <c r="E28" s="8">
        <v>27.4601116180419</v>
      </c>
      <c r="F28" s="8">
        <v>48.65771484375</v>
      </c>
      <c r="G28" s="8"/>
      <c r="H28" s="8">
        <v>27</v>
      </c>
      <c r="I28" s="8">
        <v>31.4584655761718</v>
      </c>
      <c r="J28" s="8">
        <v>49.597522735595703</v>
      </c>
      <c r="K28" s="8"/>
      <c r="L28" s="8">
        <v>27</v>
      </c>
      <c r="M28" s="8">
        <v>23.853548049926701</v>
      </c>
      <c r="N28" s="8">
        <v>49.0313911437988</v>
      </c>
      <c r="P28" s="8">
        <f t="shared" si="3"/>
        <v>1593.398254394526</v>
      </c>
      <c r="Q28">
        <v>27</v>
      </c>
      <c r="R28">
        <v>194.244384765625</v>
      </c>
      <c r="S28">
        <v>71.021865844726506</v>
      </c>
      <c r="U28">
        <v>27</v>
      </c>
      <c r="V28">
        <v>1108.56811523437</v>
      </c>
      <c r="W28">
        <v>71.177665710449205</v>
      </c>
      <c r="Y28">
        <v>27</v>
      </c>
      <c r="Z28">
        <v>290.58575439453102</v>
      </c>
      <c r="AA28">
        <v>71.360023498535099</v>
      </c>
    </row>
    <row r="29" spans="1:27" x14ac:dyDescent="0.25">
      <c r="A29" s="8">
        <f t="shared" si="0"/>
        <v>28</v>
      </c>
      <c r="B29" s="8">
        <f t="shared" si="1"/>
        <v>1</v>
      </c>
      <c r="C29" s="8">
        <f t="shared" si="2"/>
        <v>288.8497467041006</v>
      </c>
      <c r="D29" s="8">
        <v>28</v>
      </c>
      <c r="E29" s="8">
        <v>94.989334106445298</v>
      </c>
      <c r="F29" s="8">
        <v>41.996551513671797</v>
      </c>
      <c r="G29" s="8"/>
      <c r="H29" s="8">
        <v>28</v>
      </c>
      <c r="I29" s="8">
        <v>108.755958557128</v>
      </c>
      <c r="J29" s="8">
        <v>42.932712554931598</v>
      </c>
      <c r="K29" s="8"/>
      <c r="L29" s="8">
        <v>28</v>
      </c>
      <c r="M29" s="8">
        <v>85.104454040527301</v>
      </c>
      <c r="N29" s="8">
        <v>42.365718841552699</v>
      </c>
      <c r="P29" s="8">
        <f t="shared" si="3"/>
        <v>1635.2332611083968</v>
      </c>
      <c r="Q29">
        <v>28</v>
      </c>
      <c r="R29">
        <v>247.58979797363199</v>
      </c>
      <c r="S29">
        <v>68.297752380371094</v>
      </c>
      <c r="U29">
        <v>28</v>
      </c>
      <c r="V29">
        <v>1099.93994140625</v>
      </c>
      <c r="W29">
        <v>68.548995971679602</v>
      </c>
      <c r="Y29">
        <v>28</v>
      </c>
      <c r="Z29">
        <v>287.703521728515</v>
      </c>
      <c r="AA29">
        <v>68.675941467285099</v>
      </c>
    </row>
    <row r="30" spans="1:27" x14ac:dyDescent="0.25">
      <c r="A30" s="8">
        <f t="shared" si="0"/>
        <v>29</v>
      </c>
      <c r="B30" s="8">
        <f t="shared" si="1"/>
        <v>1</v>
      </c>
      <c r="C30" s="8">
        <f t="shared" si="2"/>
        <v>82.203859329223505</v>
      </c>
      <c r="D30" s="8">
        <v>29</v>
      </c>
      <c r="E30" s="8">
        <v>27.787521362304599</v>
      </c>
      <c r="F30" s="8">
        <v>51.067615509033203</v>
      </c>
      <c r="G30" s="8"/>
      <c r="H30" s="8">
        <v>29</v>
      </c>
      <c r="I30" s="8">
        <v>31.434675216674801</v>
      </c>
      <c r="J30" s="8">
        <v>52.560337066650298</v>
      </c>
      <c r="K30" s="8"/>
      <c r="L30" s="8">
        <v>29</v>
      </c>
      <c r="M30" s="8">
        <v>22.981662750244102</v>
      </c>
      <c r="N30" s="8">
        <v>51.184646606445298</v>
      </c>
      <c r="P30" s="8">
        <f t="shared" si="3"/>
        <v>333.59329986572226</v>
      </c>
      <c r="Q30">
        <v>29</v>
      </c>
      <c r="R30">
        <v>55.087783813476499</v>
      </c>
      <c r="S30">
        <v>40.653171539306598</v>
      </c>
      <c r="U30">
        <v>29</v>
      </c>
      <c r="V30">
        <v>227.03594970703099</v>
      </c>
      <c r="W30">
        <v>40.764842987060497</v>
      </c>
      <c r="Y30">
        <v>29</v>
      </c>
      <c r="Z30">
        <v>51.469566345214801</v>
      </c>
      <c r="AA30">
        <v>41.009384155273402</v>
      </c>
    </row>
    <row r="31" spans="1:27" x14ac:dyDescent="0.25">
      <c r="A31" s="8">
        <f t="shared" si="0"/>
        <v>30</v>
      </c>
      <c r="B31" s="8">
        <f t="shared" si="1"/>
        <v>1</v>
      </c>
      <c r="C31" s="8">
        <f t="shared" si="2"/>
        <v>281.93503570556618</v>
      </c>
      <c r="D31" s="8">
        <v>30</v>
      </c>
      <c r="E31" s="8">
        <v>94.798744201660099</v>
      </c>
      <c r="F31" s="8">
        <v>44.406452178955</v>
      </c>
      <c r="G31" s="8"/>
      <c r="H31" s="8">
        <v>30</v>
      </c>
      <c r="I31" s="8">
        <v>105.921661376953</v>
      </c>
      <c r="J31" s="8">
        <v>45.895530700683501</v>
      </c>
      <c r="K31" s="8"/>
      <c r="L31" s="8">
        <v>30</v>
      </c>
      <c r="M31" s="8">
        <v>81.214630126953097</v>
      </c>
      <c r="N31" s="8">
        <v>44.518974304199197</v>
      </c>
      <c r="P31" s="8">
        <f t="shared" si="3"/>
        <v>303.84830093383709</v>
      </c>
      <c r="Q31">
        <v>30</v>
      </c>
      <c r="R31">
        <v>38.279087066650298</v>
      </c>
      <c r="S31">
        <v>40.987064361572202</v>
      </c>
      <c r="U31">
        <v>30</v>
      </c>
      <c r="V31">
        <v>199.82534790039</v>
      </c>
      <c r="W31">
        <v>41.255847930908203</v>
      </c>
      <c r="Y31">
        <v>30</v>
      </c>
      <c r="Z31">
        <v>65.743865966796804</v>
      </c>
      <c r="AA31">
        <v>41.560081481933501</v>
      </c>
    </row>
    <row r="32" spans="1:27" x14ac:dyDescent="0.25">
      <c r="A32" s="8">
        <f t="shared" si="0"/>
        <v>31</v>
      </c>
      <c r="B32" s="8">
        <f t="shared" si="1"/>
        <v>1</v>
      </c>
      <c r="C32" s="8">
        <f t="shared" si="2"/>
        <v>140.967517852783</v>
      </c>
      <c r="D32" s="8">
        <v>31</v>
      </c>
      <c r="E32" s="8">
        <v>47.39937210083</v>
      </c>
      <c r="F32" s="8">
        <v>44.406452178955</v>
      </c>
      <c r="G32" s="8"/>
      <c r="H32" s="8">
        <v>31</v>
      </c>
      <c r="I32" s="8">
        <v>52.960830688476499</v>
      </c>
      <c r="J32" s="8">
        <v>45.895530700683501</v>
      </c>
      <c r="K32" s="8"/>
      <c r="L32" s="8">
        <v>31</v>
      </c>
      <c r="M32" s="8">
        <v>40.607315063476499</v>
      </c>
      <c r="N32" s="8">
        <v>44.518974304199197</v>
      </c>
      <c r="P32" s="8">
        <f t="shared" si="3"/>
        <v>789.15534973144406</v>
      </c>
      <c r="Q32">
        <v>31</v>
      </c>
      <c r="R32">
        <v>102.02545166015599</v>
      </c>
      <c r="S32">
        <v>15.383805274963301</v>
      </c>
      <c r="U32">
        <v>31</v>
      </c>
      <c r="V32">
        <v>530.80255126953102</v>
      </c>
      <c r="W32">
        <v>15.4221858978271</v>
      </c>
      <c r="Y32">
        <v>31</v>
      </c>
      <c r="Z32">
        <v>156.32734680175699</v>
      </c>
      <c r="AA32">
        <v>15.505440711975</v>
      </c>
    </row>
    <row r="33" spans="1:27" x14ac:dyDescent="0.25">
      <c r="A33" s="8">
        <f t="shared" si="0"/>
        <v>32</v>
      </c>
      <c r="B33" s="8">
        <f t="shared" si="1"/>
        <v>1</v>
      </c>
      <c r="C33" s="8">
        <f t="shared" si="2"/>
        <v>51.787373542785502</v>
      </c>
      <c r="D33" s="8">
        <v>32</v>
      </c>
      <c r="E33" s="8">
        <v>15.7037801742553</v>
      </c>
      <c r="F33" s="8">
        <v>36.863346099853501</v>
      </c>
      <c r="G33" s="8"/>
      <c r="H33" s="8">
        <v>32</v>
      </c>
      <c r="I33" s="8">
        <v>20.997064590454102</v>
      </c>
      <c r="J33" s="8">
        <v>37.471660614013601</v>
      </c>
      <c r="K33" s="8"/>
      <c r="L33" s="8">
        <v>32</v>
      </c>
      <c r="M33" s="8">
        <v>15.086528778076101</v>
      </c>
      <c r="N33" s="8">
        <v>36.992988586425703</v>
      </c>
      <c r="P33" s="8">
        <f t="shared" si="3"/>
        <v>917.37818908691293</v>
      </c>
      <c r="Q33">
        <v>32</v>
      </c>
      <c r="R33">
        <v>129.703689575195</v>
      </c>
      <c r="S33">
        <v>16.744031906127901</v>
      </c>
      <c r="U33">
        <v>32</v>
      </c>
      <c r="V33">
        <v>614.19598388671795</v>
      </c>
      <c r="W33">
        <v>16.722841262817301</v>
      </c>
      <c r="Y33">
        <v>32</v>
      </c>
      <c r="Z33">
        <v>173.478515625</v>
      </c>
      <c r="AA33">
        <v>16.720808029174801</v>
      </c>
    </row>
    <row r="34" spans="1:27" x14ac:dyDescent="0.25">
      <c r="A34" s="8">
        <f t="shared" si="0"/>
        <v>33</v>
      </c>
      <c r="B34" s="8">
        <f t="shared" si="1"/>
        <v>1</v>
      </c>
      <c r="C34" s="8">
        <f t="shared" si="2"/>
        <v>162.95755386352522</v>
      </c>
      <c r="D34" s="8">
        <v>33</v>
      </c>
      <c r="E34" s="8">
        <v>52.183128356933501</v>
      </c>
      <c r="F34" s="8">
        <v>32.409542083740199</v>
      </c>
      <c r="G34" s="8"/>
      <c r="H34" s="8">
        <v>33</v>
      </c>
      <c r="I34" s="8">
        <v>68.531906127929602</v>
      </c>
      <c r="J34" s="8">
        <v>33.247142791747997</v>
      </c>
      <c r="K34" s="8"/>
      <c r="L34" s="8">
        <v>33</v>
      </c>
      <c r="M34" s="8">
        <v>42.242519378662102</v>
      </c>
      <c r="N34" s="8">
        <v>32.581390380859297</v>
      </c>
      <c r="P34" s="8">
        <f t="shared" si="3"/>
        <v>0</v>
      </c>
      <c r="Q34">
        <v>33</v>
      </c>
      <c r="R34">
        <v>0</v>
      </c>
      <c r="S34">
        <v>3.5968232154846098</v>
      </c>
      <c r="U34">
        <v>33</v>
      </c>
      <c r="V34">
        <v>0</v>
      </c>
      <c r="W34">
        <v>3.6067914962768501</v>
      </c>
      <c r="Y34">
        <v>33</v>
      </c>
      <c r="Z34">
        <v>0</v>
      </c>
      <c r="AA34">
        <v>3.64482069015502</v>
      </c>
    </row>
    <row r="35" spans="1:27" x14ac:dyDescent="0.25">
      <c r="A35" s="8">
        <f t="shared" si="0"/>
        <v>34</v>
      </c>
      <c r="B35" s="8">
        <f t="shared" si="1"/>
        <v>1</v>
      </c>
      <c r="C35" s="8">
        <f t="shared" si="2"/>
        <v>44.583509445190195</v>
      </c>
      <c r="D35" s="8">
        <v>34</v>
      </c>
      <c r="E35" s="8">
        <v>13.509524345397899</v>
      </c>
      <c r="F35" s="8">
        <v>30.202180862426701</v>
      </c>
      <c r="G35" s="8"/>
      <c r="H35" s="8">
        <v>34</v>
      </c>
      <c r="I35" s="8">
        <v>18.076450347900298</v>
      </c>
      <c r="J35" s="8">
        <v>30.806850433349599</v>
      </c>
      <c r="K35" s="8"/>
      <c r="L35" s="8">
        <v>34</v>
      </c>
      <c r="M35" s="8">
        <v>12.997534751891999</v>
      </c>
      <c r="N35" s="8">
        <v>30.327318191528299</v>
      </c>
      <c r="P35" s="8">
        <f t="shared" si="3"/>
        <v>556.61180877685456</v>
      </c>
      <c r="Q35">
        <v>34</v>
      </c>
      <c r="R35">
        <v>79.5999755859375</v>
      </c>
      <c r="S35">
        <v>23.1328220367431</v>
      </c>
      <c r="U35">
        <v>34</v>
      </c>
      <c r="V35">
        <v>360.77175903320301</v>
      </c>
      <c r="W35">
        <v>23.2312831878662</v>
      </c>
      <c r="Y35">
        <v>34</v>
      </c>
      <c r="Z35">
        <v>116.24007415771401</v>
      </c>
      <c r="AA35">
        <v>23.382316589355401</v>
      </c>
    </row>
    <row r="36" spans="1:27" x14ac:dyDescent="0.25">
      <c r="A36" s="8">
        <f t="shared" si="0"/>
        <v>35</v>
      </c>
      <c r="B36" s="8">
        <f t="shared" si="1"/>
        <v>1</v>
      </c>
      <c r="C36" s="8">
        <f t="shared" si="2"/>
        <v>227.43918228149408</v>
      </c>
      <c r="D36" s="8">
        <v>35</v>
      </c>
      <c r="E36" s="8">
        <v>75.087287902832003</v>
      </c>
      <c r="F36" s="8">
        <v>53.4178466796875</v>
      </c>
      <c r="G36" s="8"/>
      <c r="H36" s="8">
        <v>35</v>
      </c>
      <c r="I36" s="8">
        <v>88.898704528808594</v>
      </c>
      <c r="J36" s="8">
        <v>53.994895935058501</v>
      </c>
      <c r="K36" s="8"/>
      <c r="L36" s="8">
        <v>35</v>
      </c>
      <c r="M36" s="8">
        <v>63.453189849853501</v>
      </c>
      <c r="N36" s="8">
        <v>53.744083404541001</v>
      </c>
      <c r="P36" s="8">
        <f t="shared" si="3"/>
        <v>103.20180892944329</v>
      </c>
      <c r="Q36">
        <v>35</v>
      </c>
      <c r="R36">
        <v>16.285680770873999</v>
      </c>
      <c r="S36">
        <v>30.5313110351562</v>
      </c>
      <c r="U36">
        <v>35</v>
      </c>
      <c r="V36">
        <v>67.190093994140597</v>
      </c>
      <c r="W36">
        <v>30.404668807983398</v>
      </c>
      <c r="Y36">
        <v>35</v>
      </c>
      <c r="Z36">
        <v>19.7260341644287</v>
      </c>
      <c r="AA36">
        <v>30.394802093505799</v>
      </c>
    </row>
    <row r="37" spans="1:27" x14ac:dyDescent="0.25">
      <c r="A37" s="8">
        <f t="shared" si="0"/>
        <v>36</v>
      </c>
      <c r="B37" s="8">
        <f t="shared" si="1"/>
        <v>1</v>
      </c>
      <c r="C37" s="8">
        <f t="shared" si="2"/>
        <v>319.19596099853447</v>
      </c>
      <c r="D37" s="8">
        <v>36</v>
      </c>
      <c r="E37" s="8">
        <v>106.467308044433</v>
      </c>
      <c r="F37" s="8">
        <v>42.424846649169901</v>
      </c>
      <c r="G37" s="8"/>
      <c r="H37" s="8">
        <v>36</v>
      </c>
      <c r="I37" s="8">
        <v>123.18214416503901</v>
      </c>
      <c r="J37" s="8">
        <v>42.928745269775298</v>
      </c>
      <c r="K37" s="8"/>
      <c r="L37" s="8">
        <v>36</v>
      </c>
      <c r="M37" s="8">
        <v>89.5465087890625</v>
      </c>
      <c r="N37" s="8">
        <v>42.647815704345703</v>
      </c>
      <c r="P37" s="8">
        <f t="shared" si="3"/>
        <v>614.33945465087811</v>
      </c>
      <c r="Q37">
        <v>36</v>
      </c>
      <c r="R37">
        <v>96.990150451660099</v>
      </c>
      <c r="S37">
        <v>23.518297195434499</v>
      </c>
      <c r="U37">
        <v>36</v>
      </c>
      <c r="V37">
        <v>399.35150146484301</v>
      </c>
      <c r="W37">
        <v>23.393455505371001</v>
      </c>
      <c r="Y37">
        <v>36</v>
      </c>
      <c r="Z37">
        <v>117.997802734375</v>
      </c>
      <c r="AA37">
        <v>23.382972717285099</v>
      </c>
    </row>
    <row r="38" spans="1:27" x14ac:dyDescent="0.25">
      <c r="A38" s="8">
        <f t="shared" si="0"/>
        <v>37</v>
      </c>
      <c r="B38" s="8">
        <f t="shared" si="1"/>
        <v>1</v>
      </c>
      <c r="C38" s="8">
        <f t="shared" si="2"/>
        <v>107.803928375244</v>
      </c>
      <c r="D38" s="8">
        <v>37</v>
      </c>
      <c r="E38" s="8">
        <v>35.677970886230398</v>
      </c>
      <c r="F38" s="8">
        <v>43.323677062988203</v>
      </c>
      <c r="G38" s="8"/>
      <c r="H38" s="8">
        <v>37</v>
      </c>
      <c r="I38" s="8">
        <v>42.224796295166001</v>
      </c>
      <c r="J38" s="8">
        <v>43.889640808105398</v>
      </c>
      <c r="K38" s="8"/>
      <c r="L38" s="8">
        <v>37</v>
      </c>
      <c r="M38" s="8">
        <v>29.901161193847599</v>
      </c>
      <c r="N38" s="8">
        <v>43.646305084228501</v>
      </c>
      <c r="P38" s="8">
        <f t="shared" si="3"/>
        <v>65.971989631652647</v>
      </c>
      <c r="Q38">
        <v>37</v>
      </c>
      <c r="R38">
        <v>9.1247415542602504</v>
      </c>
      <c r="S38">
        <v>32.756507873535099</v>
      </c>
      <c r="U38">
        <v>37</v>
      </c>
      <c r="V38">
        <v>43.141880035400298</v>
      </c>
      <c r="W38">
        <v>32.827423095703097</v>
      </c>
      <c r="Y38">
        <v>37</v>
      </c>
      <c r="Z38">
        <v>13.7053680419921</v>
      </c>
      <c r="AA38">
        <v>32.981121063232401</v>
      </c>
    </row>
    <row r="39" spans="1:27" x14ac:dyDescent="0.25">
      <c r="A39" s="8">
        <f t="shared" si="0"/>
        <v>38</v>
      </c>
      <c r="B39" s="8">
        <f t="shared" si="1"/>
        <v>1</v>
      </c>
      <c r="C39" s="8">
        <f t="shared" si="2"/>
        <v>47.667512893676701</v>
      </c>
      <c r="D39" s="8">
        <v>38</v>
      </c>
      <c r="E39" s="8">
        <v>14.7797632217407</v>
      </c>
      <c r="F39" s="8">
        <v>26.827476501464801</v>
      </c>
      <c r="G39" s="8"/>
      <c r="H39" s="8">
        <v>38</v>
      </c>
      <c r="I39" s="8">
        <v>18.374919891357401</v>
      </c>
      <c r="J39" s="8">
        <v>27.212255477905199</v>
      </c>
      <c r="K39" s="8"/>
      <c r="L39" s="8">
        <v>38</v>
      </c>
      <c r="M39" s="8">
        <v>14.512829780578601</v>
      </c>
      <c r="N39" s="8">
        <v>26.943862915038999</v>
      </c>
      <c r="P39" s="8">
        <f t="shared" si="3"/>
        <v>69.624105453491197</v>
      </c>
      <c r="Q39">
        <v>38</v>
      </c>
      <c r="R39">
        <v>9.0183696746826101</v>
      </c>
      <c r="S39">
        <v>22.282884597778299</v>
      </c>
      <c r="U39">
        <v>38</v>
      </c>
      <c r="V39">
        <v>51.861660003662102</v>
      </c>
      <c r="W39">
        <v>22.303482055663999</v>
      </c>
      <c r="Y39">
        <v>38</v>
      </c>
      <c r="Z39">
        <v>8.7440757751464808</v>
      </c>
      <c r="AA39">
        <v>22.317096710205</v>
      </c>
    </row>
    <row r="40" spans="1:27" x14ac:dyDescent="0.25">
      <c r="A40" s="8">
        <f t="shared" si="0"/>
        <v>39</v>
      </c>
      <c r="B40" s="8">
        <f t="shared" si="1"/>
        <v>1</v>
      </c>
      <c r="C40" s="8">
        <f t="shared" si="2"/>
        <v>65.562891006469599</v>
      </c>
      <c r="D40" s="8">
        <v>39</v>
      </c>
      <c r="E40" s="8">
        <v>23.1626682281494</v>
      </c>
      <c r="F40" s="8">
        <v>50.312267303466797</v>
      </c>
      <c r="G40" s="8"/>
      <c r="H40" s="8">
        <v>39</v>
      </c>
      <c r="I40" s="8">
        <v>23.427751541137599</v>
      </c>
      <c r="J40" s="8">
        <v>50.859050750732401</v>
      </c>
      <c r="K40" s="8"/>
      <c r="L40" s="8">
        <v>39</v>
      </c>
      <c r="M40" s="8">
        <v>18.972471237182599</v>
      </c>
      <c r="N40" s="8">
        <v>50.4937133789062</v>
      </c>
      <c r="P40" s="8">
        <f t="shared" si="3"/>
        <v>57.802079200744593</v>
      </c>
      <c r="Q40">
        <v>39</v>
      </c>
      <c r="R40">
        <v>8.0519275665283203</v>
      </c>
      <c r="S40">
        <v>16.883895874023398</v>
      </c>
      <c r="U40">
        <v>39</v>
      </c>
      <c r="V40">
        <v>41.954231262207003</v>
      </c>
      <c r="W40">
        <v>16.890928268432599</v>
      </c>
      <c r="Y40">
        <v>39</v>
      </c>
      <c r="Z40">
        <v>7.7959203720092702</v>
      </c>
      <c r="AA40">
        <v>16.8999919891357</v>
      </c>
    </row>
    <row r="41" spans="1:27" x14ac:dyDescent="0.25">
      <c r="A41" s="8">
        <f t="shared" si="0"/>
        <v>40</v>
      </c>
      <c r="B41" s="8">
        <f t="shared" si="1"/>
        <v>1</v>
      </c>
      <c r="C41" s="8">
        <f t="shared" si="2"/>
        <v>933.72305297851506</v>
      </c>
      <c r="D41" s="8">
        <v>40</v>
      </c>
      <c r="E41" s="8">
        <v>308.61364746093699</v>
      </c>
      <c r="F41" s="8">
        <v>42.424182891845703</v>
      </c>
      <c r="G41" s="8"/>
      <c r="H41" s="8">
        <v>40</v>
      </c>
      <c r="I41" s="8">
        <v>370.538330078125</v>
      </c>
      <c r="J41" s="8">
        <v>43.057964324951101</v>
      </c>
      <c r="K41" s="8"/>
      <c r="L41" s="8">
        <v>40</v>
      </c>
      <c r="M41" s="8">
        <v>254.57107543945301</v>
      </c>
      <c r="N41" s="8">
        <v>42.637550354003899</v>
      </c>
      <c r="P41" s="8">
        <f t="shared" si="3"/>
        <v>80.340729713439799</v>
      </c>
      <c r="Q41">
        <v>40</v>
      </c>
      <c r="R41">
        <v>13.8154907226562</v>
      </c>
      <c r="S41">
        <v>22.846796035766602</v>
      </c>
      <c r="U41">
        <v>40</v>
      </c>
      <c r="V41">
        <v>55.450431823730398</v>
      </c>
      <c r="W41">
        <v>22.8124065399169</v>
      </c>
      <c r="Y41">
        <v>40</v>
      </c>
      <c r="Z41">
        <v>11.0748071670532</v>
      </c>
      <c r="AA41">
        <v>22.869194030761701</v>
      </c>
    </row>
    <row r="42" spans="1:27" x14ac:dyDescent="0.25">
      <c r="A42" s="8">
        <f t="shared" si="0"/>
        <v>41</v>
      </c>
      <c r="B42" s="8">
        <f t="shared" si="1"/>
        <v>1</v>
      </c>
      <c r="C42" s="8">
        <f t="shared" si="2"/>
        <v>132.75821685791001</v>
      </c>
      <c r="D42" s="8">
        <v>41</v>
      </c>
      <c r="E42" s="8">
        <v>45.155078887939403</v>
      </c>
      <c r="F42" s="8">
        <v>47.525020599365199</v>
      </c>
      <c r="G42" s="8"/>
      <c r="H42" s="8">
        <v>41</v>
      </c>
      <c r="I42" s="8">
        <v>52.391426086425703</v>
      </c>
      <c r="J42" s="8">
        <v>48.203147888183501</v>
      </c>
      <c r="K42" s="8"/>
      <c r="L42" s="8">
        <v>41</v>
      </c>
      <c r="M42" s="8">
        <v>35.211711883544901</v>
      </c>
      <c r="N42" s="8">
        <v>47.748252868652301</v>
      </c>
      <c r="P42" s="8">
        <f t="shared" si="3"/>
        <v>24.115253210067689</v>
      </c>
      <c r="Q42">
        <v>41</v>
      </c>
      <c r="R42">
        <v>4.8580503463745099</v>
      </c>
      <c r="S42">
        <v>15.389531135559</v>
      </c>
      <c r="U42">
        <v>41</v>
      </c>
      <c r="V42">
        <v>16.4259529113769</v>
      </c>
      <c r="W42">
        <v>15.3883752822875</v>
      </c>
      <c r="Y42">
        <v>41</v>
      </c>
      <c r="Z42">
        <v>2.8312499523162802</v>
      </c>
      <c r="AA42">
        <v>15.4415130615234</v>
      </c>
    </row>
    <row r="43" spans="1:27" x14ac:dyDescent="0.25">
      <c r="A43" s="8">
        <f t="shared" si="0"/>
        <v>42</v>
      </c>
      <c r="B43" s="8">
        <f t="shared" si="1"/>
        <v>1</v>
      </c>
      <c r="C43" s="8">
        <f t="shared" si="2"/>
        <v>103.7469978332518</v>
      </c>
      <c r="D43" s="8">
        <v>42</v>
      </c>
      <c r="E43" s="8">
        <v>34.290401458740199</v>
      </c>
      <c r="F43" s="8">
        <v>42.424182891845703</v>
      </c>
      <c r="G43" s="8"/>
      <c r="H43" s="8">
        <v>42</v>
      </c>
      <c r="I43" s="8">
        <v>41.170921325683501</v>
      </c>
      <c r="J43" s="8">
        <v>43.057964324951101</v>
      </c>
      <c r="K43" s="8"/>
      <c r="L43" s="8">
        <v>42</v>
      </c>
      <c r="M43" s="8">
        <v>28.2856750488281</v>
      </c>
      <c r="N43" s="8">
        <v>42.637550354003899</v>
      </c>
      <c r="P43" s="8">
        <f t="shared" si="3"/>
        <v>81.174561500549203</v>
      </c>
      <c r="Q43">
        <v>42</v>
      </c>
      <c r="R43">
        <v>11.510570526123001</v>
      </c>
      <c r="S43">
        <v>32.197696685791001</v>
      </c>
      <c r="U43">
        <v>42</v>
      </c>
      <c r="V43">
        <v>54.450592041015597</v>
      </c>
      <c r="W43">
        <v>32.127883911132798</v>
      </c>
      <c r="Y43">
        <v>42</v>
      </c>
      <c r="Z43">
        <v>15.2133989334106</v>
      </c>
      <c r="AA43">
        <v>32.267532348632798</v>
      </c>
    </row>
    <row r="44" spans="1:27" x14ac:dyDescent="0.25">
      <c r="A44" s="8">
        <f t="shared" si="0"/>
        <v>43</v>
      </c>
      <c r="B44" s="8">
        <f t="shared" si="1"/>
        <v>1</v>
      </c>
      <c r="C44" s="8">
        <f t="shared" si="2"/>
        <v>423.74866485595504</v>
      </c>
      <c r="D44" s="8">
        <v>43</v>
      </c>
      <c r="E44" s="8">
        <v>150.04362487792901</v>
      </c>
      <c r="F44" s="8">
        <v>36.887214660644503</v>
      </c>
      <c r="G44" s="8"/>
      <c r="H44" s="8">
        <v>43</v>
      </c>
      <c r="I44" s="8">
        <v>149.30087280273401</v>
      </c>
      <c r="J44" s="8">
        <v>37.28955078125</v>
      </c>
      <c r="K44" s="8"/>
      <c r="L44" s="8">
        <v>43</v>
      </c>
      <c r="M44" s="8">
        <v>124.404167175292</v>
      </c>
      <c r="N44" s="8">
        <v>37.0081787109375</v>
      </c>
      <c r="P44" s="8">
        <f t="shared" si="3"/>
        <v>412.66144180297772</v>
      </c>
      <c r="Q44">
        <v>43</v>
      </c>
      <c r="R44">
        <v>58.603679656982401</v>
      </c>
      <c r="S44">
        <v>23.497240066528299</v>
      </c>
      <c r="U44">
        <v>43</v>
      </c>
      <c r="V44">
        <v>277.98406982421801</v>
      </c>
      <c r="W44">
        <v>23.460727691650298</v>
      </c>
      <c r="Y44">
        <v>43</v>
      </c>
      <c r="Z44">
        <v>76.073692321777301</v>
      </c>
      <c r="AA44">
        <v>23.580577850341701</v>
      </c>
    </row>
    <row r="45" spans="1:27" x14ac:dyDescent="0.25">
      <c r="A45" s="8">
        <f t="shared" si="0"/>
        <v>44</v>
      </c>
      <c r="B45" s="8">
        <f t="shared" si="1"/>
        <v>1</v>
      </c>
      <c r="C45" s="8">
        <f t="shared" si="2"/>
        <v>201.7520866394041</v>
      </c>
      <c r="D45" s="8">
        <v>44</v>
      </c>
      <c r="E45" s="8">
        <v>71.006752014160099</v>
      </c>
      <c r="F45" s="8">
        <v>52.026931762695298</v>
      </c>
      <c r="G45" s="8"/>
      <c r="H45" s="8">
        <v>44</v>
      </c>
      <c r="I45" s="8">
        <v>71.258583068847599</v>
      </c>
      <c r="J45" s="8">
        <v>52.573715209960902</v>
      </c>
      <c r="K45" s="8"/>
      <c r="L45" s="8">
        <v>44</v>
      </c>
      <c r="M45" s="8">
        <v>59.486751556396399</v>
      </c>
      <c r="N45" s="8">
        <v>52.208381652832003</v>
      </c>
      <c r="P45" s="8">
        <f t="shared" si="3"/>
        <v>489.85252380371088</v>
      </c>
      <c r="Q45">
        <v>44</v>
      </c>
      <c r="R45">
        <v>76.474716186523395</v>
      </c>
      <c r="S45">
        <v>25.189569473266602</v>
      </c>
      <c r="U45">
        <v>44</v>
      </c>
      <c r="V45">
        <v>332.573486328125</v>
      </c>
      <c r="W45">
        <v>25.1455173492431</v>
      </c>
      <c r="Y45">
        <v>44</v>
      </c>
      <c r="Z45">
        <v>80.8043212890625</v>
      </c>
      <c r="AA45">
        <v>25.172538757324201</v>
      </c>
    </row>
    <row r="46" spans="1:27" x14ac:dyDescent="0.25">
      <c r="A46" s="8">
        <f t="shared" si="0"/>
        <v>45</v>
      </c>
      <c r="B46" s="8">
        <f t="shared" si="1"/>
        <v>1</v>
      </c>
      <c r="C46" s="8">
        <f t="shared" si="2"/>
        <v>294.89077758788983</v>
      </c>
      <c r="D46" s="8">
        <v>45</v>
      </c>
      <c r="E46" s="8">
        <v>87.815757751464801</v>
      </c>
      <c r="F46" s="8">
        <v>67.014297485351506</v>
      </c>
      <c r="G46" s="8"/>
      <c r="H46" s="8">
        <v>45</v>
      </c>
      <c r="I46" s="8">
        <v>114.946228027343</v>
      </c>
      <c r="J46" s="8">
        <v>67.645332336425696</v>
      </c>
      <c r="K46" s="8"/>
      <c r="L46" s="8">
        <v>45</v>
      </c>
      <c r="M46" s="8">
        <v>92.128791809082003</v>
      </c>
      <c r="N46" s="8">
        <v>67.282073974609304</v>
      </c>
      <c r="P46" s="8">
        <f t="shared" si="3"/>
        <v>133.30064010620112</v>
      </c>
      <c r="Q46">
        <v>45</v>
      </c>
      <c r="R46">
        <v>18.6554660797119</v>
      </c>
      <c r="S46">
        <v>9.7251682281494105</v>
      </c>
      <c r="U46">
        <v>45</v>
      </c>
      <c r="V46">
        <v>84.728324890136705</v>
      </c>
      <c r="W46">
        <v>9.73004150390625</v>
      </c>
      <c r="Y46">
        <v>45</v>
      </c>
      <c r="Z46">
        <v>29.9168491363525</v>
      </c>
      <c r="AA46">
        <v>9.7706356048583896</v>
      </c>
    </row>
    <row r="47" spans="1:27" x14ac:dyDescent="0.25">
      <c r="A47" s="8">
        <f t="shared" si="0"/>
        <v>46</v>
      </c>
      <c r="B47" s="8">
        <f t="shared" si="1"/>
        <v>1</v>
      </c>
      <c r="C47" s="8">
        <f t="shared" si="2"/>
        <v>597.5509490966781</v>
      </c>
      <c r="D47" s="8">
        <v>46</v>
      </c>
      <c r="E47" s="8">
        <v>189.19416809082</v>
      </c>
      <c r="F47" s="8">
        <v>64.716506958007798</v>
      </c>
      <c r="G47" s="8"/>
      <c r="H47" s="8">
        <v>46</v>
      </c>
      <c r="I47" s="8">
        <v>232.34539794921801</v>
      </c>
      <c r="J47" s="8">
        <v>65.397041320800696</v>
      </c>
      <c r="K47" s="8"/>
      <c r="L47" s="8">
        <v>46</v>
      </c>
      <c r="M47" s="8">
        <v>176.01138305664</v>
      </c>
      <c r="N47" s="8">
        <v>65.044540405273395</v>
      </c>
      <c r="P47" s="8">
        <f t="shared" si="3"/>
        <v>61.480580329894934</v>
      </c>
      <c r="Q47">
        <v>46</v>
      </c>
      <c r="R47">
        <v>8.8781528472900302</v>
      </c>
      <c r="S47">
        <v>10.5646162033081</v>
      </c>
      <c r="U47">
        <v>46</v>
      </c>
      <c r="V47">
        <v>41.3189697265625</v>
      </c>
      <c r="W47">
        <v>10.461696624755801</v>
      </c>
      <c r="Y47">
        <v>46</v>
      </c>
      <c r="Z47">
        <v>11.283457756042401</v>
      </c>
      <c r="AA47">
        <v>10.404502868652299</v>
      </c>
    </row>
    <row r="48" spans="1:27" x14ac:dyDescent="0.25">
      <c r="A48" s="8">
        <f t="shared" si="0"/>
        <v>47</v>
      </c>
      <c r="B48" s="8">
        <f t="shared" si="1"/>
        <v>1</v>
      </c>
      <c r="C48" s="8">
        <f t="shared" si="2"/>
        <v>377.44923400878798</v>
      </c>
      <c r="D48" s="8">
        <v>47</v>
      </c>
      <c r="E48" s="8">
        <v>124.00070953369099</v>
      </c>
      <c r="F48" s="8">
        <v>38.720443725585902</v>
      </c>
      <c r="G48" s="8"/>
      <c r="H48" s="8">
        <v>47</v>
      </c>
      <c r="I48" s="8">
        <v>149.39585876464801</v>
      </c>
      <c r="J48" s="8">
        <v>39.264869689941399</v>
      </c>
      <c r="K48" s="8"/>
      <c r="L48" s="8">
        <v>47</v>
      </c>
      <c r="M48" s="8">
        <v>104.05266571044901</v>
      </c>
      <c r="N48" s="8">
        <v>38.930671691894503</v>
      </c>
      <c r="P48" s="8">
        <f t="shared" si="3"/>
        <v>244.95118713378821</v>
      </c>
      <c r="Q48">
        <v>47</v>
      </c>
      <c r="R48">
        <v>42.7285957336425</v>
      </c>
      <c r="S48">
        <v>34.285320281982401</v>
      </c>
      <c r="U48">
        <v>47</v>
      </c>
      <c r="V48">
        <v>161.34735107421801</v>
      </c>
      <c r="W48">
        <v>34.228622436523402</v>
      </c>
      <c r="Y48">
        <v>47</v>
      </c>
      <c r="Z48">
        <v>40.875240325927699</v>
      </c>
      <c r="AA48">
        <v>34.378440856933501</v>
      </c>
    </row>
    <row r="49" spans="1:27" x14ac:dyDescent="0.25">
      <c r="A49" s="8">
        <f t="shared" si="0"/>
        <v>48</v>
      </c>
      <c r="B49" s="8">
        <f t="shared" si="1"/>
        <v>1</v>
      </c>
      <c r="C49" s="8">
        <f t="shared" si="2"/>
        <v>60.815315246581896</v>
      </c>
      <c r="D49" s="8">
        <v>48</v>
      </c>
      <c r="E49" s="8">
        <v>16.263196945190401</v>
      </c>
      <c r="F49" s="8">
        <v>38.669567108154297</v>
      </c>
      <c r="G49" s="8"/>
      <c r="H49" s="8">
        <v>48</v>
      </c>
      <c r="I49" s="8">
        <v>25.236383438110298</v>
      </c>
      <c r="J49" s="8">
        <v>39.127685546875</v>
      </c>
      <c r="K49" s="8"/>
      <c r="L49" s="8">
        <v>48</v>
      </c>
      <c r="M49" s="8">
        <v>19.3157348632812</v>
      </c>
      <c r="N49" s="8">
        <v>38.8494453430175</v>
      </c>
      <c r="P49" s="8">
        <f t="shared" si="3"/>
        <v>304.21778869628878</v>
      </c>
      <c r="Q49">
        <v>48</v>
      </c>
      <c r="R49">
        <v>47.262668609619098</v>
      </c>
      <c r="S49">
        <v>30.897098541259702</v>
      </c>
      <c r="U49">
        <v>48</v>
      </c>
      <c r="V49">
        <v>195.83476257324199</v>
      </c>
      <c r="W49">
        <v>31.062385559081999</v>
      </c>
      <c r="Y49">
        <v>48</v>
      </c>
      <c r="Z49">
        <v>61.120357513427699</v>
      </c>
      <c r="AA49">
        <v>31.272686004638601</v>
      </c>
    </row>
    <row r="50" spans="1:27" x14ac:dyDescent="0.25">
      <c r="A50" s="8">
        <f t="shared" si="0"/>
        <v>49</v>
      </c>
      <c r="B50" s="8">
        <f t="shared" si="1"/>
        <v>1</v>
      </c>
      <c r="C50" s="8">
        <f t="shared" si="2"/>
        <v>279.16323852538972</v>
      </c>
      <c r="D50" s="8">
        <v>49</v>
      </c>
      <c r="E50" s="8">
        <v>95.193801879882798</v>
      </c>
      <c r="F50" s="8">
        <v>14.3477220535278</v>
      </c>
      <c r="G50" s="8"/>
      <c r="H50" s="8">
        <v>49</v>
      </c>
      <c r="I50" s="8">
        <v>104.363136291503</v>
      </c>
      <c r="J50" s="8">
        <v>14.4334201812744</v>
      </c>
      <c r="K50" s="8"/>
      <c r="L50" s="8">
        <v>49</v>
      </c>
      <c r="M50" s="8">
        <v>79.606300354003906</v>
      </c>
      <c r="N50" s="8">
        <v>14.3654317855834</v>
      </c>
      <c r="P50" s="8">
        <f t="shared" si="3"/>
        <v>15.91926050186151</v>
      </c>
      <c r="Q50">
        <v>49</v>
      </c>
      <c r="R50">
        <v>2.8954768180847101</v>
      </c>
      <c r="S50">
        <v>23.837059020996001</v>
      </c>
      <c r="U50">
        <v>49</v>
      </c>
      <c r="V50">
        <v>10.0568122863769</v>
      </c>
      <c r="W50">
        <v>24.004146575927699</v>
      </c>
      <c r="Y50">
        <v>49</v>
      </c>
      <c r="Z50">
        <v>2.9669713973999001</v>
      </c>
      <c r="AA50">
        <v>24.2138347625732</v>
      </c>
    </row>
    <row r="51" spans="1:27" x14ac:dyDescent="0.25">
      <c r="A51" s="8">
        <f t="shared" si="0"/>
        <v>50</v>
      </c>
      <c r="B51" s="8">
        <f t="shared" si="1"/>
        <v>1</v>
      </c>
      <c r="C51" s="8">
        <f t="shared" si="2"/>
        <v>63.140523910522305</v>
      </c>
      <c r="D51" s="8">
        <v>50</v>
      </c>
      <c r="E51" s="8">
        <v>21.296176910400298</v>
      </c>
      <c r="F51" s="8">
        <v>24.335363388061499</v>
      </c>
      <c r="G51" s="8"/>
      <c r="H51" s="8">
        <v>50</v>
      </c>
      <c r="I51" s="8">
        <v>24.6957607269287</v>
      </c>
      <c r="J51" s="8">
        <v>24.443191528320298</v>
      </c>
      <c r="K51" s="8"/>
      <c r="L51" s="8">
        <v>50</v>
      </c>
      <c r="M51" s="8">
        <v>17.148586273193299</v>
      </c>
      <c r="N51" s="8">
        <v>24.374151229858398</v>
      </c>
      <c r="P51" s="8">
        <f t="shared" si="3"/>
        <v>961.65196990966604</v>
      </c>
      <c r="Q51">
        <v>50</v>
      </c>
      <c r="R51">
        <v>118.694160461425</v>
      </c>
      <c r="S51">
        <v>41.0377388000488</v>
      </c>
      <c r="U51">
        <v>50</v>
      </c>
      <c r="V51">
        <v>650.34796142578102</v>
      </c>
      <c r="W51">
        <v>41.517696380615199</v>
      </c>
      <c r="Y51">
        <v>50</v>
      </c>
      <c r="Z51">
        <v>192.60984802246</v>
      </c>
      <c r="AA51">
        <v>41.804370880126903</v>
      </c>
    </row>
    <row r="52" spans="1:27" x14ac:dyDescent="0.25">
      <c r="A52" s="8">
        <f t="shared" si="0"/>
        <v>51</v>
      </c>
      <c r="B52" s="8">
        <f t="shared" si="1"/>
        <v>1</v>
      </c>
      <c r="C52" s="8">
        <f t="shared" si="2"/>
        <v>239.96397781372011</v>
      </c>
      <c r="D52" s="8">
        <v>51</v>
      </c>
      <c r="E52" s="8">
        <v>63.819911956787102</v>
      </c>
      <c r="F52" s="8">
        <v>15.9919891357421</v>
      </c>
      <c r="G52" s="8"/>
      <c r="H52" s="8">
        <v>51</v>
      </c>
      <c r="I52" s="8">
        <v>105.39247131347599</v>
      </c>
      <c r="J52" s="8">
        <v>16.049371719360298</v>
      </c>
      <c r="K52" s="8"/>
      <c r="L52" s="8">
        <v>51</v>
      </c>
      <c r="M52" s="8">
        <v>70.751594543457003</v>
      </c>
      <c r="N52" s="8">
        <v>16.028701782226499</v>
      </c>
      <c r="P52" s="8">
        <f t="shared" si="3"/>
        <v>1126.5193023681632</v>
      </c>
      <c r="Q52">
        <v>51</v>
      </c>
      <c r="R52">
        <v>182.89749145507801</v>
      </c>
      <c r="S52">
        <v>42.577171325683501</v>
      </c>
      <c r="U52">
        <v>51</v>
      </c>
      <c r="V52">
        <v>757.85650634765602</v>
      </c>
      <c r="W52">
        <v>42.651256561279297</v>
      </c>
      <c r="Y52">
        <v>51</v>
      </c>
      <c r="Z52">
        <v>185.76530456542901</v>
      </c>
      <c r="AA52">
        <v>42.823036193847599</v>
      </c>
    </row>
    <row r="53" spans="1:27" x14ac:dyDescent="0.25">
      <c r="A53" s="8">
        <f t="shared" si="0"/>
        <v>52</v>
      </c>
      <c r="B53" s="8">
        <f t="shared" si="1"/>
        <v>1</v>
      </c>
      <c r="C53" s="8">
        <f t="shared" si="2"/>
        <v>0</v>
      </c>
      <c r="D53" s="8">
        <v>52</v>
      </c>
      <c r="E53" s="8">
        <v>0</v>
      </c>
      <c r="F53" s="8">
        <v>3.40290307998657</v>
      </c>
      <c r="G53" s="8"/>
      <c r="H53" s="8">
        <v>52</v>
      </c>
      <c r="I53" s="8">
        <v>0</v>
      </c>
      <c r="J53" s="8">
        <v>3.4465441703796298</v>
      </c>
      <c r="K53" s="8"/>
      <c r="L53" s="8">
        <v>52</v>
      </c>
      <c r="M53" s="8">
        <v>0</v>
      </c>
      <c r="N53" s="8">
        <v>3.4002335071563698</v>
      </c>
      <c r="P53" s="8">
        <f t="shared" si="3"/>
        <v>145.7507362365721</v>
      </c>
      <c r="Q53">
        <v>52</v>
      </c>
      <c r="R53">
        <v>23.676082611083899</v>
      </c>
      <c r="S53">
        <v>46.721050262451101</v>
      </c>
      <c r="U53">
        <v>52</v>
      </c>
      <c r="V53">
        <v>97.930168151855398</v>
      </c>
      <c r="W53">
        <v>46.8961791992187</v>
      </c>
      <c r="Y53">
        <v>52</v>
      </c>
      <c r="Z53">
        <v>24.144485473632798</v>
      </c>
      <c r="AA53">
        <v>47.091522216796797</v>
      </c>
    </row>
    <row r="54" spans="1:27" x14ac:dyDescent="0.25">
      <c r="A54" s="8">
        <f t="shared" si="0"/>
        <v>53</v>
      </c>
      <c r="B54" s="8">
        <f t="shared" si="1"/>
        <v>1</v>
      </c>
      <c r="C54" s="8">
        <f t="shared" si="2"/>
        <v>313.9335632324204</v>
      </c>
      <c r="D54" s="8">
        <v>53</v>
      </c>
      <c r="E54" s="8">
        <v>110.335311889648</v>
      </c>
      <c r="F54" s="8">
        <v>22.0009956359863</v>
      </c>
      <c r="G54" s="8"/>
      <c r="H54" s="8">
        <v>53</v>
      </c>
      <c r="I54" s="8">
        <v>110.060905456542</v>
      </c>
      <c r="J54" s="8">
        <v>22.091354370117099</v>
      </c>
      <c r="K54" s="8"/>
      <c r="L54" s="8">
        <v>53</v>
      </c>
      <c r="M54" s="8">
        <v>93.537345886230398</v>
      </c>
      <c r="N54" s="8">
        <v>22.056177139282202</v>
      </c>
      <c r="P54" s="8">
        <f t="shared" si="3"/>
        <v>138.02840423583979</v>
      </c>
      <c r="Q54">
        <v>53</v>
      </c>
      <c r="R54">
        <v>22.454643249511701</v>
      </c>
      <c r="S54">
        <v>49.846721649169901</v>
      </c>
      <c r="U54">
        <v>53</v>
      </c>
      <c r="V54">
        <v>92.840774536132798</v>
      </c>
      <c r="W54">
        <v>49.9134521484375</v>
      </c>
      <c r="Y54">
        <v>53</v>
      </c>
      <c r="Z54">
        <v>22.732986450195298</v>
      </c>
      <c r="AA54">
        <v>50.084136962890597</v>
      </c>
    </row>
    <row r="55" spans="1:27" x14ac:dyDescent="0.25">
      <c r="A55" s="8">
        <f t="shared" si="0"/>
        <v>54</v>
      </c>
      <c r="B55" s="8">
        <f t="shared" si="1"/>
        <v>1</v>
      </c>
      <c r="C55" s="8">
        <f t="shared" si="2"/>
        <v>22.05624485015867</v>
      </c>
      <c r="D55" s="8">
        <v>54</v>
      </c>
      <c r="E55" s="8">
        <v>8.0685348510742099</v>
      </c>
      <c r="F55" s="8">
        <v>29.529027938842699</v>
      </c>
      <c r="G55" s="8"/>
      <c r="H55" s="8">
        <v>54</v>
      </c>
      <c r="I55" s="8">
        <v>7.7754125595092702</v>
      </c>
      <c r="J55" s="8">
        <v>29.639091491699201</v>
      </c>
      <c r="K55" s="8"/>
      <c r="L55" s="8">
        <v>54</v>
      </c>
      <c r="M55" s="8">
        <v>6.21229743957519</v>
      </c>
      <c r="N55" s="8">
        <v>29.601207733154201</v>
      </c>
      <c r="P55" s="8">
        <f t="shared" si="3"/>
        <v>34.523366928100508</v>
      </c>
      <c r="Q55">
        <v>54</v>
      </c>
      <c r="R55">
        <v>4.2988834381103498</v>
      </c>
      <c r="S55">
        <v>40.811866760253899</v>
      </c>
      <c r="U55">
        <v>54</v>
      </c>
      <c r="V55">
        <v>22.749975204467699</v>
      </c>
      <c r="W55">
        <v>41.166999816894503</v>
      </c>
      <c r="Y55">
        <v>54</v>
      </c>
      <c r="Z55">
        <v>7.47450828552246</v>
      </c>
      <c r="AA55">
        <v>41.494140625</v>
      </c>
    </row>
    <row r="56" spans="1:27" x14ac:dyDescent="0.25">
      <c r="A56" s="8">
        <f t="shared" si="0"/>
        <v>55</v>
      </c>
      <c r="B56" s="8">
        <f t="shared" si="1"/>
        <v>1</v>
      </c>
      <c r="C56" s="8">
        <f t="shared" si="2"/>
        <v>96.868049621581889</v>
      </c>
      <c r="D56" s="8">
        <v>55</v>
      </c>
      <c r="E56" s="8">
        <v>30.3088359832763</v>
      </c>
      <c r="F56" s="8">
        <v>28.936201095581001</v>
      </c>
      <c r="G56" s="8"/>
      <c r="H56" s="8">
        <v>55</v>
      </c>
      <c r="I56" s="8">
        <v>37.408042907714801</v>
      </c>
      <c r="J56" s="8">
        <v>29.1579780578613</v>
      </c>
      <c r="K56" s="8"/>
      <c r="L56" s="8">
        <v>55</v>
      </c>
      <c r="M56" s="8">
        <v>29.151170730590799</v>
      </c>
      <c r="N56" s="8">
        <v>29.018913269042901</v>
      </c>
      <c r="P56" s="8">
        <f t="shared" si="3"/>
        <v>1333.606018066404</v>
      </c>
      <c r="Q56">
        <v>55</v>
      </c>
      <c r="R56">
        <v>168.78289794921801</v>
      </c>
      <c r="S56">
        <v>59.851219177246001</v>
      </c>
      <c r="U56">
        <v>55</v>
      </c>
      <c r="V56">
        <v>884.88421630859295</v>
      </c>
      <c r="W56">
        <v>60.498607635497997</v>
      </c>
      <c r="Y56">
        <v>55</v>
      </c>
      <c r="Z56">
        <v>279.93890380859301</v>
      </c>
      <c r="AA56">
        <v>60.820583343505803</v>
      </c>
    </row>
    <row r="57" spans="1:27" x14ac:dyDescent="0.25">
      <c r="A57" s="8">
        <f t="shared" si="0"/>
        <v>56</v>
      </c>
      <c r="B57" s="8">
        <f t="shared" si="1"/>
        <v>1</v>
      </c>
      <c r="C57" s="8">
        <f t="shared" si="2"/>
        <v>355.50489044189305</v>
      </c>
      <c r="D57" s="8">
        <v>56</v>
      </c>
      <c r="E57" s="8">
        <v>111.479110717773</v>
      </c>
      <c r="F57" s="8">
        <v>22.275039672851499</v>
      </c>
      <c r="G57" s="8"/>
      <c r="H57" s="8">
        <v>56</v>
      </c>
      <c r="I57" s="8">
        <v>139.44102478027301</v>
      </c>
      <c r="J57" s="8">
        <v>22.493169784545898</v>
      </c>
      <c r="K57" s="8"/>
      <c r="L57" s="8">
        <v>56</v>
      </c>
      <c r="M57" s="8">
        <v>104.584754943847</v>
      </c>
      <c r="N57" s="8">
        <v>22.353246688842699</v>
      </c>
      <c r="P57" s="8">
        <f t="shared" si="3"/>
        <v>154.17710685729958</v>
      </c>
      <c r="Q57">
        <v>56</v>
      </c>
      <c r="R57">
        <v>19.4157810211181</v>
      </c>
      <c r="S57">
        <v>58.5818481445312</v>
      </c>
      <c r="U57">
        <v>56</v>
      </c>
      <c r="V57">
        <v>102.484893798828</v>
      </c>
      <c r="W57">
        <v>59.1959228515625</v>
      </c>
      <c r="Y57">
        <v>56</v>
      </c>
      <c r="Z57">
        <v>32.276432037353501</v>
      </c>
      <c r="AA57">
        <v>59.529190063476499</v>
      </c>
    </row>
    <row r="58" spans="1:27" x14ac:dyDescent="0.25">
      <c r="A58" s="8">
        <f t="shared" si="0"/>
        <v>57</v>
      </c>
      <c r="B58" s="8">
        <f t="shared" si="1"/>
        <v>1</v>
      </c>
      <c r="C58" s="8">
        <f t="shared" si="2"/>
        <v>120.6431560516356</v>
      </c>
      <c r="D58" s="8">
        <v>57</v>
      </c>
      <c r="E58" s="8">
        <v>49.353305816650298</v>
      </c>
      <c r="F58" s="8">
        <v>21.319105148315401</v>
      </c>
      <c r="G58" s="8"/>
      <c r="H58" s="8">
        <v>57</v>
      </c>
      <c r="I58" s="8">
        <v>40.573970794677699</v>
      </c>
      <c r="J58" s="8">
        <v>21.381298065185501</v>
      </c>
      <c r="K58" s="8"/>
      <c r="L58" s="8">
        <v>57</v>
      </c>
      <c r="M58" s="8">
        <v>30.715879440307599</v>
      </c>
      <c r="N58" s="8">
        <v>21.333314895629801</v>
      </c>
      <c r="P58" s="8">
        <f t="shared" si="3"/>
        <v>1559.1991577148419</v>
      </c>
      <c r="Q58">
        <v>57</v>
      </c>
      <c r="R58">
        <v>264.34228515625</v>
      </c>
      <c r="S58">
        <v>57.859004974365199</v>
      </c>
      <c r="U58">
        <v>57</v>
      </c>
      <c r="V58">
        <v>1017.58624267578</v>
      </c>
      <c r="W58">
        <v>58.195014953613203</v>
      </c>
      <c r="Y58">
        <v>57</v>
      </c>
      <c r="Z58">
        <v>277.27062988281199</v>
      </c>
      <c r="AA58">
        <v>58.422588348388601</v>
      </c>
    </row>
    <row r="59" spans="1:27" x14ac:dyDescent="0.25">
      <c r="A59" s="8">
        <f t="shared" si="0"/>
        <v>58</v>
      </c>
      <c r="B59" s="8">
        <f t="shared" si="1"/>
        <v>1</v>
      </c>
      <c r="C59" s="8">
        <f t="shared" si="2"/>
        <v>51.212328910827502</v>
      </c>
      <c r="D59" s="8">
        <v>58</v>
      </c>
      <c r="E59" s="8">
        <v>22.3101806640625</v>
      </c>
      <c r="F59" s="8">
        <v>16.219516754150298</v>
      </c>
      <c r="G59" s="8"/>
      <c r="H59" s="8">
        <v>58</v>
      </c>
      <c r="I59" s="8">
        <v>16.518144607543899</v>
      </c>
      <c r="J59" s="8">
        <v>16.2496032714843</v>
      </c>
      <c r="K59" s="8"/>
      <c r="L59" s="8">
        <v>58</v>
      </c>
      <c r="M59" s="8">
        <v>12.384003639221101</v>
      </c>
      <c r="N59" s="8">
        <v>16.225440979003899</v>
      </c>
      <c r="P59" s="8">
        <f t="shared" si="3"/>
        <v>238.58084106445247</v>
      </c>
      <c r="Q59">
        <v>58</v>
      </c>
      <c r="R59">
        <v>36.489463806152301</v>
      </c>
      <c r="S59">
        <v>42.1647338867187</v>
      </c>
      <c r="U59">
        <v>58</v>
      </c>
      <c r="V59">
        <v>165.92883300781199</v>
      </c>
      <c r="W59">
        <v>42.569740295410099</v>
      </c>
      <c r="Y59">
        <v>58</v>
      </c>
      <c r="Z59">
        <v>36.162544250488203</v>
      </c>
      <c r="AA59">
        <v>42.863563537597599</v>
      </c>
    </row>
    <row r="60" spans="1:27" x14ac:dyDescent="0.25">
      <c r="A60" s="8">
        <f t="shared" si="0"/>
        <v>59</v>
      </c>
      <c r="B60" s="8">
        <f t="shared" si="1"/>
        <v>1</v>
      </c>
      <c r="C60" s="8">
        <f t="shared" si="2"/>
        <v>88.680051803588697</v>
      </c>
      <c r="D60" s="8">
        <v>59</v>
      </c>
      <c r="E60" s="8">
        <v>23.288129806518501</v>
      </c>
      <c r="F60" s="8">
        <v>21.656333923339801</v>
      </c>
      <c r="G60" s="8"/>
      <c r="H60" s="8">
        <v>59</v>
      </c>
      <c r="I60" s="8">
        <v>39.152133941650298</v>
      </c>
      <c r="J60" s="8">
        <v>21.804597854614201</v>
      </c>
      <c r="K60" s="8"/>
      <c r="L60" s="8">
        <v>59</v>
      </c>
      <c r="M60" s="8">
        <v>26.239788055419901</v>
      </c>
      <c r="N60" s="8">
        <v>21.733980178833001</v>
      </c>
      <c r="P60" s="8">
        <f t="shared" si="3"/>
        <v>367.20085144042957</v>
      </c>
      <c r="Q60">
        <v>59</v>
      </c>
      <c r="R60">
        <v>65.187049865722599</v>
      </c>
      <c r="S60">
        <v>44.708003997802699</v>
      </c>
      <c r="U60">
        <v>59</v>
      </c>
      <c r="V60">
        <v>231.626220703125</v>
      </c>
      <c r="W60">
        <v>44.990730285644503</v>
      </c>
      <c r="Y60">
        <v>59</v>
      </c>
      <c r="Z60">
        <v>70.387580871582003</v>
      </c>
      <c r="AA60">
        <v>45.092357635497997</v>
      </c>
    </row>
    <row r="61" spans="1:27" x14ac:dyDescent="0.25">
      <c r="A61" s="8">
        <f t="shared" si="0"/>
        <v>60</v>
      </c>
      <c r="B61" s="8">
        <f t="shared" si="1"/>
        <v>1</v>
      </c>
      <c r="C61" s="8">
        <f t="shared" si="2"/>
        <v>0.23303870111703778</v>
      </c>
      <c r="D61" s="8">
        <v>60</v>
      </c>
      <c r="E61" s="8">
        <v>0</v>
      </c>
      <c r="F61" s="8">
        <v>14.5450382232666</v>
      </c>
      <c r="G61" s="8"/>
      <c r="H61" s="8">
        <v>60</v>
      </c>
      <c r="I61" s="8">
        <v>0.15611562132835299</v>
      </c>
      <c r="J61" s="8">
        <v>14.644775390625</v>
      </c>
      <c r="K61" s="8"/>
      <c r="L61" s="8">
        <v>60</v>
      </c>
      <c r="M61" s="8">
        <v>7.6923079788684803E-2</v>
      </c>
      <c r="N61" s="8">
        <v>14.614382743835399</v>
      </c>
      <c r="P61" s="8">
        <f t="shared" si="3"/>
        <v>609.45571899413983</v>
      </c>
      <c r="Q61">
        <v>60</v>
      </c>
      <c r="R61">
        <v>77.251174926757798</v>
      </c>
      <c r="S61">
        <v>48.189220428466797</v>
      </c>
      <c r="U61">
        <v>60</v>
      </c>
      <c r="V61">
        <v>409.13189697265602</v>
      </c>
      <c r="W61">
        <v>48.825241088867102</v>
      </c>
      <c r="Y61">
        <v>60</v>
      </c>
      <c r="Z61">
        <v>123.07264709472599</v>
      </c>
      <c r="AA61">
        <v>49.1213989257812</v>
      </c>
    </row>
    <row r="62" spans="1:27" x14ac:dyDescent="0.25">
      <c r="A62" s="8">
        <f t="shared" si="0"/>
        <v>61</v>
      </c>
      <c r="B62" s="8">
        <f t="shared" si="1"/>
        <v>1</v>
      </c>
      <c r="C62" s="8">
        <f t="shared" si="2"/>
        <v>24.128632068634019</v>
      </c>
      <c r="D62" s="8">
        <v>61</v>
      </c>
      <c r="E62" s="8">
        <v>9.8706626892089808</v>
      </c>
      <c r="F62" s="8">
        <v>21.319105148315401</v>
      </c>
      <c r="G62" s="8"/>
      <c r="H62" s="8">
        <v>61</v>
      </c>
      <c r="I62" s="8">
        <v>8.1147937774658203</v>
      </c>
      <c r="J62" s="8">
        <v>21.381298065185501</v>
      </c>
      <c r="K62" s="8"/>
      <c r="L62" s="8">
        <v>61</v>
      </c>
      <c r="M62" s="8">
        <v>6.1431756019592196</v>
      </c>
      <c r="N62" s="8">
        <v>21.333314895629801</v>
      </c>
      <c r="P62" s="8">
        <f t="shared" si="3"/>
        <v>551.19349670410065</v>
      </c>
      <c r="Q62">
        <v>61</v>
      </c>
      <c r="R62">
        <v>92.660301208496094</v>
      </c>
      <c r="S62">
        <v>39.453136444091797</v>
      </c>
      <c r="U62">
        <v>61</v>
      </c>
      <c r="V62">
        <v>361.75143432617102</v>
      </c>
      <c r="W62">
        <v>39.5529174804687</v>
      </c>
      <c r="Y62">
        <v>61</v>
      </c>
      <c r="Z62">
        <v>96.781761169433594</v>
      </c>
      <c r="AA62">
        <v>39.589557647705</v>
      </c>
    </row>
    <row r="63" spans="1:27" x14ac:dyDescent="0.25">
      <c r="A63" s="8">
        <f t="shared" si="0"/>
        <v>62</v>
      </c>
      <c r="B63" s="8">
        <f t="shared" si="1"/>
        <v>1</v>
      </c>
      <c r="C63" s="8">
        <f t="shared" si="2"/>
        <v>20.484930992126451</v>
      </c>
      <c r="D63" s="8">
        <v>62</v>
      </c>
      <c r="E63" s="8">
        <v>8.92407131195068</v>
      </c>
      <c r="F63" s="8">
        <v>16.219516754150298</v>
      </c>
      <c r="G63" s="8"/>
      <c r="H63" s="8">
        <v>62</v>
      </c>
      <c r="I63" s="8">
        <v>6.6072583198547301</v>
      </c>
      <c r="J63" s="8">
        <v>16.2496032714843</v>
      </c>
      <c r="K63" s="8"/>
      <c r="L63" s="8">
        <v>62</v>
      </c>
      <c r="M63" s="8">
        <v>4.9536013603210396</v>
      </c>
      <c r="N63" s="8">
        <v>16.225440979003899</v>
      </c>
      <c r="P63" s="8">
        <f t="shared" si="3"/>
        <v>504.4221572875968</v>
      </c>
      <c r="Q63">
        <v>62</v>
      </c>
      <c r="R63">
        <v>85.850570678710895</v>
      </c>
      <c r="S63">
        <v>47.594696044921797</v>
      </c>
      <c r="U63">
        <v>62</v>
      </c>
      <c r="V63">
        <v>328.79437255859301</v>
      </c>
      <c r="W63">
        <v>47.746139526367102</v>
      </c>
      <c r="Y63">
        <v>62</v>
      </c>
      <c r="Z63">
        <v>89.777214050292898</v>
      </c>
      <c r="AA63">
        <v>47.774215698242102</v>
      </c>
    </row>
    <row r="64" spans="1:27" x14ac:dyDescent="0.25">
      <c r="A64" s="8">
        <f t="shared" si="0"/>
        <v>63</v>
      </c>
      <c r="B64" s="8">
        <f t="shared" si="1"/>
        <v>1</v>
      </c>
      <c r="C64" s="8">
        <f t="shared" si="2"/>
        <v>322.88397979736169</v>
      </c>
      <c r="D64" s="8">
        <v>63</v>
      </c>
      <c r="E64" s="8">
        <v>122.60812377929599</v>
      </c>
      <c r="F64" s="8">
        <v>30.031536102294901</v>
      </c>
      <c r="G64" s="8"/>
      <c r="H64" s="8">
        <v>63</v>
      </c>
      <c r="I64" s="8">
        <v>122.56095886230401</v>
      </c>
      <c r="J64" s="8">
        <v>30.223209381103501</v>
      </c>
      <c r="K64" s="8"/>
      <c r="L64" s="8">
        <v>63</v>
      </c>
      <c r="M64" s="8">
        <v>77.714897155761705</v>
      </c>
      <c r="N64" s="8">
        <v>30.094367980956999</v>
      </c>
      <c r="P64" s="8">
        <f t="shared" si="3"/>
        <v>301.51689147949151</v>
      </c>
      <c r="Q64">
        <v>63</v>
      </c>
      <c r="R64">
        <v>38.005588531494098</v>
      </c>
      <c r="S64">
        <v>40.047657012939403</v>
      </c>
      <c r="U64">
        <v>63</v>
      </c>
      <c r="V64">
        <v>202.78700256347599</v>
      </c>
      <c r="W64">
        <v>40.632015228271399</v>
      </c>
      <c r="Y64">
        <v>63</v>
      </c>
      <c r="Z64">
        <v>60.724300384521399</v>
      </c>
      <c r="AA64">
        <v>40.936740875244098</v>
      </c>
    </row>
    <row r="65" spans="1:27" x14ac:dyDescent="0.25">
      <c r="A65" s="8">
        <f t="shared" si="0"/>
        <v>64</v>
      </c>
      <c r="B65" s="8">
        <f t="shared" si="1"/>
        <v>1</v>
      </c>
      <c r="C65" s="8">
        <f t="shared" si="2"/>
        <v>185.31090927124009</v>
      </c>
      <c r="D65" s="8">
        <v>64</v>
      </c>
      <c r="E65" s="8">
        <v>71.893005371093693</v>
      </c>
      <c r="F65" s="8">
        <v>22.052867889404201</v>
      </c>
      <c r="G65" s="8"/>
      <c r="H65" s="8">
        <v>64</v>
      </c>
      <c r="I65" s="8">
        <v>67.379707336425696</v>
      </c>
      <c r="J65" s="8">
        <v>22.216316223144499</v>
      </c>
      <c r="K65" s="8"/>
      <c r="L65" s="8">
        <v>64</v>
      </c>
      <c r="M65" s="8">
        <v>46.038196563720703</v>
      </c>
      <c r="N65" s="8">
        <v>22.1102905273437</v>
      </c>
      <c r="P65" s="8">
        <f t="shared" si="3"/>
        <v>171.90643310546861</v>
      </c>
      <c r="Q65">
        <v>64</v>
      </c>
      <c r="R65">
        <v>32.613967895507798</v>
      </c>
      <c r="S65">
        <v>55.8895263671875</v>
      </c>
      <c r="U65">
        <v>64</v>
      </c>
      <c r="V65">
        <v>109.60987854003901</v>
      </c>
      <c r="W65">
        <v>55.909843444824197</v>
      </c>
      <c r="Y65">
        <v>64</v>
      </c>
      <c r="Z65">
        <v>29.6825866699218</v>
      </c>
      <c r="AA65">
        <v>56.112598419189403</v>
      </c>
    </row>
    <row r="66" spans="1:27" x14ac:dyDescent="0.25">
      <c r="A66" s="8">
        <f t="shared" si="0"/>
        <v>65</v>
      </c>
      <c r="B66" s="8">
        <f t="shared" si="1"/>
        <v>1</v>
      </c>
      <c r="C66" s="8">
        <f t="shared" si="2"/>
        <v>55.036229133605801</v>
      </c>
      <c r="D66" s="8">
        <v>65</v>
      </c>
      <c r="E66" s="8">
        <v>15.3414297103881</v>
      </c>
      <c r="F66" s="8">
        <v>30.889980316162099</v>
      </c>
      <c r="G66" s="8"/>
      <c r="H66" s="8">
        <v>65</v>
      </c>
      <c r="I66" s="8">
        <v>20.918064117431602</v>
      </c>
      <c r="J66" s="8">
        <v>31.0582561492919</v>
      </c>
      <c r="K66" s="8"/>
      <c r="L66" s="8">
        <v>65</v>
      </c>
      <c r="M66" s="8">
        <v>18.776735305786101</v>
      </c>
      <c r="N66" s="8">
        <v>30.893962860107401</v>
      </c>
      <c r="P66" s="8">
        <f t="shared" si="3"/>
        <v>61.304274559020861</v>
      </c>
      <c r="Q66">
        <v>65</v>
      </c>
      <c r="R66">
        <v>8.6012229919433594</v>
      </c>
      <c r="S66">
        <v>39.106208801269503</v>
      </c>
      <c r="U66">
        <v>65</v>
      </c>
      <c r="V66">
        <v>39.267459869384702</v>
      </c>
      <c r="W66">
        <v>39.671905517578097</v>
      </c>
      <c r="Y66">
        <v>65</v>
      </c>
      <c r="Z66">
        <v>13.4355916976928</v>
      </c>
      <c r="AA66">
        <v>40.5356636047363</v>
      </c>
    </row>
    <row r="67" spans="1:27" x14ac:dyDescent="0.25">
      <c r="A67" s="8">
        <f t="shared" ref="A67:A130" si="4">IF(D67="","",D67)</f>
        <v>66</v>
      </c>
      <c r="B67" s="8">
        <f t="shared" ref="B67:B130" si="5">IF(OR(D67&lt;&gt;H67,H67&lt;&gt;L67,D67&lt;&gt;L67),0,1)</f>
        <v>1</v>
      </c>
      <c r="C67" s="8">
        <f t="shared" ref="C67:C130" si="6">SUM(E67,I67,M67)</f>
        <v>176.0864906311034</v>
      </c>
      <c r="D67" s="8">
        <v>66</v>
      </c>
      <c r="E67" s="8">
        <v>49.028450012207003</v>
      </c>
      <c r="F67" s="8">
        <v>23.631313323974599</v>
      </c>
      <c r="G67" s="8"/>
      <c r="H67" s="8">
        <v>66</v>
      </c>
      <c r="I67" s="8">
        <v>66.359519958496094</v>
      </c>
      <c r="J67" s="8">
        <v>23.795953750610298</v>
      </c>
      <c r="K67" s="8"/>
      <c r="L67" s="8">
        <v>66</v>
      </c>
      <c r="M67" s="8">
        <v>60.698520660400298</v>
      </c>
      <c r="N67" s="8">
        <v>23.630802154541001</v>
      </c>
      <c r="P67" s="8">
        <f t="shared" ref="P67:P130" si="7">R67+V67+Z67</f>
        <v>234.04221725463842</v>
      </c>
      <c r="Q67">
        <v>66</v>
      </c>
      <c r="R67">
        <v>43.963417053222599</v>
      </c>
      <c r="S67">
        <v>42.169033050537102</v>
      </c>
      <c r="U67">
        <v>66</v>
      </c>
      <c r="V67">
        <v>149.92825317382801</v>
      </c>
      <c r="W67">
        <v>42.186119079589801</v>
      </c>
      <c r="Y67">
        <v>66</v>
      </c>
      <c r="Z67">
        <v>40.150547027587798</v>
      </c>
      <c r="AA67">
        <v>42.410881042480398</v>
      </c>
    </row>
    <row r="68" spans="1:27" x14ac:dyDescent="0.25">
      <c r="A68" s="8">
        <f t="shared" si="4"/>
        <v>67</v>
      </c>
      <c r="B68" s="8">
        <f t="shared" si="5"/>
        <v>1</v>
      </c>
      <c r="C68" s="8">
        <f t="shared" si="6"/>
        <v>6.6362719535827495</v>
      </c>
      <c r="D68" s="8">
        <v>67</v>
      </c>
      <c r="E68" s="8">
        <v>1.7066957950592001</v>
      </c>
      <c r="F68" s="8">
        <v>10.0237779617309</v>
      </c>
      <c r="G68" s="8"/>
      <c r="H68" s="8">
        <v>67</v>
      </c>
      <c r="I68" s="8">
        <v>2.3976879119872998</v>
      </c>
      <c r="J68" s="8">
        <v>10.1355276107788</v>
      </c>
      <c r="K68" s="8"/>
      <c r="L68" s="8">
        <v>67</v>
      </c>
      <c r="M68" s="8">
        <v>2.53188824653625</v>
      </c>
      <c r="N68" s="8">
        <v>10.062426567077599</v>
      </c>
      <c r="P68" s="8">
        <f t="shared" si="7"/>
        <v>196.05826187133712</v>
      </c>
      <c r="Q68">
        <v>67</v>
      </c>
      <c r="R68">
        <v>28.730930328369102</v>
      </c>
      <c r="S68">
        <v>58.277065277099602</v>
      </c>
      <c r="U68">
        <v>67</v>
      </c>
      <c r="V68">
        <v>124.78385925292901</v>
      </c>
      <c r="W68">
        <v>58.944931030273402</v>
      </c>
      <c r="Y68">
        <v>67</v>
      </c>
      <c r="Z68">
        <v>42.543472290038999</v>
      </c>
      <c r="AA68">
        <v>59.821670532226499</v>
      </c>
    </row>
    <row r="69" spans="1:27" x14ac:dyDescent="0.25">
      <c r="A69" s="8">
        <f t="shared" si="4"/>
        <v>68</v>
      </c>
      <c r="B69" s="8">
        <f t="shared" si="5"/>
        <v>1</v>
      </c>
      <c r="C69" s="8">
        <f t="shared" si="6"/>
        <v>92.812667846679489</v>
      </c>
      <c r="D69" s="8">
        <v>68</v>
      </c>
      <c r="E69" s="8">
        <v>31.763729095458899</v>
      </c>
      <c r="F69" s="8">
        <v>9.4316825866699201</v>
      </c>
      <c r="G69" s="8"/>
      <c r="H69" s="8">
        <v>68</v>
      </c>
      <c r="I69" s="8">
        <v>32.6129760742187</v>
      </c>
      <c r="J69" s="8">
        <v>9.4541501998901296</v>
      </c>
      <c r="K69" s="8"/>
      <c r="L69" s="8">
        <v>68</v>
      </c>
      <c r="M69" s="8">
        <v>28.4359626770019</v>
      </c>
      <c r="N69" s="8">
        <v>9.4397716522216797</v>
      </c>
      <c r="P69" s="8">
        <f t="shared" si="7"/>
        <v>260.22368240356411</v>
      </c>
      <c r="Q69">
        <v>68</v>
      </c>
      <c r="R69">
        <v>38.624584197997997</v>
      </c>
      <c r="S69">
        <v>58.230300903320298</v>
      </c>
      <c r="U69">
        <v>68</v>
      </c>
      <c r="V69">
        <v>171.18048095703099</v>
      </c>
      <c r="W69">
        <v>58.985500335693303</v>
      </c>
      <c r="Y69">
        <v>68</v>
      </c>
      <c r="Z69">
        <v>50.418617248535099</v>
      </c>
      <c r="AA69">
        <v>59.756477355957003</v>
      </c>
    </row>
    <row r="70" spans="1:27" x14ac:dyDescent="0.25">
      <c r="A70" s="8">
        <f t="shared" si="4"/>
        <v>69</v>
      </c>
      <c r="B70" s="8">
        <f t="shared" si="5"/>
        <v>1</v>
      </c>
      <c r="C70" s="8">
        <f t="shared" si="6"/>
        <v>39.817632675170699</v>
      </c>
      <c r="D70" s="8">
        <v>69</v>
      </c>
      <c r="E70" s="8">
        <v>10.240175247192299</v>
      </c>
      <c r="F70" s="8">
        <v>9.8742103576660103</v>
      </c>
      <c r="G70" s="8"/>
      <c r="H70" s="8">
        <v>69</v>
      </c>
      <c r="I70" s="8">
        <v>14.386125564575099</v>
      </c>
      <c r="J70" s="8">
        <v>9.9859600067138601</v>
      </c>
      <c r="K70" s="8"/>
      <c r="L70" s="8">
        <v>69</v>
      </c>
      <c r="M70" s="8">
        <v>15.191331863403301</v>
      </c>
      <c r="N70" s="8">
        <v>9.91285896301269</v>
      </c>
      <c r="P70" s="8">
        <f t="shared" si="7"/>
        <v>514.60866546630814</v>
      </c>
      <c r="Q70">
        <v>69</v>
      </c>
      <c r="R70">
        <v>95.557266235351506</v>
      </c>
      <c r="S70">
        <v>60.409843444824197</v>
      </c>
      <c r="U70">
        <v>69</v>
      </c>
      <c r="V70">
        <v>333.39633178710898</v>
      </c>
      <c r="W70">
        <v>60.779151916503899</v>
      </c>
      <c r="Y70">
        <v>69</v>
      </c>
      <c r="Z70">
        <v>85.655067443847599</v>
      </c>
      <c r="AA70">
        <v>60.945354461669901</v>
      </c>
    </row>
    <row r="71" spans="1:27" x14ac:dyDescent="0.25">
      <c r="A71" s="8">
        <f t="shared" si="4"/>
        <v>70</v>
      </c>
      <c r="B71" s="8">
        <f t="shared" si="5"/>
        <v>1</v>
      </c>
      <c r="C71" s="8">
        <f t="shared" si="6"/>
        <v>1.2490644156932811</v>
      </c>
      <c r="D71" s="8">
        <v>70</v>
      </c>
      <c r="E71" s="8">
        <v>0.37036576867103499</v>
      </c>
      <c r="F71" s="8">
        <v>7.5301079750061</v>
      </c>
      <c r="G71" s="8"/>
      <c r="H71" s="8">
        <v>70</v>
      </c>
      <c r="I71" s="8">
        <v>0.70555615425109797</v>
      </c>
      <c r="J71" s="8">
        <v>7.5583305358886701</v>
      </c>
      <c r="K71" s="8"/>
      <c r="L71" s="8">
        <v>70</v>
      </c>
      <c r="M71" s="8">
        <v>0.17314249277114799</v>
      </c>
      <c r="N71" s="8">
        <v>7.5355186462402299</v>
      </c>
      <c r="P71" s="8">
        <f t="shared" si="7"/>
        <v>336.17658233642538</v>
      </c>
      <c r="Q71">
        <v>70</v>
      </c>
      <c r="R71">
        <v>54.027542114257798</v>
      </c>
      <c r="S71">
        <v>46.552108764648402</v>
      </c>
      <c r="U71">
        <v>70</v>
      </c>
      <c r="V71">
        <v>217.973220825195</v>
      </c>
      <c r="W71">
        <v>45.477626800537102</v>
      </c>
      <c r="Y71">
        <v>70</v>
      </c>
      <c r="Z71">
        <v>64.175819396972599</v>
      </c>
      <c r="AA71">
        <v>45.8772773742675</v>
      </c>
    </row>
    <row r="72" spans="1:27" x14ac:dyDescent="0.25">
      <c r="A72" s="8">
        <f t="shared" si="4"/>
        <v>71</v>
      </c>
      <c r="B72" s="8">
        <f t="shared" si="5"/>
        <v>1</v>
      </c>
      <c r="C72" s="8">
        <f t="shared" si="6"/>
        <v>23.12714862823486</v>
      </c>
      <c r="D72" s="8">
        <v>71</v>
      </c>
      <c r="E72" s="8">
        <v>7.0658092498779297</v>
      </c>
      <c r="F72" s="8">
        <v>32.6028633117675</v>
      </c>
      <c r="G72" s="8"/>
      <c r="H72" s="8">
        <v>71</v>
      </c>
      <c r="I72" s="8">
        <v>8.7165412902831996</v>
      </c>
      <c r="J72" s="8">
        <v>33.041366577148402</v>
      </c>
      <c r="K72" s="8"/>
      <c r="L72" s="8">
        <v>71</v>
      </c>
      <c r="M72" s="8">
        <v>7.3447980880737296</v>
      </c>
      <c r="N72" s="8">
        <v>32.739688873291001</v>
      </c>
      <c r="P72" s="8">
        <f t="shared" si="7"/>
        <v>179.00296592712309</v>
      </c>
      <c r="Q72">
        <v>71</v>
      </c>
      <c r="R72">
        <v>30.5816555023193</v>
      </c>
      <c r="S72">
        <v>40.919609069824197</v>
      </c>
      <c r="U72">
        <v>71</v>
      </c>
      <c r="V72">
        <v>114.652297973632</v>
      </c>
      <c r="W72">
        <v>40.821765899658203</v>
      </c>
      <c r="Y72">
        <v>71</v>
      </c>
      <c r="Z72">
        <v>33.769012451171797</v>
      </c>
      <c r="AA72">
        <v>41.4303169250488</v>
      </c>
    </row>
    <row r="73" spans="1:27" x14ac:dyDescent="0.25">
      <c r="A73" s="8">
        <f t="shared" si="4"/>
        <v>72</v>
      </c>
      <c r="B73" s="8">
        <f t="shared" si="5"/>
        <v>1</v>
      </c>
      <c r="C73" s="8">
        <f t="shared" si="6"/>
        <v>218.71411132812491</v>
      </c>
      <c r="D73" s="8">
        <v>72</v>
      </c>
      <c r="E73" s="8">
        <v>66.161026000976506</v>
      </c>
      <c r="F73" s="8">
        <v>32.154300689697202</v>
      </c>
      <c r="G73" s="8"/>
      <c r="H73" s="8">
        <v>72</v>
      </c>
      <c r="I73" s="8">
        <v>81.547370910644503</v>
      </c>
      <c r="J73" s="8">
        <v>32.592803955078097</v>
      </c>
      <c r="K73" s="8"/>
      <c r="L73" s="8">
        <v>72</v>
      </c>
      <c r="M73" s="8">
        <v>71.005714416503906</v>
      </c>
      <c r="N73" s="8">
        <v>32.291126251220703</v>
      </c>
      <c r="P73" s="8">
        <f t="shared" si="7"/>
        <v>504.85378265380763</v>
      </c>
      <c r="Q73">
        <v>72</v>
      </c>
      <c r="R73">
        <v>84.348693847656193</v>
      </c>
      <c r="S73">
        <v>41.118473052978501</v>
      </c>
      <c r="U73">
        <v>72</v>
      </c>
      <c r="V73">
        <v>331.52609252929602</v>
      </c>
      <c r="W73">
        <v>40.866943359375</v>
      </c>
      <c r="Y73">
        <v>72</v>
      </c>
      <c r="Z73">
        <v>88.978996276855398</v>
      </c>
      <c r="AA73">
        <v>40.834415435791001</v>
      </c>
    </row>
    <row r="74" spans="1:27" x14ac:dyDescent="0.25">
      <c r="A74" s="8">
        <f t="shared" si="4"/>
        <v>73</v>
      </c>
      <c r="B74" s="8">
        <f t="shared" si="5"/>
        <v>1</v>
      </c>
      <c r="C74" s="8">
        <f t="shared" si="6"/>
        <v>140.98360061645499</v>
      </c>
      <c r="D74" s="8">
        <v>73</v>
      </c>
      <c r="E74" s="8">
        <v>50.591484069824197</v>
      </c>
      <c r="F74" s="8">
        <v>30.022098541259702</v>
      </c>
      <c r="G74" s="8"/>
      <c r="H74" s="8">
        <v>73</v>
      </c>
      <c r="I74" s="8">
        <v>47.693981170654297</v>
      </c>
      <c r="J74" s="8">
        <v>30.302024841308501</v>
      </c>
      <c r="K74" s="8"/>
      <c r="L74" s="8">
        <v>73</v>
      </c>
      <c r="M74" s="8">
        <v>42.698135375976499</v>
      </c>
      <c r="N74" s="8">
        <v>30.100244522094702</v>
      </c>
      <c r="P74" s="8">
        <f t="shared" si="7"/>
        <v>530.4752426147453</v>
      </c>
      <c r="Q74">
        <v>73</v>
      </c>
      <c r="R74">
        <v>73.327484130859304</v>
      </c>
      <c r="S74">
        <v>41.358730316162102</v>
      </c>
      <c r="U74">
        <v>73</v>
      </c>
      <c r="V74">
        <v>350.19711303710898</v>
      </c>
      <c r="W74">
        <v>41.58984375</v>
      </c>
      <c r="Y74">
        <v>73</v>
      </c>
      <c r="Z74">
        <v>106.950645446777</v>
      </c>
      <c r="AA74">
        <v>41.967926025390597</v>
      </c>
    </row>
    <row r="75" spans="1:27" x14ac:dyDescent="0.25">
      <c r="A75" s="8">
        <f t="shared" si="4"/>
        <v>74</v>
      </c>
      <c r="B75" s="8">
        <f t="shared" si="5"/>
        <v>1</v>
      </c>
      <c r="C75" s="8">
        <f t="shared" si="6"/>
        <v>27.00042629241943</v>
      </c>
      <c r="D75" s="8">
        <v>74</v>
      </c>
      <c r="E75" s="8">
        <v>8.7738037109375</v>
      </c>
      <c r="F75" s="8">
        <v>22.763431549072202</v>
      </c>
      <c r="G75" s="8"/>
      <c r="H75" s="8">
        <v>74</v>
      </c>
      <c r="I75" s="8">
        <v>9.3448619842529297</v>
      </c>
      <c r="J75" s="8">
        <v>23.039726257324201</v>
      </c>
      <c r="K75" s="8"/>
      <c r="L75" s="8">
        <v>74</v>
      </c>
      <c r="M75" s="8">
        <v>8.8817605972290004</v>
      </c>
      <c r="N75" s="8">
        <v>22.8370857238769</v>
      </c>
      <c r="P75" s="8">
        <f t="shared" si="7"/>
        <v>40.242261886596573</v>
      </c>
      <c r="Q75">
        <v>74</v>
      </c>
      <c r="R75">
        <v>5.8818340301513601</v>
      </c>
      <c r="S75">
        <v>40.073635101318303</v>
      </c>
      <c r="U75">
        <v>74</v>
      </c>
      <c r="V75">
        <v>28.405906677246001</v>
      </c>
      <c r="W75">
        <v>40.317764282226499</v>
      </c>
      <c r="Y75">
        <v>74</v>
      </c>
      <c r="Z75">
        <v>5.9545211791992099</v>
      </c>
      <c r="AA75">
        <v>40.546390533447202</v>
      </c>
    </row>
    <row r="76" spans="1:27" x14ac:dyDescent="0.25">
      <c r="A76" s="8">
        <f t="shared" si="4"/>
        <v>75</v>
      </c>
      <c r="B76" s="8">
        <f t="shared" si="5"/>
        <v>1</v>
      </c>
      <c r="C76" s="8">
        <f t="shared" si="6"/>
        <v>21.162202358245832</v>
      </c>
      <c r="D76" s="8">
        <v>75</v>
      </c>
      <c r="E76" s="8">
        <v>5.5198378562927202</v>
      </c>
      <c r="F76" s="8">
        <v>17.132875442504801</v>
      </c>
      <c r="G76" s="8"/>
      <c r="H76" s="8">
        <v>75</v>
      </c>
      <c r="I76" s="8">
        <v>7.69197225570678</v>
      </c>
      <c r="J76" s="8">
        <v>17.2482585906982</v>
      </c>
      <c r="K76" s="8"/>
      <c r="L76" s="8">
        <v>75</v>
      </c>
      <c r="M76" s="8">
        <v>7.9503922462463299</v>
      </c>
      <c r="N76" s="8">
        <v>17.176017761230401</v>
      </c>
      <c r="P76" s="8">
        <f t="shared" si="7"/>
        <v>55.878439903259206</v>
      </c>
      <c r="Q76">
        <v>75</v>
      </c>
      <c r="R76">
        <v>9.3516912460327095</v>
      </c>
      <c r="S76">
        <v>50.071025848388601</v>
      </c>
      <c r="U76">
        <v>75</v>
      </c>
      <c r="V76">
        <v>36.008884429931598</v>
      </c>
      <c r="W76">
        <v>49.9447021484375</v>
      </c>
      <c r="Y76">
        <v>75</v>
      </c>
      <c r="Z76">
        <v>10.517864227294901</v>
      </c>
      <c r="AA76">
        <v>49.924610137939403</v>
      </c>
    </row>
    <row r="77" spans="1:27" x14ac:dyDescent="0.25">
      <c r="A77" s="8">
        <f t="shared" si="4"/>
        <v>76</v>
      </c>
      <c r="B77" s="8">
        <f t="shared" si="5"/>
        <v>1</v>
      </c>
      <c r="C77" s="8">
        <f t="shared" si="6"/>
        <v>258.0462341308592</v>
      </c>
      <c r="D77" s="8">
        <v>76</v>
      </c>
      <c r="E77" s="8">
        <v>84.443252563476506</v>
      </c>
      <c r="F77" s="8">
        <v>35.226428985595703</v>
      </c>
      <c r="G77" s="8"/>
      <c r="H77" s="8">
        <v>76</v>
      </c>
      <c r="I77" s="8">
        <v>99.509536743164006</v>
      </c>
      <c r="J77" s="8">
        <v>35.833156585693303</v>
      </c>
      <c r="K77" s="8"/>
      <c r="L77" s="8">
        <v>76</v>
      </c>
      <c r="M77" s="8">
        <v>74.093444824218693</v>
      </c>
      <c r="N77" s="8">
        <v>35.617828369140597</v>
      </c>
      <c r="P77" s="8">
        <f t="shared" si="7"/>
        <v>55.878439903259206</v>
      </c>
      <c r="Q77">
        <v>76</v>
      </c>
      <c r="R77">
        <v>9.3516912460327095</v>
      </c>
      <c r="S77">
        <v>39.473331451416001</v>
      </c>
      <c r="U77">
        <v>76</v>
      </c>
      <c r="V77">
        <v>36.008884429931598</v>
      </c>
      <c r="W77">
        <v>39.353683471679602</v>
      </c>
      <c r="Y77">
        <v>76</v>
      </c>
      <c r="Z77">
        <v>10.517864227294901</v>
      </c>
      <c r="AA77">
        <v>39.338100433349602</v>
      </c>
    </row>
    <row r="78" spans="1:27" x14ac:dyDescent="0.25">
      <c r="A78" s="8">
        <f t="shared" si="4"/>
        <v>77</v>
      </c>
      <c r="B78" s="8">
        <f t="shared" si="5"/>
        <v>1</v>
      </c>
      <c r="C78" s="8">
        <f t="shared" si="6"/>
        <v>524.711486816405</v>
      </c>
      <c r="D78" s="8">
        <v>77</v>
      </c>
      <c r="E78" s="8">
        <v>187.10304260253901</v>
      </c>
      <c r="F78" s="8">
        <v>43.427150726318303</v>
      </c>
      <c r="G78" s="8"/>
      <c r="H78" s="8">
        <v>77</v>
      </c>
      <c r="I78" s="8">
        <v>200.56268310546801</v>
      </c>
      <c r="J78" s="8">
        <v>43.977729797363203</v>
      </c>
      <c r="K78" s="8"/>
      <c r="L78" s="8">
        <v>77</v>
      </c>
      <c r="M78" s="8">
        <v>137.04576110839801</v>
      </c>
      <c r="N78" s="8">
        <v>43.566020965576101</v>
      </c>
      <c r="P78" s="8">
        <f t="shared" si="7"/>
        <v>112.19055366516091</v>
      </c>
      <c r="Q78">
        <v>77</v>
      </c>
      <c r="R78">
        <v>15.2642803192138</v>
      </c>
      <c r="S78">
        <v>59.453285217285099</v>
      </c>
      <c r="U78">
        <v>77</v>
      </c>
      <c r="V78">
        <v>78.946823120117102</v>
      </c>
      <c r="W78">
        <v>59.690521240234297</v>
      </c>
      <c r="Y78">
        <v>77</v>
      </c>
      <c r="Z78">
        <v>17.97945022583</v>
      </c>
      <c r="AA78">
        <v>59.918556213378899</v>
      </c>
    </row>
    <row r="79" spans="1:27" x14ac:dyDescent="0.25">
      <c r="A79" s="8">
        <f t="shared" si="4"/>
        <v>78</v>
      </c>
      <c r="B79" s="8">
        <f t="shared" si="5"/>
        <v>1</v>
      </c>
      <c r="C79" s="8">
        <f t="shared" si="6"/>
        <v>334.96613311767499</v>
      </c>
      <c r="D79" s="8">
        <v>78</v>
      </c>
      <c r="E79" s="8">
        <v>124.36450958251901</v>
      </c>
      <c r="F79" s="8">
        <v>44.215042114257798</v>
      </c>
      <c r="G79" s="8"/>
      <c r="H79" s="8">
        <v>78</v>
      </c>
      <c r="I79" s="8">
        <v>123.00250244140599</v>
      </c>
      <c r="J79" s="8">
        <v>44.834701538085902</v>
      </c>
      <c r="K79" s="8"/>
      <c r="L79" s="8">
        <v>78</v>
      </c>
      <c r="M79" s="8">
        <v>87.59912109375</v>
      </c>
      <c r="N79" s="8">
        <v>44.375221252441399</v>
      </c>
      <c r="P79" s="8">
        <f t="shared" si="7"/>
        <v>67.688538551330495</v>
      </c>
      <c r="Q79">
        <v>78</v>
      </c>
      <c r="R79">
        <v>11.3676033020019</v>
      </c>
      <c r="S79">
        <v>52.254184722900298</v>
      </c>
      <c r="U79">
        <v>78</v>
      </c>
      <c r="V79">
        <v>43.779407501220703</v>
      </c>
      <c r="W79">
        <v>52.10591506958</v>
      </c>
      <c r="Y79">
        <v>78</v>
      </c>
      <c r="Z79">
        <v>12.541527748107899</v>
      </c>
      <c r="AA79">
        <v>52.091838836669901</v>
      </c>
    </row>
    <row r="80" spans="1:27" x14ac:dyDescent="0.25">
      <c r="A80" s="8">
        <f t="shared" si="4"/>
        <v>79</v>
      </c>
      <c r="B80" s="8">
        <f t="shared" si="5"/>
        <v>1</v>
      </c>
      <c r="C80" s="8">
        <f t="shared" si="6"/>
        <v>130.6750488281248</v>
      </c>
      <c r="D80" s="8">
        <v>79</v>
      </c>
      <c r="E80" s="8">
        <v>42.417938232421797</v>
      </c>
      <c r="F80" s="8">
        <v>42.6442260742187</v>
      </c>
      <c r="G80" s="8"/>
      <c r="H80" s="8">
        <v>79</v>
      </c>
      <c r="I80" s="8">
        <v>50.674896240234297</v>
      </c>
      <c r="J80" s="8">
        <v>43.270801544189403</v>
      </c>
      <c r="K80" s="8"/>
      <c r="L80" s="8">
        <v>79</v>
      </c>
      <c r="M80" s="8">
        <v>37.5822143554687</v>
      </c>
      <c r="N80" s="8">
        <v>43.053897857666001</v>
      </c>
      <c r="P80" s="8">
        <f t="shared" si="7"/>
        <v>67.688538551330495</v>
      </c>
      <c r="Q80">
        <v>79</v>
      </c>
      <c r="R80">
        <v>11.3676033020019</v>
      </c>
      <c r="S80">
        <v>41.656490325927699</v>
      </c>
      <c r="U80">
        <v>79</v>
      </c>
      <c r="V80">
        <v>43.779407501220703</v>
      </c>
      <c r="W80">
        <v>41.514896392822202</v>
      </c>
      <c r="Y80">
        <v>79</v>
      </c>
      <c r="Z80">
        <v>12.541527748107899</v>
      </c>
      <c r="AA80">
        <v>41.50532913208</v>
      </c>
    </row>
    <row r="81" spans="1:27" x14ac:dyDescent="0.25">
      <c r="A81" s="8">
        <f t="shared" si="4"/>
        <v>80</v>
      </c>
      <c r="B81" s="8">
        <f t="shared" si="5"/>
        <v>1</v>
      </c>
      <c r="C81" s="8">
        <f t="shared" si="6"/>
        <v>43.558356285095101</v>
      </c>
      <c r="D81" s="8">
        <v>80</v>
      </c>
      <c r="E81" s="8">
        <v>14.1393127441406</v>
      </c>
      <c r="F81" s="8">
        <v>46.504573822021399</v>
      </c>
      <c r="G81" s="8"/>
      <c r="H81" s="8">
        <v>80</v>
      </c>
      <c r="I81" s="8">
        <v>16.891637802123999</v>
      </c>
      <c r="J81" s="8">
        <v>47.179046630859297</v>
      </c>
      <c r="K81" s="8"/>
      <c r="L81" s="8">
        <v>80</v>
      </c>
      <c r="M81" s="8">
        <v>12.527405738830501</v>
      </c>
      <c r="N81" s="8">
        <v>46.927871704101499</v>
      </c>
      <c r="P81" s="8">
        <f t="shared" si="7"/>
        <v>312.26155471801712</v>
      </c>
      <c r="Q81">
        <v>80</v>
      </c>
      <c r="R81">
        <v>50.839229583740199</v>
      </c>
      <c r="S81">
        <v>39.646568298339801</v>
      </c>
      <c r="U81">
        <v>80</v>
      </c>
      <c r="V81">
        <v>207.41659545898401</v>
      </c>
      <c r="W81">
        <v>39.585044860839801</v>
      </c>
      <c r="Y81">
        <v>80</v>
      </c>
      <c r="Z81">
        <v>54.005729675292898</v>
      </c>
      <c r="AA81">
        <v>39.65083694458</v>
      </c>
    </row>
    <row r="82" spans="1:27" x14ac:dyDescent="0.25">
      <c r="A82" s="8">
        <f t="shared" si="4"/>
        <v>81</v>
      </c>
      <c r="B82" s="8">
        <f t="shared" si="5"/>
        <v>1</v>
      </c>
      <c r="C82" s="8">
        <f t="shared" si="6"/>
        <v>417.66870117187403</v>
      </c>
      <c r="D82" s="8">
        <v>81</v>
      </c>
      <c r="E82" s="8">
        <v>134.82731628417901</v>
      </c>
      <c r="F82" s="8">
        <v>56.635261535644503</v>
      </c>
      <c r="G82" s="8"/>
      <c r="H82" s="8">
        <v>81</v>
      </c>
      <c r="I82" s="8">
        <v>160.95538330078099</v>
      </c>
      <c r="J82" s="8">
        <v>57.387271881103501</v>
      </c>
      <c r="K82" s="8"/>
      <c r="L82" s="8">
        <v>81</v>
      </c>
      <c r="M82" s="8">
        <v>121.88600158691401</v>
      </c>
      <c r="N82" s="8">
        <v>56.802696228027301</v>
      </c>
      <c r="P82" s="8">
        <f t="shared" si="7"/>
        <v>451.38218688964815</v>
      </c>
      <c r="Q82">
        <v>81</v>
      </c>
      <c r="R82">
        <v>63.013992309570298</v>
      </c>
      <c r="S82">
        <v>35.628368377685497</v>
      </c>
      <c r="U82">
        <v>81</v>
      </c>
      <c r="V82">
        <v>303.76885986328102</v>
      </c>
      <c r="W82">
        <v>35.821998596191399</v>
      </c>
      <c r="Y82">
        <v>81</v>
      </c>
      <c r="Z82">
        <v>84.599334716796804</v>
      </c>
      <c r="AA82">
        <v>35.872539520263601</v>
      </c>
    </row>
    <row r="83" spans="1:27" x14ac:dyDescent="0.25">
      <c r="A83" s="8">
        <f t="shared" si="4"/>
        <v>82</v>
      </c>
      <c r="B83" s="8">
        <f t="shared" si="5"/>
        <v>1</v>
      </c>
      <c r="C83" s="8">
        <f t="shared" si="6"/>
        <v>493.91931152343602</v>
      </c>
      <c r="D83" s="8">
        <v>82</v>
      </c>
      <c r="E83" s="8">
        <v>145.44329833984301</v>
      </c>
      <c r="F83" s="8">
        <v>54.781620025634702</v>
      </c>
      <c r="G83" s="8"/>
      <c r="H83" s="8">
        <v>82</v>
      </c>
      <c r="I83" s="8">
        <v>186.39567565917901</v>
      </c>
      <c r="J83" s="8">
        <v>55.509590148925703</v>
      </c>
      <c r="K83" s="8"/>
      <c r="L83" s="8">
        <v>82</v>
      </c>
      <c r="M83" s="8">
        <v>162.08033752441401</v>
      </c>
      <c r="N83" s="8">
        <v>54.9747505187988</v>
      </c>
      <c r="P83" s="8">
        <f t="shared" si="7"/>
        <v>189.90595245361237</v>
      </c>
      <c r="Q83">
        <v>82</v>
      </c>
      <c r="R83">
        <v>23.810237884521399</v>
      </c>
      <c r="S83">
        <v>24.443132400512599</v>
      </c>
      <c r="U83">
        <v>82</v>
      </c>
      <c r="V83">
        <v>127.781188964843</v>
      </c>
      <c r="W83">
        <v>24.4635906219482</v>
      </c>
      <c r="Y83">
        <v>82</v>
      </c>
      <c r="Z83">
        <v>38.314525604247997</v>
      </c>
      <c r="AA83">
        <v>24.491487503051701</v>
      </c>
    </row>
    <row r="84" spans="1:27" x14ac:dyDescent="0.25">
      <c r="A84" s="8">
        <f t="shared" si="4"/>
        <v>83</v>
      </c>
      <c r="B84" s="8">
        <f t="shared" si="5"/>
        <v>1</v>
      </c>
      <c r="C84" s="8">
        <f t="shared" si="6"/>
        <v>120.7358245849608</v>
      </c>
      <c r="D84" s="8">
        <v>83</v>
      </c>
      <c r="E84" s="8">
        <v>35.552803039550703</v>
      </c>
      <c r="F84" s="8">
        <v>54.781620025634702</v>
      </c>
      <c r="G84" s="8"/>
      <c r="H84" s="8">
        <v>83</v>
      </c>
      <c r="I84" s="8">
        <v>45.563396453857401</v>
      </c>
      <c r="J84" s="8">
        <v>55.509590148925703</v>
      </c>
      <c r="K84" s="8"/>
      <c r="L84" s="8">
        <v>83</v>
      </c>
      <c r="M84" s="8">
        <v>39.619625091552699</v>
      </c>
      <c r="N84" s="8">
        <v>54.9747505187988</v>
      </c>
      <c r="P84" s="8">
        <f t="shared" si="7"/>
        <v>75.182633399963294</v>
      </c>
      <c r="Q84">
        <v>83</v>
      </c>
      <c r="R84">
        <v>13.789603233337401</v>
      </c>
      <c r="S84">
        <v>26.586498260498001</v>
      </c>
      <c r="U84">
        <v>83</v>
      </c>
      <c r="V84">
        <v>48.466690063476499</v>
      </c>
      <c r="W84">
        <v>26.502300262451101</v>
      </c>
      <c r="Y84">
        <v>83</v>
      </c>
      <c r="Z84">
        <v>12.9263401031494</v>
      </c>
      <c r="AA84">
        <v>26.5446872711181</v>
      </c>
    </row>
    <row r="85" spans="1:27" x14ac:dyDescent="0.25">
      <c r="A85" s="8">
        <f t="shared" si="4"/>
        <v>84</v>
      </c>
      <c r="B85" s="8">
        <f t="shared" si="5"/>
        <v>1</v>
      </c>
      <c r="C85" s="8">
        <f t="shared" si="6"/>
        <v>202.19485092163069</v>
      </c>
      <c r="D85" s="8">
        <v>84</v>
      </c>
      <c r="E85" s="8">
        <v>70.823249816894503</v>
      </c>
      <c r="F85" s="8">
        <v>39.615066528320298</v>
      </c>
      <c r="G85" s="8"/>
      <c r="H85" s="8">
        <v>84</v>
      </c>
      <c r="I85" s="8">
        <v>77.287590026855398</v>
      </c>
      <c r="J85" s="8">
        <v>40.156726837158203</v>
      </c>
      <c r="K85" s="8"/>
      <c r="L85" s="8">
        <v>84</v>
      </c>
      <c r="M85" s="8">
        <v>54.084011077880803</v>
      </c>
      <c r="N85" s="8">
        <v>39.938831329345703</v>
      </c>
      <c r="P85" s="8">
        <f t="shared" si="7"/>
        <v>414.73065185546801</v>
      </c>
      <c r="Q85">
        <v>84</v>
      </c>
      <c r="R85">
        <v>76.2373046875</v>
      </c>
      <c r="S85">
        <v>57.597358703613203</v>
      </c>
      <c r="U85">
        <v>84</v>
      </c>
      <c r="V85">
        <v>267.14666748046801</v>
      </c>
      <c r="W85">
        <v>57.978584289550703</v>
      </c>
      <c r="Y85">
        <v>84</v>
      </c>
      <c r="Z85">
        <v>71.3466796875</v>
      </c>
      <c r="AA85">
        <v>58.229736328125</v>
      </c>
    </row>
    <row r="86" spans="1:27" x14ac:dyDescent="0.25">
      <c r="A86" s="8">
        <f t="shared" si="4"/>
        <v>85</v>
      </c>
      <c r="B86" s="8">
        <f t="shared" si="5"/>
        <v>1</v>
      </c>
      <c r="C86" s="8">
        <f t="shared" si="6"/>
        <v>139.13292694091791</v>
      </c>
      <c r="D86" s="8">
        <v>85</v>
      </c>
      <c r="E86" s="8">
        <v>44.395500183105398</v>
      </c>
      <c r="F86" s="8">
        <v>47.980289459228501</v>
      </c>
      <c r="G86" s="8"/>
      <c r="H86" s="8">
        <v>85</v>
      </c>
      <c r="I86" s="8">
        <v>57.603137969970703</v>
      </c>
      <c r="J86" s="8">
        <v>48.479831695556598</v>
      </c>
      <c r="K86" s="8"/>
      <c r="L86" s="8">
        <v>85</v>
      </c>
      <c r="M86" s="8">
        <v>37.134288787841797</v>
      </c>
      <c r="N86" s="8">
        <v>48.276050567626903</v>
      </c>
      <c r="P86" s="8">
        <f t="shared" si="7"/>
        <v>456.54358673095612</v>
      </c>
      <c r="Q86">
        <v>85</v>
      </c>
      <c r="R86">
        <v>65.058525085449205</v>
      </c>
      <c r="S86">
        <v>53.711986541747997</v>
      </c>
      <c r="U86">
        <v>85</v>
      </c>
      <c r="V86">
        <v>306.25094604492102</v>
      </c>
      <c r="W86">
        <v>54.202018737792898</v>
      </c>
      <c r="Y86">
        <v>85</v>
      </c>
      <c r="Z86">
        <v>85.234115600585895</v>
      </c>
      <c r="AA86">
        <v>54.504878997802699</v>
      </c>
    </row>
    <row r="87" spans="1:27" x14ac:dyDescent="0.25">
      <c r="A87" s="8">
        <f t="shared" si="4"/>
        <v>86</v>
      </c>
      <c r="B87" s="8">
        <f t="shared" si="5"/>
        <v>1</v>
      </c>
      <c r="C87" s="8">
        <f t="shared" si="6"/>
        <v>271.04414367675724</v>
      </c>
      <c r="D87" s="8">
        <v>86</v>
      </c>
      <c r="E87" s="8">
        <v>86.973175048828097</v>
      </c>
      <c r="F87" s="8">
        <v>42.135459899902301</v>
      </c>
      <c r="G87" s="8"/>
      <c r="H87" s="8">
        <v>86</v>
      </c>
      <c r="I87" s="8">
        <v>111.596069335937</v>
      </c>
      <c r="J87" s="8">
        <v>42.631351470947202</v>
      </c>
      <c r="K87" s="8"/>
      <c r="L87" s="8">
        <v>86</v>
      </c>
      <c r="M87" s="8">
        <v>72.474899291992102</v>
      </c>
      <c r="N87" s="8">
        <v>42.426712036132798</v>
      </c>
      <c r="P87" s="8">
        <f t="shared" si="7"/>
        <v>362.76525115966712</v>
      </c>
      <c r="Q87">
        <v>86</v>
      </c>
      <c r="R87">
        <v>44.728263854980398</v>
      </c>
      <c r="S87">
        <v>50.877017974853501</v>
      </c>
      <c r="U87">
        <v>86</v>
      </c>
      <c r="V87">
        <v>245.27508544921801</v>
      </c>
      <c r="W87">
        <v>51.272293090820298</v>
      </c>
      <c r="Y87">
        <v>86</v>
      </c>
      <c r="Z87">
        <v>72.761901855468693</v>
      </c>
      <c r="AA87">
        <v>51.516834259033203</v>
      </c>
    </row>
    <row r="88" spans="1:27" x14ac:dyDescent="0.25">
      <c r="A88" s="8">
        <f t="shared" si="4"/>
        <v>87</v>
      </c>
      <c r="B88" s="8">
        <f t="shared" si="5"/>
        <v>1</v>
      </c>
      <c r="C88" s="8">
        <f t="shared" si="6"/>
        <v>76.785028457641502</v>
      </c>
      <c r="D88" s="8">
        <v>87</v>
      </c>
      <c r="E88" s="8">
        <v>26.737602233886701</v>
      </c>
      <c r="F88" s="8">
        <v>52.031566619872997</v>
      </c>
      <c r="G88" s="8"/>
      <c r="H88" s="8">
        <v>87</v>
      </c>
      <c r="I88" s="8">
        <v>31.5729675292968</v>
      </c>
      <c r="J88" s="8">
        <v>52.427669525146399</v>
      </c>
      <c r="K88" s="8"/>
      <c r="L88" s="8">
        <v>87</v>
      </c>
      <c r="M88" s="8">
        <v>18.474458694458001</v>
      </c>
      <c r="N88" s="8">
        <v>52.248561859130803</v>
      </c>
      <c r="P88" s="8">
        <f t="shared" si="7"/>
        <v>691.60415649413903</v>
      </c>
      <c r="Q88">
        <v>87</v>
      </c>
      <c r="R88">
        <v>112.254905700683</v>
      </c>
      <c r="S88">
        <v>56.6865844726562</v>
      </c>
      <c r="U88">
        <v>87</v>
      </c>
      <c r="V88">
        <v>462.67401123046801</v>
      </c>
      <c r="W88">
        <v>56.681552886962798</v>
      </c>
      <c r="Y88">
        <v>87</v>
      </c>
      <c r="Z88">
        <v>116.675239562988</v>
      </c>
      <c r="AA88">
        <v>56.765865325927699</v>
      </c>
    </row>
    <row r="89" spans="1:27" x14ac:dyDescent="0.25">
      <c r="A89" s="8">
        <f t="shared" si="4"/>
        <v>88</v>
      </c>
      <c r="B89" s="8">
        <f t="shared" si="5"/>
        <v>1</v>
      </c>
      <c r="C89" s="8">
        <f t="shared" si="6"/>
        <v>85.161472320556499</v>
      </c>
      <c r="D89" s="8">
        <v>88</v>
      </c>
      <c r="E89" s="8">
        <v>29.2275581359863</v>
      </c>
      <c r="F89" s="8">
        <v>43.403865814208899</v>
      </c>
      <c r="G89" s="8"/>
      <c r="H89" s="8">
        <v>88</v>
      </c>
      <c r="I89" s="8">
        <v>34.311393737792898</v>
      </c>
      <c r="J89" s="8">
        <v>43.7288398742675</v>
      </c>
      <c r="K89" s="8"/>
      <c r="L89" s="8">
        <v>88</v>
      </c>
      <c r="M89" s="8">
        <v>21.622520446777301</v>
      </c>
      <c r="N89" s="8">
        <v>43.582103729247997</v>
      </c>
      <c r="P89" s="8">
        <f t="shared" si="7"/>
        <v>343.67849349975529</v>
      </c>
      <c r="Q89">
        <v>88</v>
      </c>
      <c r="R89">
        <v>48.103755950927699</v>
      </c>
      <c r="S89">
        <v>34.662559509277301</v>
      </c>
      <c r="U89">
        <v>88</v>
      </c>
      <c r="V89">
        <v>230.51428222656199</v>
      </c>
      <c r="W89">
        <v>34.786819458007798</v>
      </c>
      <c r="Y89">
        <v>88</v>
      </c>
      <c r="Z89">
        <v>65.060455322265597</v>
      </c>
      <c r="AA89">
        <v>35.043632507324197</v>
      </c>
    </row>
    <row r="90" spans="1:27" x14ac:dyDescent="0.25">
      <c r="A90" s="8">
        <f t="shared" si="4"/>
        <v>89</v>
      </c>
      <c r="B90" s="8">
        <f t="shared" si="5"/>
        <v>1</v>
      </c>
      <c r="C90" s="8">
        <f t="shared" si="6"/>
        <v>29.761575698852432</v>
      </c>
      <c r="D90" s="8">
        <v>89</v>
      </c>
      <c r="E90" s="8">
        <v>10.356396675109799</v>
      </c>
      <c r="F90" s="8">
        <v>44.352142333984297</v>
      </c>
      <c r="G90" s="8"/>
      <c r="H90" s="8">
        <v>89</v>
      </c>
      <c r="I90" s="8">
        <v>11.3936614990234</v>
      </c>
      <c r="J90" s="8">
        <v>44.903861999511697</v>
      </c>
      <c r="K90" s="8"/>
      <c r="L90" s="8">
        <v>89</v>
      </c>
      <c r="M90" s="8">
        <v>8.0115175247192294</v>
      </c>
      <c r="N90" s="8">
        <v>44.678253173828097</v>
      </c>
      <c r="P90" s="8">
        <f t="shared" si="7"/>
        <v>72.076668739318706</v>
      </c>
      <c r="Q90">
        <v>89</v>
      </c>
      <c r="R90">
        <v>10.862122535705501</v>
      </c>
      <c r="S90">
        <v>40.391727447509702</v>
      </c>
      <c r="U90">
        <v>89</v>
      </c>
      <c r="V90">
        <v>48.309795379638601</v>
      </c>
      <c r="W90">
        <v>40.692722320556598</v>
      </c>
      <c r="Y90">
        <v>89</v>
      </c>
      <c r="Z90">
        <v>12.9047508239746</v>
      </c>
      <c r="AA90">
        <v>40.854232788085902</v>
      </c>
    </row>
    <row r="91" spans="1:27" x14ac:dyDescent="0.25">
      <c r="A91" s="8">
        <f t="shared" si="4"/>
        <v>90</v>
      </c>
      <c r="B91" s="8">
        <f t="shared" si="5"/>
        <v>1</v>
      </c>
      <c r="C91" s="8">
        <f t="shared" si="6"/>
        <v>474.32614898681493</v>
      </c>
      <c r="D91" s="8">
        <v>90</v>
      </c>
      <c r="E91" s="8">
        <v>166.07637023925699</v>
      </c>
      <c r="F91" s="8">
        <v>45.542934417724602</v>
      </c>
      <c r="G91" s="8"/>
      <c r="H91" s="8">
        <v>90</v>
      </c>
      <c r="I91" s="8">
        <v>183.22180175781199</v>
      </c>
      <c r="J91" s="8">
        <v>45.98388671875</v>
      </c>
      <c r="K91" s="8"/>
      <c r="L91" s="8">
        <v>90</v>
      </c>
      <c r="M91" s="8">
        <v>125.02797698974599</v>
      </c>
      <c r="N91" s="8">
        <v>45.717144012451101</v>
      </c>
      <c r="P91" s="8">
        <f t="shared" si="7"/>
        <v>420.11110305786042</v>
      </c>
      <c r="Q91">
        <v>90</v>
      </c>
      <c r="R91">
        <v>62.225048065185497</v>
      </c>
      <c r="S91">
        <v>40.6653022766113</v>
      </c>
      <c r="U91">
        <v>90</v>
      </c>
      <c r="V91">
        <v>282.51559448242102</v>
      </c>
      <c r="W91">
        <v>40.9698486328125</v>
      </c>
      <c r="Y91">
        <v>90</v>
      </c>
      <c r="Z91">
        <v>75.370460510253906</v>
      </c>
      <c r="AA91">
        <v>41.132152557372997</v>
      </c>
    </row>
    <row r="92" spans="1:27" x14ac:dyDescent="0.25">
      <c r="A92" s="8">
        <f t="shared" si="4"/>
        <v>91</v>
      </c>
      <c r="B92" s="8">
        <f t="shared" si="5"/>
        <v>1</v>
      </c>
      <c r="C92" s="8">
        <f t="shared" si="6"/>
        <v>83.074914932250806</v>
      </c>
      <c r="D92" s="8">
        <v>91</v>
      </c>
      <c r="E92" s="8">
        <v>27.464170455932599</v>
      </c>
      <c r="F92" s="8">
        <v>44.608379364013601</v>
      </c>
      <c r="G92" s="8"/>
      <c r="H92" s="8">
        <v>91</v>
      </c>
      <c r="I92" s="8">
        <v>31.4671096801757</v>
      </c>
      <c r="J92" s="8">
        <v>45.191280364990199</v>
      </c>
      <c r="K92" s="8"/>
      <c r="L92" s="8">
        <v>91</v>
      </c>
      <c r="M92" s="8">
        <v>24.1436347961425</v>
      </c>
      <c r="N92" s="8">
        <v>44.9434814453125</v>
      </c>
      <c r="P92" s="8">
        <f t="shared" si="7"/>
        <v>372.91473388671784</v>
      </c>
      <c r="Q92">
        <v>91</v>
      </c>
      <c r="R92">
        <v>50.740272521972599</v>
      </c>
      <c r="S92">
        <v>30.200405120849599</v>
      </c>
      <c r="U92">
        <v>91</v>
      </c>
      <c r="V92">
        <v>249.03195190429599</v>
      </c>
      <c r="W92">
        <v>30.297279357910099</v>
      </c>
      <c r="Y92">
        <v>91</v>
      </c>
      <c r="Z92">
        <v>73.142509460449205</v>
      </c>
      <c r="AA92">
        <v>30.637243270873999</v>
      </c>
    </row>
    <row r="93" spans="1:27" x14ac:dyDescent="0.25">
      <c r="A93" s="8">
        <f t="shared" si="4"/>
        <v>92</v>
      </c>
      <c r="B93" s="8">
        <f t="shared" si="5"/>
        <v>1</v>
      </c>
      <c r="C93" s="8">
        <f t="shared" si="6"/>
        <v>147.8629074096678</v>
      </c>
      <c r="D93" s="8">
        <v>92</v>
      </c>
      <c r="E93" s="8">
        <v>58.426090240478501</v>
      </c>
      <c r="F93" s="8">
        <v>45.761142730712798</v>
      </c>
      <c r="G93" s="8"/>
      <c r="H93" s="8">
        <v>92</v>
      </c>
      <c r="I93" s="8">
        <v>50.675430297851499</v>
      </c>
      <c r="J93" s="8">
        <v>46.250766754150298</v>
      </c>
      <c r="K93" s="8"/>
      <c r="L93" s="8">
        <v>92</v>
      </c>
      <c r="M93" s="8">
        <v>38.761386871337798</v>
      </c>
      <c r="N93" s="8">
        <v>45.932979583740199</v>
      </c>
      <c r="P93" s="8">
        <f t="shared" si="7"/>
        <v>241.57933044433551</v>
      </c>
      <c r="Q93">
        <v>92</v>
      </c>
      <c r="R93">
        <v>44.082736968994098</v>
      </c>
      <c r="S93">
        <v>38.976722717285099</v>
      </c>
      <c r="U93">
        <v>92</v>
      </c>
      <c r="V93">
        <v>149.88290405273401</v>
      </c>
      <c r="W93">
        <v>38.755886077880803</v>
      </c>
      <c r="Y93">
        <v>92</v>
      </c>
      <c r="Z93">
        <v>47.613689422607401</v>
      </c>
      <c r="AA93">
        <v>38.780315399169901</v>
      </c>
    </row>
    <row r="94" spans="1:27" x14ac:dyDescent="0.25">
      <c r="A94" s="8">
        <f t="shared" si="4"/>
        <v>93</v>
      </c>
      <c r="B94" s="8">
        <f t="shared" si="5"/>
        <v>1</v>
      </c>
      <c r="C94" s="8">
        <f t="shared" si="6"/>
        <v>40.625304222106799</v>
      </c>
      <c r="D94" s="8">
        <v>93</v>
      </c>
      <c r="E94" s="8">
        <v>13.294653892516999</v>
      </c>
      <c r="F94" s="8">
        <v>44.539962768554602</v>
      </c>
      <c r="G94" s="8"/>
      <c r="H94" s="8">
        <v>93</v>
      </c>
      <c r="I94" s="8">
        <v>15.5023136138916</v>
      </c>
      <c r="J94" s="8">
        <v>45.090404510497997</v>
      </c>
      <c r="K94" s="8"/>
      <c r="L94" s="8">
        <v>93</v>
      </c>
      <c r="M94" s="8">
        <v>11.8283367156982</v>
      </c>
      <c r="N94" s="8">
        <v>44.871971130371001</v>
      </c>
      <c r="P94" s="8">
        <f t="shared" si="7"/>
        <v>673.78974914550599</v>
      </c>
      <c r="Q94">
        <v>93</v>
      </c>
      <c r="R94">
        <v>108.50737762451099</v>
      </c>
      <c r="S94">
        <v>39.038284301757798</v>
      </c>
      <c r="U94">
        <v>93</v>
      </c>
      <c r="V94">
        <v>456.18371582031199</v>
      </c>
      <c r="W94">
        <v>38.816337585449197</v>
      </c>
      <c r="Y94">
        <v>93</v>
      </c>
      <c r="Z94">
        <v>109.098655700683</v>
      </c>
      <c r="AA94">
        <v>38.970504760742102</v>
      </c>
    </row>
    <row r="95" spans="1:27" x14ac:dyDescent="0.25">
      <c r="A95" s="8">
        <f t="shared" si="4"/>
        <v>94</v>
      </c>
      <c r="B95" s="8">
        <f t="shared" si="5"/>
        <v>1</v>
      </c>
      <c r="C95" s="8">
        <f t="shared" si="6"/>
        <v>204.93409729003889</v>
      </c>
      <c r="D95" s="8">
        <v>94</v>
      </c>
      <c r="E95" s="8">
        <v>68.333259582519503</v>
      </c>
      <c r="F95" s="8">
        <v>38.2366943359375</v>
      </c>
      <c r="G95" s="8"/>
      <c r="H95" s="8">
        <v>94</v>
      </c>
      <c r="I95" s="8">
        <v>77.134223937988196</v>
      </c>
      <c r="J95" s="8">
        <v>38.808074951171797</v>
      </c>
      <c r="K95" s="8"/>
      <c r="L95" s="8">
        <v>94</v>
      </c>
      <c r="M95" s="8">
        <v>59.4666137695312</v>
      </c>
      <c r="N95" s="8">
        <v>38.558944702148402</v>
      </c>
      <c r="P95" s="8">
        <f t="shared" si="7"/>
        <v>242.4388046264643</v>
      </c>
      <c r="Q95">
        <v>94</v>
      </c>
      <c r="R95">
        <v>39.3250923156738</v>
      </c>
      <c r="S95">
        <v>37.892974853515597</v>
      </c>
      <c r="U95">
        <v>94</v>
      </c>
      <c r="V95">
        <v>163.85093688964801</v>
      </c>
      <c r="W95">
        <v>37.672576904296797</v>
      </c>
      <c r="Y95">
        <v>94</v>
      </c>
      <c r="Z95">
        <v>39.2627754211425</v>
      </c>
      <c r="AA95">
        <v>37.829311370849602</v>
      </c>
    </row>
    <row r="96" spans="1:27" x14ac:dyDescent="0.25">
      <c r="A96" s="8">
        <f t="shared" si="4"/>
        <v>95</v>
      </c>
      <c r="B96" s="8">
        <f t="shared" si="5"/>
        <v>1</v>
      </c>
      <c r="C96" s="8">
        <f t="shared" si="6"/>
        <v>59.851793289184492</v>
      </c>
      <c r="D96" s="8">
        <v>95</v>
      </c>
      <c r="E96" s="8">
        <v>19.064142227172798</v>
      </c>
      <c r="F96" s="8">
        <v>26.200878143310501</v>
      </c>
      <c r="G96" s="8"/>
      <c r="H96" s="8">
        <v>95</v>
      </c>
      <c r="I96" s="8">
        <v>23.191238403320298</v>
      </c>
      <c r="J96" s="8">
        <v>26.346767425537099</v>
      </c>
      <c r="K96" s="8"/>
      <c r="L96" s="8">
        <v>95</v>
      </c>
      <c r="M96" s="8">
        <v>17.596412658691399</v>
      </c>
      <c r="N96" s="8">
        <v>26.216171264648398</v>
      </c>
      <c r="P96" s="8">
        <f t="shared" si="7"/>
        <v>664.18978881835801</v>
      </c>
      <c r="Q96">
        <v>95</v>
      </c>
      <c r="R96">
        <v>108.85186004638599</v>
      </c>
      <c r="S96">
        <v>35.046165466308501</v>
      </c>
      <c r="U96">
        <v>95</v>
      </c>
      <c r="V96">
        <v>450.07763671875</v>
      </c>
      <c r="W96">
        <v>34.825756072997997</v>
      </c>
      <c r="Y96">
        <v>95</v>
      </c>
      <c r="Z96">
        <v>105.260292053222</v>
      </c>
      <c r="AA96">
        <v>34.982028961181598</v>
      </c>
    </row>
    <row r="97" spans="1:27" x14ac:dyDescent="0.25">
      <c r="A97" s="8">
        <f t="shared" si="4"/>
        <v>96</v>
      </c>
      <c r="B97" s="8">
        <f t="shared" si="5"/>
        <v>1</v>
      </c>
      <c r="C97" s="8">
        <f t="shared" si="6"/>
        <v>62.905826568603402</v>
      </c>
      <c r="D97" s="8">
        <v>96</v>
      </c>
      <c r="E97" s="8">
        <v>20.098495483398398</v>
      </c>
      <c r="F97" s="8">
        <v>30.182659149169901</v>
      </c>
      <c r="G97" s="8"/>
      <c r="H97" s="8">
        <v>96</v>
      </c>
      <c r="I97" s="8">
        <v>24.2037048339843</v>
      </c>
      <c r="J97" s="8">
        <v>30.328548431396399</v>
      </c>
      <c r="K97" s="8"/>
      <c r="L97" s="8">
        <v>96</v>
      </c>
      <c r="M97" s="8">
        <v>18.6036262512207</v>
      </c>
      <c r="N97" s="8">
        <v>30.197952270507798</v>
      </c>
      <c r="P97" s="8">
        <f t="shared" si="7"/>
        <v>623.33467864990166</v>
      </c>
      <c r="Q97">
        <v>96</v>
      </c>
      <c r="R97">
        <v>77.631515502929602</v>
      </c>
      <c r="S97">
        <v>37.239131927490199</v>
      </c>
      <c r="U97">
        <v>96</v>
      </c>
      <c r="V97">
        <v>421.61657714843699</v>
      </c>
      <c r="W97">
        <v>36.964031219482401</v>
      </c>
      <c r="Y97">
        <v>96</v>
      </c>
      <c r="Z97">
        <v>124.086585998535</v>
      </c>
      <c r="AA97">
        <v>37.468009948730398</v>
      </c>
    </row>
    <row r="98" spans="1:27" x14ac:dyDescent="0.25">
      <c r="A98" s="8">
        <f t="shared" si="4"/>
        <v>97</v>
      </c>
      <c r="B98" s="8">
        <f t="shared" si="5"/>
        <v>1</v>
      </c>
      <c r="C98" s="8">
        <f t="shared" si="6"/>
        <v>326.6977691650381</v>
      </c>
      <c r="D98" s="8">
        <v>97</v>
      </c>
      <c r="E98" s="8">
        <v>100.433860778808</v>
      </c>
      <c r="F98" s="8">
        <v>53.002597808837798</v>
      </c>
      <c r="G98" s="8"/>
      <c r="H98" s="8">
        <v>97</v>
      </c>
      <c r="I98" s="8">
        <v>140.44662475585901</v>
      </c>
      <c r="J98" s="8">
        <v>53.946617126464801</v>
      </c>
      <c r="K98" s="8"/>
      <c r="L98" s="8">
        <v>97</v>
      </c>
      <c r="M98" s="8">
        <v>85.817283630371094</v>
      </c>
      <c r="N98" s="8">
        <v>53.270774841308501</v>
      </c>
      <c r="P98" s="8">
        <f t="shared" si="7"/>
        <v>161.85923194885169</v>
      </c>
      <c r="Q98">
        <v>97</v>
      </c>
      <c r="R98">
        <v>20.4860935211181</v>
      </c>
      <c r="S98">
        <v>37.512783050537102</v>
      </c>
      <c r="U98">
        <v>97</v>
      </c>
      <c r="V98">
        <v>109.18706512451099</v>
      </c>
      <c r="W98">
        <v>37.255439758300703</v>
      </c>
      <c r="Y98">
        <v>97</v>
      </c>
      <c r="Z98">
        <v>32.186073303222599</v>
      </c>
      <c r="AA98">
        <v>37.766460418701101</v>
      </c>
    </row>
    <row r="99" spans="1:27" x14ac:dyDescent="0.25">
      <c r="A99" s="8">
        <f t="shared" si="4"/>
        <v>98</v>
      </c>
      <c r="B99" s="8">
        <f t="shared" si="5"/>
        <v>1</v>
      </c>
      <c r="C99" s="8">
        <f t="shared" si="6"/>
        <v>104.24374580383281</v>
      </c>
      <c r="D99" s="8">
        <v>98</v>
      </c>
      <c r="E99" s="8">
        <v>36.697704315185497</v>
      </c>
      <c r="F99" s="8">
        <v>36.062862396240199</v>
      </c>
      <c r="G99" s="8"/>
      <c r="H99" s="8">
        <v>98</v>
      </c>
      <c r="I99" s="8">
        <v>39.702018737792898</v>
      </c>
      <c r="J99" s="8">
        <v>36.582820892333899</v>
      </c>
      <c r="K99" s="8"/>
      <c r="L99" s="8">
        <v>98</v>
      </c>
      <c r="M99" s="8">
        <v>27.8440227508544</v>
      </c>
      <c r="N99" s="8">
        <v>36.419582366943303</v>
      </c>
      <c r="P99" s="8">
        <f t="shared" si="7"/>
        <v>530.33366394042878</v>
      </c>
      <c r="Q99">
        <v>98</v>
      </c>
      <c r="R99">
        <v>66.201713562011705</v>
      </c>
      <c r="S99">
        <v>33.548316955566399</v>
      </c>
      <c r="U99">
        <v>98</v>
      </c>
      <c r="V99">
        <v>357.79049682617102</v>
      </c>
      <c r="W99">
        <v>33.301055908203097</v>
      </c>
      <c r="Y99">
        <v>98</v>
      </c>
      <c r="Z99">
        <v>106.34145355224599</v>
      </c>
      <c r="AA99">
        <v>33.802886962890597</v>
      </c>
    </row>
    <row r="100" spans="1:27" x14ac:dyDescent="0.25">
      <c r="A100" s="8">
        <f t="shared" si="4"/>
        <v>99</v>
      </c>
      <c r="B100" s="8">
        <f t="shared" si="5"/>
        <v>1</v>
      </c>
      <c r="C100" s="8">
        <f t="shared" si="6"/>
        <v>440.97077941894395</v>
      </c>
      <c r="D100" s="8">
        <v>99</v>
      </c>
      <c r="E100" s="8">
        <v>163.44560241699199</v>
      </c>
      <c r="F100" s="8">
        <v>50.456096649169901</v>
      </c>
      <c r="G100" s="8"/>
      <c r="H100" s="8">
        <v>99</v>
      </c>
      <c r="I100" s="8">
        <v>169.82020568847599</v>
      </c>
      <c r="J100" s="8">
        <v>52.474571228027301</v>
      </c>
      <c r="K100" s="8"/>
      <c r="L100" s="8">
        <v>99</v>
      </c>
      <c r="M100" s="8">
        <v>107.70497131347599</v>
      </c>
      <c r="N100" s="8">
        <v>50.765453338622997</v>
      </c>
      <c r="P100" s="8">
        <f t="shared" si="7"/>
        <v>21.102226257324201</v>
      </c>
      <c r="Q100">
        <v>99</v>
      </c>
      <c r="R100">
        <v>2.1986908912658598</v>
      </c>
      <c r="S100">
        <v>25.318675994873001</v>
      </c>
      <c r="U100">
        <v>99</v>
      </c>
      <c r="V100">
        <v>14.6442060470581</v>
      </c>
      <c r="W100">
        <v>25.073213577270501</v>
      </c>
      <c r="Y100">
        <v>99</v>
      </c>
      <c r="Z100">
        <v>4.2593293190002397</v>
      </c>
      <c r="AA100">
        <v>25.5744323730468</v>
      </c>
    </row>
    <row r="101" spans="1:27" x14ac:dyDescent="0.25">
      <c r="A101" s="8">
        <f t="shared" si="4"/>
        <v>100</v>
      </c>
      <c r="B101" s="8">
        <f t="shared" si="5"/>
        <v>1</v>
      </c>
      <c r="C101" s="8">
        <f t="shared" si="6"/>
        <v>100.49662399291981</v>
      </c>
      <c r="D101" s="8">
        <v>100</v>
      </c>
      <c r="E101" s="8">
        <v>33.560764312744098</v>
      </c>
      <c r="F101" s="8">
        <v>54.476375579833899</v>
      </c>
      <c r="G101" s="8"/>
      <c r="H101" s="8">
        <v>100</v>
      </c>
      <c r="I101" s="8">
        <v>41.776905059814403</v>
      </c>
      <c r="J101" s="8">
        <v>55.185962677001903</v>
      </c>
      <c r="K101" s="8"/>
      <c r="L101" s="8">
        <v>100</v>
      </c>
      <c r="M101" s="8">
        <v>25.1589546203613</v>
      </c>
      <c r="N101" s="8">
        <v>54.950550079345703</v>
      </c>
      <c r="P101" s="8">
        <f t="shared" si="7"/>
        <v>28.756560802459642</v>
      </c>
      <c r="Q101">
        <v>100</v>
      </c>
      <c r="R101">
        <v>4.8485608100891104</v>
      </c>
      <c r="S101">
        <v>59.225112915038999</v>
      </c>
      <c r="U101">
        <v>100</v>
      </c>
      <c r="V101">
        <v>17.9892559051513</v>
      </c>
      <c r="W101">
        <v>59.353538513183501</v>
      </c>
      <c r="Y101">
        <v>100</v>
      </c>
      <c r="Z101">
        <v>5.9187440872192303</v>
      </c>
      <c r="AA101">
        <v>59.627250671386697</v>
      </c>
    </row>
    <row r="102" spans="1:27" x14ac:dyDescent="0.25">
      <c r="A102" s="8">
        <f t="shared" si="4"/>
        <v>101</v>
      </c>
      <c r="B102" s="8">
        <f t="shared" si="5"/>
        <v>1</v>
      </c>
      <c r="C102" s="8">
        <f t="shared" si="6"/>
        <v>228.0790863037108</v>
      </c>
      <c r="D102" s="8">
        <v>101</v>
      </c>
      <c r="E102" s="8">
        <v>68.634941101074205</v>
      </c>
      <c r="F102" s="8">
        <v>57.113162994384702</v>
      </c>
      <c r="G102" s="8"/>
      <c r="H102" s="8">
        <v>101</v>
      </c>
      <c r="I102" s="8">
        <v>95.240242004394503</v>
      </c>
      <c r="J102" s="8">
        <v>58.098472595214801</v>
      </c>
      <c r="K102" s="8"/>
      <c r="L102" s="8">
        <v>101</v>
      </c>
      <c r="M102" s="8">
        <v>64.203903198242102</v>
      </c>
      <c r="N102" s="8">
        <v>57.520984649658203</v>
      </c>
      <c r="P102" s="8">
        <f t="shared" si="7"/>
        <v>7.2943942546844402</v>
      </c>
      <c r="Q102">
        <v>101</v>
      </c>
      <c r="R102">
        <v>1.81915211677551</v>
      </c>
      <c r="S102">
        <v>6.94280529022216</v>
      </c>
      <c r="U102">
        <v>101</v>
      </c>
      <c r="V102">
        <v>3.7396492958068799</v>
      </c>
      <c r="W102">
        <v>7.0039730072021396</v>
      </c>
      <c r="Y102">
        <v>101</v>
      </c>
      <c r="Z102">
        <v>1.7355928421020499</v>
      </c>
      <c r="AA102">
        <v>7.0540676116943297</v>
      </c>
    </row>
    <row r="103" spans="1:27" x14ac:dyDescent="0.25">
      <c r="A103" s="8">
        <f t="shared" si="4"/>
        <v>102</v>
      </c>
      <c r="B103" s="8">
        <f t="shared" si="5"/>
        <v>1</v>
      </c>
      <c r="C103" s="8">
        <f t="shared" si="6"/>
        <v>136.55352783203111</v>
      </c>
      <c r="D103" s="8">
        <v>102</v>
      </c>
      <c r="E103" s="8">
        <v>44.9146919250488</v>
      </c>
      <c r="F103" s="8">
        <v>43.025680541992102</v>
      </c>
      <c r="G103" s="8"/>
      <c r="H103" s="8">
        <v>102</v>
      </c>
      <c r="I103" s="8">
        <v>52.376003265380803</v>
      </c>
      <c r="J103" s="8">
        <v>44.956691741943303</v>
      </c>
      <c r="K103" s="8"/>
      <c r="L103" s="8">
        <v>102</v>
      </c>
      <c r="M103" s="8">
        <v>39.262832641601499</v>
      </c>
      <c r="N103" s="8">
        <v>43.526287078857401</v>
      </c>
      <c r="P103" s="8">
        <f t="shared" si="7"/>
        <v>11.023289442062373</v>
      </c>
      <c r="Q103">
        <v>102</v>
      </c>
      <c r="R103">
        <v>0.85163855552673295</v>
      </c>
      <c r="S103">
        <v>5.1920700073242099</v>
      </c>
      <c r="U103">
        <v>102</v>
      </c>
      <c r="V103">
        <v>8.0040311813354492</v>
      </c>
      <c r="W103">
        <v>5.2237906455993599</v>
      </c>
      <c r="Y103">
        <v>102</v>
      </c>
      <c r="Z103">
        <v>2.16761970520019</v>
      </c>
      <c r="AA103">
        <v>5.2350926399230904</v>
      </c>
    </row>
    <row r="104" spans="1:27" x14ac:dyDescent="0.25">
      <c r="A104" s="8">
        <f t="shared" si="4"/>
        <v>103</v>
      </c>
      <c r="B104" s="8">
        <f t="shared" si="5"/>
        <v>1</v>
      </c>
      <c r="C104" s="8">
        <f t="shared" si="6"/>
        <v>260.02652359008772</v>
      </c>
      <c r="D104" s="8">
        <v>103</v>
      </c>
      <c r="E104" s="8">
        <v>108.263473510742</v>
      </c>
      <c r="F104" s="8">
        <v>38.050857543945298</v>
      </c>
      <c r="G104" s="8"/>
      <c r="H104" s="8">
        <v>103</v>
      </c>
      <c r="I104" s="8">
        <v>95.656837463378906</v>
      </c>
      <c r="J104" s="8">
        <v>39.037437438964801</v>
      </c>
      <c r="K104" s="8"/>
      <c r="L104" s="8">
        <v>103</v>
      </c>
      <c r="M104" s="8">
        <v>56.106212615966797</v>
      </c>
      <c r="N104" s="8">
        <v>38.280483245849602</v>
      </c>
      <c r="P104" s="8">
        <f t="shared" si="7"/>
        <v>129.58236694335932</v>
      </c>
      <c r="Q104">
        <v>103</v>
      </c>
      <c r="R104">
        <v>20.065502166748001</v>
      </c>
      <c r="S104">
        <v>43.669837951660099</v>
      </c>
      <c r="U104">
        <v>103</v>
      </c>
      <c r="V104">
        <v>87.423027038574205</v>
      </c>
      <c r="W104">
        <v>43.891536712646399</v>
      </c>
      <c r="Y104">
        <v>103</v>
      </c>
      <c r="Z104">
        <v>22.093837738037099</v>
      </c>
      <c r="AA104">
        <v>44.040798187255803</v>
      </c>
    </row>
    <row r="105" spans="1:27" x14ac:dyDescent="0.25">
      <c r="A105" s="8">
        <f t="shared" si="4"/>
        <v>104</v>
      </c>
      <c r="B105" s="8">
        <f t="shared" si="5"/>
        <v>1</v>
      </c>
      <c r="C105" s="8">
        <f t="shared" si="6"/>
        <v>57.605482101440302</v>
      </c>
      <c r="D105" s="8">
        <v>104</v>
      </c>
      <c r="E105" s="8">
        <v>19.207107543945298</v>
      </c>
      <c r="F105" s="8">
        <v>44.839534759521399</v>
      </c>
      <c r="G105" s="8"/>
      <c r="H105" s="8">
        <v>104</v>
      </c>
      <c r="I105" s="8">
        <v>22.348152160644499</v>
      </c>
      <c r="J105" s="8">
        <v>46.770614624023402</v>
      </c>
      <c r="K105" s="8"/>
      <c r="L105" s="8">
        <v>104</v>
      </c>
      <c r="M105" s="8">
        <v>16.050222396850501</v>
      </c>
      <c r="N105" s="8">
        <v>45.340164184570298</v>
      </c>
      <c r="P105" s="8">
        <f t="shared" si="7"/>
        <v>106.1363458633422</v>
      </c>
      <c r="Q105">
        <v>104</v>
      </c>
      <c r="R105">
        <v>15.852011680603001</v>
      </c>
      <c r="S105">
        <v>46.217987060546797</v>
      </c>
      <c r="U105">
        <v>104</v>
      </c>
      <c r="V105">
        <v>67.750350952148395</v>
      </c>
      <c r="W105">
        <v>46.657535552978501</v>
      </c>
      <c r="Y105">
        <v>104</v>
      </c>
      <c r="Z105">
        <v>22.533983230590799</v>
      </c>
      <c r="AA105">
        <v>46.9470825195312</v>
      </c>
    </row>
    <row r="106" spans="1:27" x14ac:dyDescent="0.25">
      <c r="A106" s="8">
        <f t="shared" si="4"/>
        <v>105</v>
      </c>
      <c r="B106" s="8">
        <f t="shared" si="5"/>
        <v>1</v>
      </c>
      <c r="C106" s="8">
        <f t="shared" si="6"/>
        <v>91.24081039428691</v>
      </c>
      <c r="D106" s="8">
        <v>105</v>
      </c>
      <c r="E106" s="8">
        <v>33.107902526855398</v>
      </c>
      <c r="F106" s="8">
        <v>37.408012390136697</v>
      </c>
      <c r="G106" s="8"/>
      <c r="H106" s="8">
        <v>105</v>
      </c>
      <c r="I106" s="8">
        <v>35.115772247314403</v>
      </c>
      <c r="J106" s="8">
        <v>37.584541320800703</v>
      </c>
      <c r="K106" s="8"/>
      <c r="L106" s="8">
        <v>105</v>
      </c>
      <c r="M106" s="8">
        <v>23.017135620117099</v>
      </c>
      <c r="N106" s="8">
        <v>37.428050994872997</v>
      </c>
      <c r="P106" s="8">
        <f t="shared" si="7"/>
        <v>158.81549072265611</v>
      </c>
      <c r="Q106">
        <v>105</v>
      </c>
      <c r="R106">
        <v>29.858787536621001</v>
      </c>
      <c r="S106">
        <v>23.5136108398437</v>
      </c>
      <c r="U106">
        <v>105</v>
      </c>
      <c r="V106">
        <v>102.932991027832</v>
      </c>
      <c r="W106">
        <v>22.795486450195298</v>
      </c>
      <c r="Y106">
        <v>105</v>
      </c>
      <c r="Z106">
        <v>26.0237121582031</v>
      </c>
      <c r="AA106">
        <v>23.266677856445298</v>
      </c>
    </row>
    <row r="107" spans="1:27" x14ac:dyDescent="0.25">
      <c r="A107" s="8">
        <f t="shared" si="4"/>
        <v>106</v>
      </c>
      <c r="B107" s="8">
        <f t="shared" si="5"/>
        <v>1</v>
      </c>
      <c r="C107" s="8">
        <f t="shared" si="6"/>
        <v>132.28014755249021</v>
      </c>
      <c r="D107" s="8">
        <v>106</v>
      </c>
      <c r="E107" s="8">
        <v>48.110317230224602</v>
      </c>
      <c r="F107" s="8">
        <v>33.426246643066399</v>
      </c>
      <c r="G107" s="8"/>
      <c r="H107" s="8">
        <v>106</v>
      </c>
      <c r="I107" s="8">
        <v>51.154949188232401</v>
      </c>
      <c r="J107" s="8">
        <v>33.602775573730398</v>
      </c>
      <c r="K107" s="8"/>
      <c r="L107" s="8">
        <v>106</v>
      </c>
      <c r="M107" s="8">
        <v>33.014881134033203</v>
      </c>
      <c r="N107" s="8">
        <v>33.446285247802699</v>
      </c>
      <c r="P107" s="8">
        <f t="shared" si="7"/>
        <v>713.20621109008755</v>
      </c>
      <c r="Q107">
        <v>106</v>
      </c>
      <c r="R107">
        <v>46.2163887023925</v>
      </c>
      <c r="S107">
        <v>36.698474884033203</v>
      </c>
      <c r="U107">
        <v>106</v>
      </c>
      <c r="V107">
        <v>454.94976806640602</v>
      </c>
      <c r="W107">
        <v>37.030128479003899</v>
      </c>
      <c r="Y107">
        <v>106</v>
      </c>
      <c r="Z107">
        <v>212.04005432128901</v>
      </c>
      <c r="AA107">
        <v>38.118194580078097</v>
      </c>
    </row>
    <row r="108" spans="1:27" x14ac:dyDescent="0.25">
      <c r="A108" s="8">
        <f t="shared" si="4"/>
        <v>107</v>
      </c>
      <c r="B108" s="8">
        <f t="shared" si="5"/>
        <v>1</v>
      </c>
      <c r="C108" s="8">
        <f t="shared" si="6"/>
        <v>104.1796054840086</v>
      </c>
      <c r="D108" s="8">
        <v>107</v>
      </c>
      <c r="E108" s="8">
        <v>35.509757995605398</v>
      </c>
      <c r="F108" s="8">
        <v>39.276363372802699</v>
      </c>
      <c r="G108" s="8"/>
      <c r="H108" s="8">
        <v>107</v>
      </c>
      <c r="I108" s="8">
        <v>41.881618499755803</v>
      </c>
      <c r="J108" s="8">
        <v>39.486831665038999</v>
      </c>
      <c r="K108" s="8"/>
      <c r="L108" s="8">
        <v>107</v>
      </c>
      <c r="M108" s="8">
        <v>26.788228988647401</v>
      </c>
      <c r="N108" s="8">
        <v>39.301498413085902</v>
      </c>
      <c r="P108" s="8">
        <f t="shared" si="7"/>
        <v>713.20621109008755</v>
      </c>
      <c r="Q108">
        <v>107</v>
      </c>
      <c r="R108">
        <v>46.2163887023925</v>
      </c>
      <c r="S108">
        <v>36.698474884033203</v>
      </c>
      <c r="U108">
        <v>107</v>
      </c>
      <c r="V108">
        <v>454.94976806640602</v>
      </c>
      <c r="W108">
        <v>37.030128479003899</v>
      </c>
      <c r="Y108">
        <v>107</v>
      </c>
      <c r="Z108">
        <v>212.04005432128901</v>
      </c>
      <c r="AA108">
        <v>38.118194580078097</v>
      </c>
    </row>
    <row r="109" spans="1:27" x14ac:dyDescent="0.25">
      <c r="A109" s="8">
        <f t="shared" si="4"/>
        <v>108</v>
      </c>
      <c r="B109" s="8">
        <f t="shared" si="5"/>
        <v>1</v>
      </c>
      <c r="C109" s="8">
        <f t="shared" si="6"/>
        <v>163.4278106689452</v>
      </c>
      <c r="D109" s="8">
        <v>108</v>
      </c>
      <c r="E109" s="8">
        <v>60.809883117675703</v>
      </c>
      <c r="F109" s="8">
        <v>40.546604156494098</v>
      </c>
      <c r="G109" s="8"/>
      <c r="H109" s="8">
        <v>108</v>
      </c>
      <c r="I109" s="8">
        <v>59.679130554199197</v>
      </c>
      <c r="J109" s="8">
        <v>40.747379302978501</v>
      </c>
      <c r="K109" s="8"/>
      <c r="L109" s="8">
        <v>108</v>
      </c>
      <c r="M109" s="8">
        <v>42.938796997070298</v>
      </c>
      <c r="N109" s="8">
        <v>40.576881408691399</v>
      </c>
      <c r="P109" s="8">
        <f t="shared" si="7"/>
        <v>101.88891887664788</v>
      </c>
      <c r="Q109">
        <v>108</v>
      </c>
      <c r="R109">
        <v>5.8117723464965803</v>
      </c>
      <c r="S109">
        <v>25.860691070556602</v>
      </c>
      <c r="U109">
        <v>108</v>
      </c>
      <c r="V109">
        <v>65.514152526855398</v>
      </c>
      <c r="W109">
        <v>25.921571731567301</v>
      </c>
      <c r="Y109">
        <v>108</v>
      </c>
      <c r="Z109">
        <v>30.562994003295898</v>
      </c>
      <c r="AA109">
        <v>26.959568023681602</v>
      </c>
    </row>
    <row r="110" spans="1:27" x14ac:dyDescent="0.25">
      <c r="A110" s="8">
        <f t="shared" si="4"/>
        <v>109</v>
      </c>
      <c r="B110" s="8">
        <f t="shared" si="5"/>
        <v>1</v>
      </c>
      <c r="C110" s="8">
        <f t="shared" si="6"/>
        <v>122.57086181640619</v>
      </c>
      <c r="D110" s="8">
        <v>109</v>
      </c>
      <c r="E110" s="8">
        <v>45.607410430908203</v>
      </c>
      <c r="F110" s="8">
        <v>35.604461669921797</v>
      </c>
      <c r="G110" s="8"/>
      <c r="H110" s="8">
        <v>109</v>
      </c>
      <c r="I110" s="8">
        <v>44.759353637695298</v>
      </c>
      <c r="J110" s="8">
        <v>35.775466918945298</v>
      </c>
      <c r="K110" s="8"/>
      <c r="L110" s="8">
        <v>109</v>
      </c>
      <c r="M110" s="8">
        <v>32.204097747802699</v>
      </c>
      <c r="N110" s="8">
        <v>35.623741149902301</v>
      </c>
      <c r="P110" s="8">
        <f t="shared" si="7"/>
        <v>1687.2120971679649</v>
      </c>
      <c r="Q110">
        <v>109</v>
      </c>
      <c r="R110">
        <v>318.75204467773398</v>
      </c>
      <c r="S110">
        <v>35.983695983886697</v>
      </c>
      <c r="U110">
        <v>109</v>
      </c>
      <c r="V110">
        <v>1091.03430175781</v>
      </c>
      <c r="W110">
        <v>35.398948669433501</v>
      </c>
      <c r="Y110">
        <v>109</v>
      </c>
      <c r="Z110">
        <v>277.42575073242102</v>
      </c>
      <c r="AA110">
        <v>35.904312133788999</v>
      </c>
    </row>
    <row r="111" spans="1:27" x14ac:dyDescent="0.25">
      <c r="A111" s="8">
        <f t="shared" si="4"/>
        <v>110</v>
      </c>
      <c r="B111" s="8">
        <f t="shared" si="5"/>
        <v>1</v>
      </c>
      <c r="C111" s="8">
        <f t="shared" si="6"/>
        <v>200.1636428833007</v>
      </c>
      <c r="D111" s="8">
        <v>110</v>
      </c>
      <c r="E111" s="8">
        <v>70.928535461425696</v>
      </c>
      <c r="F111" s="8">
        <v>38.2624702453613</v>
      </c>
      <c r="G111" s="8"/>
      <c r="H111" s="8">
        <v>110</v>
      </c>
      <c r="I111" s="8">
        <v>73.0946044921875</v>
      </c>
      <c r="J111" s="8">
        <v>38.790229797363203</v>
      </c>
      <c r="K111" s="8"/>
      <c r="L111" s="8">
        <v>110</v>
      </c>
      <c r="M111" s="8">
        <v>56.1405029296875</v>
      </c>
      <c r="N111" s="8">
        <v>38.5537719726562</v>
      </c>
      <c r="P111" s="8">
        <f t="shared" si="7"/>
        <v>694.73438262939305</v>
      </c>
      <c r="Q111">
        <v>110</v>
      </c>
      <c r="R111">
        <v>131.25083923339801</v>
      </c>
      <c r="S111">
        <v>35.983695983886697</v>
      </c>
      <c r="U111">
        <v>110</v>
      </c>
      <c r="V111">
        <v>449.249420166015</v>
      </c>
      <c r="W111">
        <v>35.398948669433501</v>
      </c>
      <c r="Y111">
        <v>110</v>
      </c>
      <c r="Z111">
        <v>114.23412322998</v>
      </c>
      <c r="AA111">
        <v>35.904312133788999</v>
      </c>
    </row>
    <row r="112" spans="1:27" x14ac:dyDescent="0.25">
      <c r="A112" s="8">
        <f t="shared" si="4"/>
        <v>111</v>
      </c>
      <c r="B112" s="8">
        <f t="shared" si="5"/>
        <v>1</v>
      </c>
      <c r="C112" s="8">
        <f t="shared" si="6"/>
        <v>128.28788375854469</v>
      </c>
      <c r="D112" s="8">
        <v>111</v>
      </c>
      <c r="E112" s="8">
        <v>46.117534637451101</v>
      </c>
      <c r="F112" s="8">
        <v>47.799339294433501</v>
      </c>
      <c r="G112" s="8"/>
      <c r="H112" s="8">
        <v>111</v>
      </c>
      <c r="I112" s="8">
        <v>45.071701049804602</v>
      </c>
      <c r="J112" s="8">
        <v>48.094150543212798</v>
      </c>
      <c r="K112" s="8"/>
      <c r="L112" s="8">
        <v>111</v>
      </c>
      <c r="M112" s="8">
        <v>37.098648071288999</v>
      </c>
      <c r="N112" s="8">
        <v>47.879528045654297</v>
      </c>
      <c r="P112" s="8">
        <f t="shared" si="7"/>
        <v>45.575630187988189</v>
      </c>
      <c r="Q112">
        <v>111</v>
      </c>
      <c r="R112">
        <v>5.6187410354614196</v>
      </c>
      <c r="S112">
        <v>22.585048675537099</v>
      </c>
      <c r="U112">
        <v>111</v>
      </c>
      <c r="V112">
        <v>31.9492988586425</v>
      </c>
      <c r="W112">
        <v>22.4766025543212</v>
      </c>
      <c r="Y112">
        <v>111</v>
      </c>
      <c r="Z112">
        <v>8.0075902938842702</v>
      </c>
      <c r="AA112">
        <v>22.5978984832763</v>
      </c>
    </row>
    <row r="113" spans="1:27" x14ac:dyDescent="0.25">
      <c r="A113" s="8">
        <f t="shared" si="4"/>
        <v>112</v>
      </c>
      <c r="B113" s="8">
        <f t="shared" si="5"/>
        <v>1</v>
      </c>
      <c r="C113" s="8">
        <f t="shared" si="6"/>
        <v>40.576750755309902</v>
      </c>
      <c r="D113" s="8">
        <v>112</v>
      </c>
      <c r="E113" s="8">
        <v>14.5998382568359</v>
      </c>
      <c r="F113" s="8">
        <v>47.535015106201101</v>
      </c>
      <c r="G113" s="8"/>
      <c r="H113" s="8">
        <v>112</v>
      </c>
      <c r="I113" s="8">
        <v>14.784485816955501</v>
      </c>
      <c r="J113" s="8">
        <v>48.073909759521399</v>
      </c>
      <c r="K113" s="8"/>
      <c r="L113" s="8">
        <v>112</v>
      </c>
      <c r="M113" s="8">
        <v>11.1924266815185</v>
      </c>
      <c r="N113" s="8">
        <v>47.829963684082003</v>
      </c>
      <c r="P113" s="8">
        <f t="shared" si="7"/>
        <v>34.370878219604478</v>
      </c>
      <c r="Q113">
        <v>112</v>
      </c>
      <c r="R113">
        <v>5.4904060363769496</v>
      </c>
      <c r="S113">
        <v>20.077695846557599</v>
      </c>
      <c r="U113">
        <v>112</v>
      </c>
      <c r="V113">
        <v>22.088344573974599</v>
      </c>
      <c r="W113">
        <v>20.080450057983398</v>
      </c>
      <c r="Y113">
        <v>112</v>
      </c>
      <c r="Z113">
        <v>6.7921276092529297</v>
      </c>
      <c r="AA113">
        <v>20.166965484619102</v>
      </c>
    </row>
    <row r="114" spans="1:27" x14ac:dyDescent="0.25">
      <c r="A114" s="8">
        <f t="shared" si="4"/>
        <v>113</v>
      </c>
      <c r="B114" s="8">
        <f t="shared" si="5"/>
        <v>1</v>
      </c>
      <c r="C114" s="8">
        <f t="shared" si="6"/>
        <v>232.69533538818359</v>
      </c>
      <c r="D114" s="8">
        <v>113</v>
      </c>
      <c r="E114" s="8">
        <v>66.713645935058594</v>
      </c>
      <c r="F114" s="8">
        <v>37.395164489746001</v>
      </c>
      <c r="G114" s="8"/>
      <c r="H114" s="8">
        <v>113</v>
      </c>
      <c r="I114" s="8">
        <v>91.4520263671875</v>
      </c>
      <c r="J114" s="8">
        <v>37.695823669433501</v>
      </c>
      <c r="K114" s="8"/>
      <c r="L114" s="8">
        <v>113</v>
      </c>
      <c r="M114" s="8">
        <v>74.5296630859375</v>
      </c>
      <c r="N114" s="8">
        <v>37.550201416015597</v>
      </c>
      <c r="P114" s="8">
        <f t="shared" si="7"/>
        <v>1668.7338256835881</v>
      </c>
      <c r="Q114">
        <v>113</v>
      </c>
      <c r="R114">
        <v>271.98828125</v>
      </c>
      <c r="S114">
        <v>31.346305847167901</v>
      </c>
      <c r="U114">
        <v>113</v>
      </c>
      <c r="V114">
        <v>1105.15600585937</v>
      </c>
      <c r="W114">
        <v>31.379417419433501</v>
      </c>
      <c r="Y114">
        <v>113</v>
      </c>
      <c r="Z114">
        <v>291.58953857421801</v>
      </c>
      <c r="AA114">
        <v>31.442804336547798</v>
      </c>
    </row>
    <row r="115" spans="1:27" x14ac:dyDescent="0.25">
      <c r="A115" s="8">
        <f t="shared" si="4"/>
        <v>114</v>
      </c>
      <c r="B115" s="8">
        <f t="shared" si="5"/>
        <v>1</v>
      </c>
      <c r="C115" s="8">
        <f t="shared" si="6"/>
        <v>288.87000274658169</v>
      </c>
      <c r="D115" s="8">
        <v>114</v>
      </c>
      <c r="E115" s="8">
        <v>85.954574584960895</v>
      </c>
      <c r="F115" s="8">
        <v>34.161243438720703</v>
      </c>
      <c r="G115" s="8"/>
      <c r="H115" s="8">
        <v>114</v>
      </c>
      <c r="I115" s="8">
        <v>111.91070556640599</v>
      </c>
      <c r="J115" s="8">
        <v>34.547775268554602</v>
      </c>
      <c r="K115" s="8"/>
      <c r="L115" s="8">
        <v>114</v>
      </c>
      <c r="M115" s="8">
        <v>91.004722595214801</v>
      </c>
      <c r="N115" s="8">
        <v>34.225070953369098</v>
      </c>
      <c r="P115" s="8">
        <f t="shared" si="7"/>
        <v>82.809342384338308</v>
      </c>
      <c r="Q115">
        <v>114</v>
      </c>
      <c r="R115">
        <v>13.7677965164184</v>
      </c>
      <c r="S115">
        <v>30.555435180663999</v>
      </c>
      <c r="U115">
        <v>114</v>
      </c>
      <c r="V115">
        <v>54.812355041503899</v>
      </c>
      <c r="W115">
        <v>30.526252746581999</v>
      </c>
      <c r="Y115">
        <v>114</v>
      </c>
      <c r="Z115">
        <v>14.229190826416</v>
      </c>
      <c r="AA115">
        <v>30.641473770141602</v>
      </c>
    </row>
    <row r="116" spans="1:27" x14ac:dyDescent="0.25">
      <c r="A116" s="8">
        <f t="shared" si="4"/>
        <v>115</v>
      </c>
      <c r="B116" s="8">
        <f t="shared" si="5"/>
        <v>1</v>
      </c>
      <c r="C116" s="8">
        <f t="shared" si="6"/>
        <v>264.76294708251879</v>
      </c>
      <c r="D116" s="8">
        <v>115</v>
      </c>
      <c r="E116" s="8">
        <v>94.045112609863196</v>
      </c>
      <c r="F116" s="8">
        <v>34.047588348388601</v>
      </c>
      <c r="G116" s="8"/>
      <c r="H116" s="8">
        <v>115</v>
      </c>
      <c r="I116" s="8">
        <v>102.969993591308</v>
      </c>
      <c r="J116" s="8">
        <v>34.248908996582003</v>
      </c>
      <c r="K116" s="8"/>
      <c r="L116" s="8">
        <v>115</v>
      </c>
      <c r="M116" s="8">
        <v>67.747840881347599</v>
      </c>
      <c r="N116" s="8">
        <v>34.161888122558501</v>
      </c>
      <c r="P116" s="8">
        <f t="shared" si="7"/>
        <v>1168.92835998535</v>
      </c>
      <c r="Q116">
        <v>115</v>
      </c>
      <c r="R116">
        <v>167.07116699218699</v>
      </c>
      <c r="S116">
        <v>31.660320281982401</v>
      </c>
      <c r="U116">
        <v>115</v>
      </c>
      <c r="V116">
        <v>777.80401611328102</v>
      </c>
      <c r="W116">
        <v>31.697727203369102</v>
      </c>
      <c r="Y116">
        <v>115</v>
      </c>
      <c r="Z116">
        <v>224.05317687988199</v>
      </c>
      <c r="AA116">
        <v>31.7815952301025</v>
      </c>
    </row>
    <row r="117" spans="1:27" x14ac:dyDescent="0.25">
      <c r="A117" s="8">
        <f t="shared" si="4"/>
        <v>116</v>
      </c>
      <c r="B117" s="8">
        <f t="shared" si="5"/>
        <v>1</v>
      </c>
      <c r="C117" s="8">
        <f t="shared" si="6"/>
        <v>35.785812377929503</v>
      </c>
      <c r="D117" s="8">
        <v>116</v>
      </c>
      <c r="E117" s="8">
        <v>10.144278526306101</v>
      </c>
      <c r="F117" s="8">
        <v>43.271106719970703</v>
      </c>
      <c r="G117" s="8"/>
      <c r="H117" s="8">
        <v>116</v>
      </c>
      <c r="I117" s="8">
        <v>14.1031064987182</v>
      </c>
      <c r="J117" s="8">
        <v>43.575412750244098</v>
      </c>
      <c r="K117" s="8"/>
      <c r="L117" s="8">
        <v>116</v>
      </c>
      <c r="M117" s="8">
        <v>11.538427352905201</v>
      </c>
      <c r="N117" s="8">
        <v>43.430652618408203</v>
      </c>
      <c r="P117" s="8">
        <f t="shared" si="7"/>
        <v>84.095650672912399</v>
      </c>
      <c r="Q117">
        <v>116</v>
      </c>
      <c r="R117">
        <v>12.8327226638793</v>
      </c>
      <c r="S117">
        <v>32.0899848937988</v>
      </c>
      <c r="U117">
        <v>116</v>
      </c>
      <c r="V117">
        <v>57.361099243163999</v>
      </c>
      <c r="W117">
        <v>32.138870239257798</v>
      </c>
      <c r="Y117">
        <v>116</v>
      </c>
      <c r="Z117">
        <v>13.9018287658691</v>
      </c>
      <c r="AA117">
        <v>32.270236968994098</v>
      </c>
    </row>
    <row r="118" spans="1:27" x14ac:dyDescent="0.25">
      <c r="A118" s="8">
        <f t="shared" si="4"/>
        <v>117</v>
      </c>
      <c r="B118" s="8">
        <f t="shared" si="5"/>
        <v>1</v>
      </c>
      <c r="C118" s="8">
        <f t="shared" si="6"/>
        <v>9.891958951950059</v>
      </c>
      <c r="D118" s="8">
        <v>117</v>
      </c>
      <c r="E118" s="8">
        <v>3.4143400192260698</v>
      </c>
      <c r="F118" s="8">
        <v>28.031005859375</v>
      </c>
      <c r="G118" s="8"/>
      <c r="H118" s="8">
        <v>117</v>
      </c>
      <c r="I118" s="8">
        <v>3.4779083728790199</v>
      </c>
      <c r="J118" s="8">
        <v>28.081373214721602</v>
      </c>
      <c r="K118" s="8"/>
      <c r="L118" s="8">
        <v>117</v>
      </c>
      <c r="M118" s="8">
        <v>2.9997105598449698</v>
      </c>
      <c r="N118" s="8">
        <v>28.0527019500732</v>
      </c>
      <c r="P118" s="8">
        <f t="shared" si="7"/>
        <v>54.358266830444272</v>
      </c>
      <c r="Q118">
        <v>117</v>
      </c>
      <c r="R118">
        <v>8.3717899322509695</v>
      </c>
      <c r="S118">
        <v>36.629528045654297</v>
      </c>
      <c r="U118">
        <v>117</v>
      </c>
      <c r="V118">
        <v>36.812770843505803</v>
      </c>
      <c r="W118">
        <v>36.662483215332003</v>
      </c>
      <c r="Y118">
        <v>117</v>
      </c>
      <c r="Z118">
        <v>9.1737060546875</v>
      </c>
      <c r="AA118">
        <v>36.877449035644503</v>
      </c>
    </row>
    <row r="119" spans="1:27" x14ac:dyDescent="0.25">
      <c r="A119" s="8">
        <f t="shared" si="4"/>
        <v>118</v>
      </c>
      <c r="B119" s="8">
        <f t="shared" si="5"/>
        <v>1</v>
      </c>
      <c r="C119" s="8">
        <f t="shared" si="6"/>
        <v>47.719164848327402</v>
      </c>
      <c r="D119" s="8">
        <v>118</v>
      </c>
      <c r="E119" s="8">
        <v>16.7602519989013</v>
      </c>
      <c r="F119" s="8">
        <v>23.476503372192301</v>
      </c>
      <c r="G119" s="8"/>
      <c r="H119" s="8">
        <v>118</v>
      </c>
      <c r="I119" s="8">
        <v>16.862268447875898</v>
      </c>
      <c r="J119" s="8">
        <v>23.521787643432599</v>
      </c>
      <c r="K119" s="8"/>
      <c r="L119" s="8">
        <v>118</v>
      </c>
      <c r="M119" s="8">
        <v>14.096644401550201</v>
      </c>
      <c r="N119" s="8">
        <v>23.497840881347599</v>
      </c>
      <c r="P119" s="8">
        <f t="shared" si="7"/>
        <v>63.097100257873421</v>
      </c>
      <c r="Q119">
        <v>118</v>
      </c>
      <c r="R119">
        <v>9.5473470687866193</v>
      </c>
      <c r="S119">
        <v>27.062007904052699</v>
      </c>
      <c r="U119">
        <v>118</v>
      </c>
      <c r="V119">
        <v>41.080162048339801</v>
      </c>
      <c r="W119">
        <v>27.4925937652587</v>
      </c>
      <c r="Y119">
        <v>118</v>
      </c>
      <c r="Z119">
        <v>12.469591140746999</v>
      </c>
      <c r="AA119">
        <v>27.564043045043899</v>
      </c>
    </row>
    <row r="120" spans="1:27" x14ac:dyDescent="0.25">
      <c r="A120" s="8">
        <f t="shared" si="4"/>
        <v>119</v>
      </c>
      <c r="B120" s="8">
        <f t="shared" si="5"/>
        <v>1</v>
      </c>
      <c r="C120" s="8">
        <f t="shared" si="6"/>
        <v>24.274970531463566</v>
      </c>
      <c r="D120" s="8">
        <v>119</v>
      </c>
      <c r="E120" s="8">
        <v>5.1233439445495597</v>
      </c>
      <c r="F120" s="8">
        <v>25.1907348632812</v>
      </c>
      <c r="G120" s="8"/>
      <c r="H120" s="8">
        <v>119</v>
      </c>
      <c r="I120" s="8">
        <v>10.831260681152299</v>
      </c>
      <c r="J120" s="8">
        <v>25.366813659667901</v>
      </c>
      <c r="K120" s="8"/>
      <c r="L120" s="8">
        <v>119</v>
      </c>
      <c r="M120" s="8">
        <v>8.3203659057617099</v>
      </c>
      <c r="N120" s="8">
        <v>25.20530128479</v>
      </c>
      <c r="P120" s="8">
        <f t="shared" si="7"/>
        <v>1011.497451782225</v>
      </c>
      <c r="Q120">
        <v>119</v>
      </c>
      <c r="R120">
        <v>155.04536437988199</v>
      </c>
      <c r="S120">
        <v>34.655532836913999</v>
      </c>
      <c r="U120">
        <v>119</v>
      </c>
      <c r="V120">
        <v>657.372314453125</v>
      </c>
      <c r="W120">
        <v>35.0736274719238</v>
      </c>
      <c r="Y120">
        <v>119</v>
      </c>
      <c r="Z120">
        <v>199.07977294921801</v>
      </c>
      <c r="AA120">
        <v>35.151298522949197</v>
      </c>
    </row>
    <row r="121" spans="1:27" x14ac:dyDescent="0.25">
      <c r="A121" s="8">
        <f t="shared" si="4"/>
        <v>120</v>
      </c>
      <c r="B121" s="8">
        <f t="shared" si="5"/>
        <v>1</v>
      </c>
      <c r="C121" s="8">
        <f t="shared" si="6"/>
        <v>153.24828720092759</v>
      </c>
      <c r="D121" s="8">
        <v>120</v>
      </c>
      <c r="E121" s="8">
        <v>45.700389862060497</v>
      </c>
      <c r="F121" s="8">
        <v>35.202857971191399</v>
      </c>
      <c r="G121" s="8"/>
      <c r="H121" s="8">
        <v>120</v>
      </c>
      <c r="I121" s="8">
        <v>63.346260070800703</v>
      </c>
      <c r="J121" s="8">
        <v>35.649284362792898</v>
      </c>
      <c r="K121" s="8"/>
      <c r="L121" s="8">
        <v>120</v>
      </c>
      <c r="M121" s="8">
        <v>44.201637268066399</v>
      </c>
      <c r="N121" s="8">
        <v>35.451377868652301</v>
      </c>
      <c r="P121" s="8">
        <f t="shared" si="7"/>
        <v>1265.8921508789062</v>
      </c>
      <c r="Q121">
        <v>120</v>
      </c>
      <c r="R121">
        <v>186.92117309570301</v>
      </c>
      <c r="S121">
        <v>31.7168655395507</v>
      </c>
      <c r="U121">
        <v>120</v>
      </c>
      <c r="V121">
        <v>840.5419921875</v>
      </c>
      <c r="W121">
        <v>32.203643798828097</v>
      </c>
      <c r="Y121">
        <v>120</v>
      </c>
      <c r="Z121">
        <v>238.42898559570301</v>
      </c>
      <c r="AA121">
        <v>32.262866973876903</v>
      </c>
    </row>
    <row r="122" spans="1:27" x14ac:dyDescent="0.25">
      <c r="A122" s="8">
        <f t="shared" si="4"/>
        <v>121</v>
      </c>
      <c r="B122" s="8">
        <f t="shared" si="5"/>
        <v>1</v>
      </c>
      <c r="C122" s="8">
        <f t="shared" si="6"/>
        <v>116.699810028076</v>
      </c>
      <c r="D122" s="8">
        <v>121</v>
      </c>
      <c r="E122" s="8">
        <v>37.4934883117675</v>
      </c>
      <c r="F122" s="8">
        <v>53.580726623535099</v>
      </c>
      <c r="G122" s="8"/>
      <c r="H122" s="8">
        <v>121</v>
      </c>
      <c r="I122" s="8">
        <v>47.863388061523402</v>
      </c>
      <c r="J122" s="8">
        <v>54.428268432617102</v>
      </c>
      <c r="K122" s="8"/>
      <c r="L122" s="8">
        <v>121</v>
      </c>
      <c r="M122" s="8">
        <v>31.342933654785099</v>
      </c>
      <c r="N122" s="8">
        <v>53.914871215820298</v>
      </c>
      <c r="P122" s="8">
        <f t="shared" si="7"/>
        <v>61.531455993652202</v>
      </c>
      <c r="Q122">
        <v>121</v>
      </c>
      <c r="R122">
        <v>11.2125549316406</v>
      </c>
      <c r="S122">
        <v>27.077318191528299</v>
      </c>
      <c r="U122">
        <v>121</v>
      </c>
      <c r="V122">
        <v>35.868759155273402</v>
      </c>
      <c r="W122">
        <v>27.5589790344238</v>
      </c>
      <c r="Y122">
        <v>121</v>
      </c>
      <c r="Z122">
        <v>14.4501419067382</v>
      </c>
      <c r="AA122">
        <v>27.6428108215332</v>
      </c>
    </row>
    <row r="123" spans="1:27" x14ac:dyDescent="0.25">
      <c r="A123" s="8">
        <f t="shared" si="4"/>
        <v>122</v>
      </c>
      <c r="B123" s="8">
        <f t="shared" si="5"/>
        <v>1</v>
      </c>
      <c r="C123" s="8">
        <f t="shared" si="6"/>
        <v>103.26778602600089</v>
      </c>
      <c r="D123" s="8">
        <v>122</v>
      </c>
      <c r="E123" s="8">
        <v>36.879734039306598</v>
      </c>
      <c r="F123" s="8">
        <v>50.318130493163999</v>
      </c>
      <c r="G123" s="8"/>
      <c r="H123" s="8">
        <v>122</v>
      </c>
      <c r="I123" s="8">
        <v>40.980953216552699</v>
      </c>
      <c r="J123" s="8">
        <v>50.772048950195298</v>
      </c>
      <c r="K123" s="8"/>
      <c r="L123" s="8">
        <v>122</v>
      </c>
      <c r="M123" s="8">
        <v>25.407098770141602</v>
      </c>
      <c r="N123" s="8">
        <v>50.5213623046875</v>
      </c>
      <c r="P123" s="8">
        <f t="shared" si="7"/>
        <v>22.492464065551651</v>
      </c>
      <c r="Q123">
        <v>122</v>
      </c>
      <c r="R123">
        <v>1.9219765663146899</v>
      </c>
      <c r="S123">
        <v>23.298503875732401</v>
      </c>
      <c r="U123">
        <v>122</v>
      </c>
      <c r="V123">
        <v>17.659679412841701</v>
      </c>
      <c r="W123">
        <v>23.476610183715799</v>
      </c>
      <c r="Y123">
        <v>122</v>
      </c>
      <c r="Z123">
        <v>2.9108080863952601</v>
      </c>
      <c r="AA123">
        <v>23.5476379394531</v>
      </c>
    </row>
    <row r="124" spans="1:27" x14ac:dyDescent="0.25">
      <c r="A124" s="8">
        <f t="shared" si="4"/>
        <v>123</v>
      </c>
      <c r="B124" s="8">
        <f t="shared" si="5"/>
        <v>1</v>
      </c>
      <c r="C124" s="8">
        <f t="shared" si="6"/>
        <v>89.437036514282099</v>
      </c>
      <c r="D124" s="8">
        <v>123</v>
      </c>
      <c r="E124" s="8">
        <v>31.097547531127901</v>
      </c>
      <c r="F124" s="8">
        <v>50.880542755126903</v>
      </c>
      <c r="G124" s="8"/>
      <c r="H124" s="8">
        <v>123</v>
      </c>
      <c r="I124" s="8">
        <v>36.313045501708899</v>
      </c>
      <c r="J124" s="8">
        <v>52.309917449951101</v>
      </c>
      <c r="K124" s="8"/>
      <c r="L124" s="8">
        <v>123</v>
      </c>
      <c r="M124" s="8">
        <v>22.026443481445298</v>
      </c>
      <c r="N124" s="8">
        <v>51.256298065185497</v>
      </c>
      <c r="P124" s="8">
        <f t="shared" si="7"/>
        <v>577.23398590087879</v>
      </c>
      <c r="Q124">
        <v>123</v>
      </c>
      <c r="R124">
        <v>67.970184326171804</v>
      </c>
      <c r="S124">
        <v>33.630302429199197</v>
      </c>
      <c r="U124">
        <v>123</v>
      </c>
      <c r="V124">
        <v>403.274169921875</v>
      </c>
      <c r="W124">
        <v>34.433437347412102</v>
      </c>
      <c r="Y124">
        <v>123</v>
      </c>
      <c r="Z124">
        <v>105.989631652832</v>
      </c>
      <c r="AA124">
        <v>34.605758666992102</v>
      </c>
    </row>
    <row r="125" spans="1:27" x14ac:dyDescent="0.25">
      <c r="A125" s="8">
        <f t="shared" si="4"/>
        <v>124</v>
      </c>
      <c r="B125" s="8">
        <f t="shared" si="5"/>
        <v>1</v>
      </c>
      <c r="C125" s="8">
        <f t="shared" si="6"/>
        <v>82.973438262939297</v>
      </c>
      <c r="D125" s="8">
        <v>124</v>
      </c>
      <c r="E125" s="8">
        <v>25.078468322753899</v>
      </c>
      <c r="F125" s="8">
        <v>41.078800201416001</v>
      </c>
      <c r="G125" s="8"/>
      <c r="H125" s="8">
        <v>124</v>
      </c>
      <c r="I125" s="8">
        <v>33.9448852539062</v>
      </c>
      <c r="J125" s="8">
        <v>41.528873443603501</v>
      </c>
      <c r="K125" s="8"/>
      <c r="L125" s="8">
        <v>124</v>
      </c>
      <c r="M125" s="8">
        <v>23.950084686279201</v>
      </c>
      <c r="N125" s="8">
        <v>41.331829071044901</v>
      </c>
      <c r="P125" s="8">
        <f t="shared" si="7"/>
        <v>4.5852216482162458</v>
      </c>
      <c r="Q125">
        <v>124</v>
      </c>
      <c r="R125">
        <v>0.65517240762710505</v>
      </c>
      <c r="S125">
        <v>6.2660169601440403</v>
      </c>
      <c r="U125">
        <v>124</v>
      </c>
      <c r="V125">
        <v>3.2807881832122798</v>
      </c>
      <c r="W125">
        <v>6.2359838485717702</v>
      </c>
      <c r="Y125">
        <v>124</v>
      </c>
      <c r="Z125">
        <v>0.64926105737686102</v>
      </c>
      <c r="AA125">
        <v>6.2443661689758301</v>
      </c>
    </row>
    <row r="126" spans="1:27" x14ac:dyDescent="0.25">
      <c r="A126" s="8">
        <f t="shared" si="4"/>
        <v>125</v>
      </c>
      <c r="B126" s="8">
        <f t="shared" si="5"/>
        <v>1</v>
      </c>
      <c r="C126" s="8">
        <f t="shared" si="6"/>
        <v>30.231349468231059</v>
      </c>
      <c r="D126" s="8">
        <v>125</v>
      </c>
      <c r="E126" s="8">
        <v>10.7024612426757</v>
      </c>
      <c r="F126" s="8">
        <v>30.435956954956001</v>
      </c>
      <c r="G126" s="8"/>
      <c r="H126" s="8">
        <v>125</v>
      </c>
      <c r="I126" s="8">
        <v>12.352896690368601</v>
      </c>
      <c r="J126" s="8">
        <v>30.6199226379394</v>
      </c>
      <c r="K126" s="8"/>
      <c r="L126" s="8">
        <v>125</v>
      </c>
      <c r="M126" s="8">
        <v>7.1759915351867596</v>
      </c>
      <c r="N126" s="8">
        <v>30.566768646240199</v>
      </c>
      <c r="P126" s="8">
        <f t="shared" si="7"/>
        <v>1008.964263916014</v>
      </c>
      <c r="Q126">
        <v>125</v>
      </c>
      <c r="R126">
        <v>143.41426086425699</v>
      </c>
      <c r="S126">
        <v>33.5097846984863</v>
      </c>
      <c r="U126">
        <v>125</v>
      </c>
      <c r="V126">
        <v>676.44970703125</v>
      </c>
      <c r="W126">
        <v>33.9491577148437</v>
      </c>
      <c r="Y126">
        <v>125</v>
      </c>
      <c r="Z126">
        <v>189.10029602050699</v>
      </c>
      <c r="AA126">
        <v>34.082607269287102</v>
      </c>
    </row>
    <row r="127" spans="1:27" x14ac:dyDescent="0.25">
      <c r="A127" s="8">
        <f t="shared" si="4"/>
        <v>126</v>
      </c>
      <c r="B127" s="8">
        <f t="shared" si="5"/>
        <v>1</v>
      </c>
      <c r="C127" s="8">
        <f t="shared" si="6"/>
        <v>36.014001846313377</v>
      </c>
      <c r="D127" s="8">
        <v>126</v>
      </c>
      <c r="E127" s="8">
        <v>12.7752313613891</v>
      </c>
      <c r="F127" s="8">
        <v>38.414627075195298</v>
      </c>
      <c r="G127" s="8"/>
      <c r="H127" s="8">
        <v>126</v>
      </c>
      <c r="I127" s="8">
        <v>15.0300893783569</v>
      </c>
      <c r="J127" s="8">
        <v>38.626811981201101</v>
      </c>
      <c r="K127" s="8"/>
      <c r="L127" s="8">
        <v>126</v>
      </c>
      <c r="M127" s="8">
        <v>8.2086811065673793</v>
      </c>
      <c r="N127" s="8">
        <v>38.550846099853501</v>
      </c>
      <c r="P127" s="8">
        <f t="shared" si="7"/>
        <v>1123.442626953125</v>
      </c>
      <c r="Q127">
        <v>126</v>
      </c>
      <c r="R127">
        <v>179.4169921875</v>
      </c>
      <c r="S127">
        <v>32.799518585205</v>
      </c>
      <c r="U127">
        <v>126</v>
      </c>
      <c r="V127">
        <v>745.276611328125</v>
      </c>
      <c r="W127">
        <v>32.823959350585902</v>
      </c>
      <c r="Y127">
        <v>126</v>
      </c>
      <c r="Z127">
        <v>198.7490234375</v>
      </c>
      <c r="AA127">
        <v>32.913414001464801</v>
      </c>
    </row>
    <row r="128" spans="1:27" x14ac:dyDescent="0.25">
      <c r="A128" s="8">
        <f t="shared" si="4"/>
        <v>127</v>
      </c>
      <c r="B128" s="8">
        <f t="shared" si="5"/>
        <v>1</v>
      </c>
      <c r="C128" s="8">
        <f t="shared" si="6"/>
        <v>221.6946296691894</v>
      </c>
      <c r="D128" s="8">
        <v>127</v>
      </c>
      <c r="E128" s="8">
        <v>77.315292358398395</v>
      </c>
      <c r="F128" s="8">
        <v>50.103427886962798</v>
      </c>
      <c r="G128" s="8"/>
      <c r="H128" s="8">
        <v>127</v>
      </c>
      <c r="I128" s="8">
        <v>89.741798400878906</v>
      </c>
      <c r="J128" s="8">
        <v>51.469028472900298</v>
      </c>
      <c r="K128" s="8"/>
      <c r="L128" s="8">
        <v>127</v>
      </c>
      <c r="M128" s="8">
        <v>54.637538909912102</v>
      </c>
      <c r="N128" s="8">
        <v>50.4710884094238</v>
      </c>
      <c r="P128" s="8">
        <f t="shared" si="7"/>
        <v>1185.9318695068339</v>
      </c>
      <c r="Q128">
        <v>127</v>
      </c>
      <c r="R128">
        <v>186.13682556152301</v>
      </c>
      <c r="S128">
        <v>34.2536010742187</v>
      </c>
      <c r="U128">
        <v>127</v>
      </c>
      <c r="V128">
        <v>796.67547607421795</v>
      </c>
      <c r="W128">
        <v>34.222782135009702</v>
      </c>
      <c r="Y128">
        <v>127</v>
      </c>
      <c r="Z128">
        <v>203.11956787109301</v>
      </c>
      <c r="AA128">
        <v>34.363525390625</v>
      </c>
    </row>
    <row r="129" spans="1:27" x14ac:dyDescent="0.25">
      <c r="A129" s="8">
        <f t="shared" si="4"/>
        <v>128</v>
      </c>
      <c r="B129" s="8">
        <f t="shared" si="5"/>
        <v>1</v>
      </c>
      <c r="C129" s="8">
        <f t="shared" si="6"/>
        <v>35.012708663940344</v>
      </c>
      <c r="D129" s="8">
        <v>128</v>
      </c>
      <c r="E129" s="8">
        <v>12.3770837783813</v>
      </c>
      <c r="F129" s="8">
        <v>51.064998626708899</v>
      </c>
      <c r="G129" s="8"/>
      <c r="H129" s="8">
        <v>128</v>
      </c>
      <c r="I129" s="8">
        <v>13.8294229507446</v>
      </c>
      <c r="J129" s="8">
        <v>51.537105560302699</v>
      </c>
      <c r="K129" s="8"/>
      <c r="L129" s="8">
        <v>128</v>
      </c>
      <c r="M129" s="8">
        <v>8.8062019348144496</v>
      </c>
      <c r="N129" s="8">
        <v>51.317043304443303</v>
      </c>
      <c r="P129" s="8">
        <f t="shared" si="7"/>
        <v>1305.3799591064442</v>
      </c>
      <c r="Q129">
        <v>128</v>
      </c>
      <c r="R129">
        <v>182.10707092285099</v>
      </c>
      <c r="S129">
        <v>28.419000625610298</v>
      </c>
      <c r="U129">
        <v>128</v>
      </c>
      <c r="V129">
        <v>867.36242675781205</v>
      </c>
      <c r="W129">
        <v>28.4575805664062</v>
      </c>
      <c r="Y129">
        <v>128</v>
      </c>
      <c r="Z129">
        <v>255.91046142578099</v>
      </c>
      <c r="AA129">
        <v>28.5955905914306</v>
      </c>
    </row>
    <row r="130" spans="1:27" x14ac:dyDescent="0.25">
      <c r="A130" s="8">
        <f t="shared" si="4"/>
        <v>129</v>
      </c>
      <c r="B130" s="8">
        <f t="shared" si="5"/>
        <v>1</v>
      </c>
      <c r="C130" s="8">
        <f t="shared" si="6"/>
        <v>22.604830265045148</v>
      </c>
      <c r="D130" s="8">
        <v>129</v>
      </c>
      <c r="E130" s="8">
        <v>7.4981875419616699</v>
      </c>
      <c r="F130" s="8">
        <v>32.567909240722599</v>
      </c>
      <c r="G130" s="8"/>
      <c r="H130" s="8">
        <v>129</v>
      </c>
      <c r="I130" s="8">
        <v>9.2605838775634695</v>
      </c>
      <c r="J130" s="8">
        <v>33.531425476074197</v>
      </c>
      <c r="K130" s="8"/>
      <c r="L130" s="8">
        <v>129</v>
      </c>
      <c r="M130" s="8">
        <v>5.8460588455200098</v>
      </c>
      <c r="N130" s="8">
        <v>32.867984771728501</v>
      </c>
      <c r="P130" s="8">
        <f t="shared" si="7"/>
        <v>1590.110153198237</v>
      </c>
      <c r="Q130">
        <v>129</v>
      </c>
      <c r="R130">
        <v>238.50688171386699</v>
      </c>
      <c r="S130">
        <v>29.435815811157202</v>
      </c>
      <c r="U130">
        <v>129</v>
      </c>
      <c r="V130">
        <v>1063.48754882812</v>
      </c>
      <c r="W130">
        <v>29.399229049682599</v>
      </c>
      <c r="Y130">
        <v>129</v>
      </c>
      <c r="Z130">
        <v>288.11572265625</v>
      </c>
      <c r="AA130">
        <v>29.392148971557599</v>
      </c>
    </row>
    <row r="131" spans="1:27" x14ac:dyDescent="0.25">
      <c r="A131" s="8">
        <f t="shared" ref="A131:A194" si="8">IF(D131="","",D131)</f>
        <v>130</v>
      </c>
      <c r="B131" s="8">
        <f t="shared" ref="B131:B194" si="9">IF(OR(D131&lt;&gt;H131,H131&lt;&gt;L131,D131&lt;&gt;L131),0,1)</f>
        <v>1</v>
      </c>
      <c r="C131" s="8">
        <f t="shared" ref="C131:C194" si="10">SUM(E131,I131,M131)</f>
        <v>38.312071800231799</v>
      </c>
      <c r="D131" s="8">
        <v>130</v>
      </c>
      <c r="E131" s="8">
        <v>11.425097465515099</v>
      </c>
      <c r="F131" s="8">
        <v>37.088050842285099</v>
      </c>
      <c r="G131" s="8"/>
      <c r="H131" s="8">
        <v>130</v>
      </c>
      <c r="I131" s="8">
        <v>15.836565017700099</v>
      </c>
      <c r="J131" s="8">
        <v>37.564071655273402</v>
      </c>
      <c r="K131" s="8"/>
      <c r="L131" s="8">
        <v>130</v>
      </c>
      <c r="M131" s="8">
        <v>11.0504093170166</v>
      </c>
      <c r="N131" s="8">
        <v>37.367752075195298</v>
      </c>
      <c r="P131" s="8">
        <f t="shared" ref="P131:P194" si="11">R131+V131+Z131</f>
        <v>16.196546435356112</v>
      </c>
      <c r="Q131">
        <v>130</v>
      </c>
      <c r="R131">
        <v>1.60842716693878</v>
      </c>
      <c r="S131">
        <v>12.6847286224365</v>
      </c>
      <c r="U131">
        <v>130</v>
      </c>
      <c r="V131">
        <v>11.140172958374</v>
      </c>
      <c r="W131">
        <v>13.073407173156699</v>
      </c>
      <c r="Y131">
        <v>130</v>
      </c>
      <c r="Z131">
        <v>3.4479463100433301</v>
      </c>
      <c r="AA131">
        <v>13.1737766265869</v>
      </c>
    </row>
    <row r="132" spans="1:27" x14ac:dyDescent="0.25">
      <c r="A132" s="8">
        <f t="shared" si="8"/>
        <v>131</v>
      </c>
      <c r="B132" s="8">
        <f t="shared" si="9"/>
        <v>1</v>
      </c>
      <c r="C132" s="8">
        <f t="shared" si="10"/>
        <v>42.060132980346502</v>
      </c>
      <c r="D132" s="8">
        <v>131</v>
      </c>
      <c r="E132" s="8">
        <v>14.7725296020507</v>
      </c>
      <c r="F132" s="8">
        <v>44.227485656738203</v>
      </c>
      <c r="G132" s="8"/>
      <c r="H132" s="8">
        <v>131</v>
      </c>
      <c r="I132" s="8">
        <v>17.090396881103501</v>
      </c>
      <c r="J132" s="8">
        <v>45.589439392089801</v>
      </c>
      <c r="K132" s="8"/>
      <c r="L132" s="8">
        <v>131</v>
      </c>
      <c r="M132" s="8">
        <v>10.197206497192299</v>
      </c>
      <c r="N132" s="8">
        <v>44.5906372070312</v>
      </c>
      <c r="P132" s="8">
        <f t="shared" si="11"/>
        <v>12.74459433555602</v>
      </c>
      <c r="Q132">
        <v>131</v>
      </c>
      <c r="R132">
        <v>2.46904444694519</v>
      </c>
      <c r="S132">
        <v>13.9334106445312</v>
      </c>
      <c r="U132">
        <v>131</v>
      </c>
      <c r="V132">
        <v>7.9122371673583896</v>
      </c>
      <c r="W132">
        <v>14.342500686645501</v>
      </c>
      <c r="Y132">
        <v>131</v>
      </c>
      <c r="Z132">
        <v>2.3633127212524401</v>
      </c>
      <c r="AA132">
        <v>14.526662826538001</v>
      </c>
    </row>
    <row r="133" spans="1:27" x14ac:dyDescent="0.25">
      <c r="A133" s="8">
        <f t="shared" si="8"/>
        <v>132</v>
      </c>
      <c r="B133" s="8">
        <f t="shared" si="9"/>
        <v>1</v>
      </c>
      <c r="C133" s="8">
        <f t="shared" si="10"/>
        <v>130.33256912231431</v>
      </c>
      <c r="D133" s="8">
        <v>132</v>
      </c>
      <c r="E133" s="8">
        <v>38.089096069335902</v>
      </c>
      <c r="F133" s="8">
        <v>49.393497467041001</v>
      </c>
      <c r="G133" s="8"/>
      <c r="H133" s="8">
        <v>132</v>
      </c>
      <c r="I133" s="8">
        <v>54.5790405273437</v>
      </c>
      <c r="J133" s="8">
        <v>49.906093597412102</v>
      </c>
      <c r="K133" s="8"/>
      <c r="L133" s="8">
        <v>132</v>
      </c>
      <c r="M133" s="8">
        <v>37.664432525634702</v>
      </c>
      <c r="N133" s="8">
        <v>49.731613159179602</v>
      </c>
      <c r="P133" s="8">
        <f t="shared" si="11"/>
        <v>51.542281150817701</v>
      </c>
      <c r="Q133">
        <v>132</v>
      </c>
      <c r="R133">
        <v>10.8288116455078</v>
      </c>
      <c r="S133">
        <v>20.300786972045898</v>
      </c>
      <c r="U133">
        <v>132</v>
      </c>
      <c r="V133">
        <v>29.984972000121999</v>
      </c>
      <c r="W133">
        <v>20.745079040527301</v>
      </c>
      <c r="Y133">
        <v>132</v>
      </c>
      <c r="Z133">
        <v>10.728497505187899</v>
      </c>
      <c r="AA133">
        <v>20.929567337036101</v>
      </c>
    </row>
    <row r="134" spans="1:27" x14ac:dyDescent="0.25">
      <c r="A134" s="8">
        <f t="shared" si="8"/>
        <v>133</v>
      </c>
      <c r="B134" s="8">
        <f t="shared" si="9"/>
        <v>1</v>
      </c>
      <c r="C134" s="8">
        <f t="shared" si="10"/>
        <v>284.68369293212851</v>
      </c>
      <c r="D134" s="8">
        <v>133</v>
      </c>
      <c r="E134" s="8">
        <v>93.175224304199205</v>
      </c>
      <c r="F134" s="8">
        <v>53.654617309570298</v>
      </c>
      <c r="G134" s="8"/>
      <c r="H134" s="8">
        <v>133</v>
      </c>
      <c r="I134" s="8">
        <v>110.726768493652</v>
      </c>
      <c r="J134" s="8">
        <v>54.492721557617102</v>
      </c>
      <c r="K134" s="8"/>
      <c r="L134" s="8">
        <v>133</v>
      </c>
      <c r="M134" s="8">
        <v>80.781700134277301</v>
      </c>
      <c r="N134" s="8">
        <v>53.920677185058501</v>
      </c>
      <c r="P134" s="8">
        <f t="shared" si="11"/>
        <v>3.3805390149354864</v>
      </c>
      <c r="Q134">
        <v>133</v>
      </c>
      <c r="R134">
        <v>1.5000000596046399E-2</v>
      </c>
      <c r="S134">
        <v>16.793586730956999</v>
      </c>
      <c r="U134">
        <v>133</v>
      </c>
      <c r="V134">
        <v>2.70635557174682</v>
      </c>
      <c r="W134">
        <v>16.920150756835898</v>
      </c>
      <c r="Y134">
        <v>133</v>
      </c>
      <c r="Z134">
        <v>0.65918344259261996</v>
      </c>
      <c r="AA134">
        <v>16.9780158996582</v>
      </c>
    </row>
    <row r="135" spans="1:27" x14ac:dyDescent="0.25">
      <c r="A135" s="8">
        <f t="shared" si="8"/>
        <v>134</v>
      </c>
      <c r="B135" s="8">
        <f t="shared" si="9"/>
        <v>1</v>
      </c>
      <c r="C135" s="8">
        <f t="shared" si="10"/>
        <v>127.1211128234862</v>
      </c>
      <c r="D135" s="8">
        <v>134</v>
      </c>
      <c r="E135" s="8">
        <v>44.00386428833</v>
      </c>
      <c r="F135" s="8">
        <v>32.580253601074197</v>
      </c>
      <c r="G135" s="8"/>
      <c r="H135" s="8">
        <v>134</v>
      </c>
      <c r="I135" s="8">
        <v>49.080730438232401</v>
      </c>
      <c r="J135" s="8">
        <v>33.063064575195298</v>
      </c>
      <c r="K135" s="8"/>
      <c r="L135" s="8">
        <v>134</v>
      </c>
      <c r="M135" s="8">
        <v>34.0365180969238</v>
      </c>
      <c r="N135" s="8">
        <v>32.788406372070298</v>
      </c>
      <c r="P135" s="8">
        <f t="shared" si="11"/>
        <v>105.243438720703</v>
      </c>
      <c r="Q135">
        <v>134</v>
      </c>
      <c r="R135">
        <v>19.823396682739201</v>
      </c>
      <c r="S135">
        <v>52.238285064697202</v>
      </c>
      <c r="U135">
        <v>134</v>
      </c>
      <c r="V135">
        <v>68.485900878906193</v>
      </c>
      <c r="W135">
        <v>51.5230102539062</v>
      </c>
      <c r="Y135">
        <v>134</v>
      </c>
      <c r="Z135">
        <v>16.934141159057599</v>
      </c>
      <c r="AA135">
        <v>52.548999786376903</v>
      </c>
    </row>
    <row r="136" spans="1:27" x14ac:dyDescent="0.25">
      <c r="A136" s="8">
        <f t="shared" si="8"/>
        <v>135</v>
      </c>
      <c r="B136" s="8">
        <f t="shared" si="9"/>
        <v>1</v>
      </c>
      <c r="C136" s="8">
        <f t="shared" si="10"/>
        <v>137.95156097412089</v>
      </c>
      <c r="D136" s="8">
        <v>135</v>
      </c>
      <c r="E136" s="8">
        <v>48.840347290038999</v>
      </c>
      <c r="F136" s="8">
        <v>38.1886177062988</v>
      </c>
      <c r="G136" s="8"/>
      <c r="H136" s="8">
        <v>135</v>
      </c>
      <c r="I136" s="8">
        <v>50.901878356933501</v>
      </c>
      <c r="J136" s="8">
        <v>38.818004608154297</v>
      </c>
      <c r="K136" s="8"/>
      <c r="L136" s="8">
        <v>135</v>
      </c>
      <c r="M136" s="8">
        <v>38.209335327148402</v>
      </c>
      <c r="N136" s="8">
        <v>38.532253265380803</v>
      </c>
      <c r="P136" s="8">
        <f t="shared" si="11"/>
        <v>626.73065948486237</v>
      </c>
      <c r="Q136">
        <v>135</v>
      </c>
      <c r="R136">
        <v>118.54306030273401</v>
      </c>
      <c r="S136">
        <v>54.132850646972599</v>
      </c>
      <c r="U136">
        <v>135</v>
      </c>
      <c r="V136">
        <v>409.42517089843699</v>
      </c>
      <c r="W136">
        <v>53.490303039550703</v>
      </c>
      <c r="Y136">
        <v>135</v>
      </c>
      <c r="Z136">
        <v>98.762428283691406</v>
      </c>
      <c r="AA136">
        <v>54.527885437011697</v>
      </c>
    </row>
    <row r="137" spans="1:27" x14ac:dyDescent="0.25">
      <c r="A137" s="8">
        <f t="shared" si="8"/>
        <v>136</v>
      </c>
      <c r="B137" s="8">
        <f t="shared" si="9"/>
        <v>1</v>
      </c>
      <c r="C137" s="8">
        <f t="shared" si="10"/>
        <v>146.4237899780272</v>
      </c>
      <c r="D137" s="8">
        <v>136</v>
      </c>
      <c r="E137" s="8">
        <v>50.784793853759702</v>
      </c>
      <c r="F137" s="8">
        <v>38.446418762207003</v>
      </c>
      <c r="G137" s="8"/>
      <c r="H137" s="8">
        <v>136</v>
      </c>
      <c r="I137" s="8">
        <v>53.235214233398402</v>
      </c>
      <c r="J137" s="8">
        <v>39.075084686279297</v>
      </c>
      <c r="K137" s="8"/>
      <c r="L137" s="8">
        <v>136</v>
      </c>
      <c r="M137" s="8">
        <v>42.403781890869098</v>
      </c>
      <c r="N137" s="8">
        <v>38.790664672851499</v>
      </c>
      <c r="P137" s="8">
        <f t="shared" si="11"/>
        <v>313.93345642089741</v>
      </c>
      <c r="Q137">
        <v>136</v>
      </c>
      <c r="R137">
        <v>33.122749328613203</v>
      </c>
      <c r="S137">
        <v>49.483428955078097</v>
      </c>
      <c r="U137">
        <v>136</v>
      </c>
      <c r="V137">
        <v>202.64207458496</v>
      </c>
      <c r="W137">
        <v>49.951217651367102</v>
      </c>
      <c r="Y137">
        <v>136</v>
      </c>
      <c r="Z137">
        <v>78.168632507324205</v>
      </c>
      <c r="AA137">
        <v>51.063644409179602</v>
      </c>
    </row>
    <row r="138" spans="1:27" x14ac:dyDescent="0.25">
      <c r="A138" s="8">
        <f t="shared" si="8"/>
        <v>137</v>
      </c>
      <c r="B138" s="8">
        <f t="shared" si="9"/>
        <v>1</v>
      </c>
      <c r="C138" s="8">
        <f t="shared" si="10"/>
        <v>271.45663452148403</v>
      </c>
      <c r="D138" s="8">
        <v>137</v>
      </c>
      <c r="E138" s="8">
        <v>104.747261047363</v>
      </c>
      <c r="F138" s="8">
        <v>29.899702072143501</v>
      </c>
      <c r="G138" s="8"/>
      <c r="H138" s="8">
        <v>137</v>
      </c>
      <c r="I138" s="8">
        <v>95.976577758789006</v>
      </c>
      <c r="J138" s="8">
        <v>30.048740386962798</v>
      </c>
      <c r="K138" s="8"/>
      <c r="L138" s="8">
        <v>137</v>
      </c>
      <c r="M138" s="8">
        <v>70.732795715332003</v>
      </c>
      <c r="N138" s="8">
        <v>29.984518051147401</v>
      </c>
      <c r="P138" s="8">
        <f t="shared" si="11"/>
        <v>466.01012420654246</v>
      </c>
      <c r="Q138">
        <v>137</v>
      </c>
      <c r="R138">
        <v>84.028961181640597</v>
      </c>
      <c r="S138">
        <v>37.091178894042898</v>
      </c>
      <c r="U138">
        <v>137</v>
      </c>
      <c r="V138">
        <v>309.67318725585898</v>
      </c>
      <c r="W138">
        <v>36.475234985351499</v>
      </c>
      <c r="Y138">
        <v>137</v>
      </c>
      <c r="Z138">
        <v>72.307975769042898</v>
      </c>
      <c r="AA138">
        <v>37.44140625</v>
      </c>
    </row>
    <row r="139" spans="1:27" x14ac:dyDescent="0.25">
      <c r="A139" s="8">
        <f t="shared" si="8"/>
        <v>138</v>
      </c>
      <c r="B139" s="8">
        <f t="shared" si="9"/>
        <v>1</v>
      </c>
      <c r="C139" s="8">
        <f t="shared" si="10"/>
        <v>47.848964691161996</v>
      </c>
      <c r="D139" s="8">
        <v>138</v>
      </c>
      <c r="E139" s="8">
        <v>15.755254745483301</v>
      </c>
      <c r="F139" s="8">
        <v>42.493457794189403</v>
      </c>
      <c r="G139" s="8"/>
      <c r="H139" s="8">
        <v>138</v>
      </c>
      <c r="I139" s="8">
        <v>18.3131103515625</v>
      </c>
      <c r="J139" s="8">
        <v>42.668659210205</v>
      </c>
      <c r="K139" s="8"/>
      <c r="L139" s="8">
        <v>138</v>
      </c>
      <c r="M139" s="8">
        <v>13.7805995941162</v>
      </c>
      <c r="N139" s="8">
        <v>42.514461517333899</v>
      </c>
      <c r="P139" s="8">
        <f t="shared" si="11"/>
        <v>248.11556243896399</v>
      </c>
      <c r="Q139">
        <v>138</v>
      </c>
      <c r="R139">
        <v>27.8423652648925</v>
      </c>
      <c r="S139">
        <v>31.527824401855401</v>
      </c>
      <c r="U139">
        <v>138</v>
      </c>
      <c r="V139">
        <v>159.95892333984301</v>
      </c>
      <c r="W139">
        <v>32.079036712646399</v>
      </c>
      <c r="Y139">
        <v>138</v>
      </c>
      <c r="Z139">
        <v>60.314273834228501</v>
      </c>
      <c r="AA139">
        <v>33.039226531982401</v>
      </c>
    </row>
    <row r="140" spans="1:27" x14ac:dyDescent="0.25">
      <c r="A140" s="8">
        <f t="shared" si="8"/>
        <v>139</v>
      </c>
      <c r="B140" s="8">
        <f t="shared" si="9"/>
        <v>1</v>
      </c>
      <c r="C140" s="8">
        <f t="shared" si="10"/>
        <v>380.65249633788903</v>
      </c>
      <c r="D140" s="8">
        <v>139</v>
      </c>
      <c r="E140" s="8">
        <v>126.25167846679599</v>
      </c>
      <c r="F140" s="8">
        <v>36.617515563964801</v>
      </c>
      <c r="G140" s="8"/>
      <c r="H140" s="8">
        <v>139</v>
      </c>
      <c r="I140" s="8">
        <v>144.97747802734301</v>
      </c>
      <c r="J140" s="8">
        <v>36.789070129394503</v>
      </c>
      <c r="K140" s="8"/>
      <c r="L140" s="8">
        <v>139</v>
      </c>
      <c r="M140" s="8">
        <v>109.42333984375</v>
      </c>
      <c r="N140" s="8">
        <v>36.634010314941399</v>
      </c>
      <c r="P140" s="8">
        <f t="shared" si="11"/>
        <v>355.36241912841791</v>
      </c>
      <c r="Q140">
        <v>139</v>
      </c>
      <c r="R140">
        <v>70.584320068359304</v>
      </c>
      <c r="S140">
        <v>33.955131530761697</v>
      </c>
      <c r="U140">
        <v>139</v>
      </c>
      <c r="V140">
        <v>218.858154296875</v>
      </c>
      <c r="W140">
        <v>34.161037445068303</v>
      </c>
      <c r="Y140">
        <v>139</v>
      </c>
      <c r="Z140">
        <v>65.919944763183594</v>
      </c>
      <c r="AA140">
        <v>34.427555084228501</v>
      </c>
    </row>
    <row r="141" spans="1:27" x14ac:dyDescent="0.25">
      <c r="A141" s="8">
        <f t="shared" si="8"/>
        <v>140</v>
      </c>
      <c r="B141" s="8">
        <f t="shared" si="9"/>
        <v>1</v>
      </c>
      <c r="C141" s="8">
        <f t="shared" si="10"/>
        <v>79.392789840698001</v>
      </c>
      <c r="D141" s="8">
        <v>140</v>
      </c>
      <c r="E141" s="8">
        <v>23.383415222167901</v>
      </c>
      <c r="F141" s="8">
        <v>43.5355415344238</v>
      </c>
      <c r="G141" s="8"/>
      <c r="H141" s="8">
        <v>140</v>
      </c>
      <c r="I141" s="8">
        <v>34.331455230712798</v>
      </c>
      <c r="J141" s="8">
        <v>44.053195953369098</v>
      </c>
      <c r="K141" s="8"/>
      <c r="L141" s="8">
        <v>140</v>
      </c>
      <c r="M141" s="8">
        <v>21.677919387817301</v>
      </c>
      <c r="N141" s="8">
        <v>43.669681549072202</v>
      </c>
      <c r="P141" s="8">
        <f t="shared" si="11"/>
        <v>261.37966918945261</v>
      </c>
      <c r="Q141">
        <v>140</v>
      </c>
      <c r="R141">
        <v>39.468063354492102</v>
      </c>
      <c r="S141">
        <v>33.600818634033203</v>
      </c>
      <c r="U141">
        <v>140</v>
      </c>
      <c r="V141">
        <v>168.11338806152301</v>
      </c>
      <c r="W141">
        <v>33.9419136047363</v>
      </c>
      <c r="Y141">
        <v>140</v>
      </c>
      <c r="Z141">
        <v>53.7982177734375</v>
      </c>
      <c r="AA141">
        <v>34.700145721435497</v>
      </c>
    </row>
    <row r="142" spans="1:27" x14ac:dyDescent="0.25">
      <c r="A142" s="8">
        <f t="shared" si="8"/>
        <v>141</v>
      </c>
      <c r="B142" s="8">
        <f t="shared" si="9"/>
        <v>1</v>
      </c>
      <c r="C142" s="8">
        <f t="shared" si="10"/>
        <v>7.8236135244369391</v>
      </c>
      <c r="D142" s="8">
        <v>141</v>
      </c>
      <c r="E142" s="8">
        <v>3.0036432743072501</v>
      </c>
      <c r="F142" s="8">
        <v>25.6951694488525</v>
      </c>
      <c r="G142" s="8"/>
      <c r="H142" s="8">
        <v>141</v>
      </c>
      <c r="I142" s="8">
        <v>2.8899366855621298</v>
      </c>
      <c r="J142" s="8">
        <v>26.469509124755799</v>
      </c>
      <c r="K142" s="8"/>
      <c r="L142" s="8">
        <v>141</v>
      </c>
      <c r="M142" s="8">
        <v>1.9300335645675599</v>
      </c>
      <c r="N142" s="8">
        <v>25.887210845947202</v>
      </c>
      <c r="P142" s="8">
        <f t="shared" si="11"/>
        <v>877.691879272459</v>
      </c>
      <c r="Q142">
        <v>141</v>
      </c>
      <c r="R142">
        <v>159.26918029785099</v>
      </c>
      <c r="S142">
        <v>63.236709594726499</v>
      </c>
      <c r="U142">
        <v>141</v>
      </c>
      <c r="V142">
        <v>572.59094238281205</v>
      </c>
      <c r="W142">
        <v>64.125625610351506</v>
      </c>
      <c r="Y142">
        <v>141</v>
      </c>
      <c r="Z142">
        <v>145.83175659179599</v>
      </c>
      <c r="AA142">
        <v>64.301589965820298</v>
      </c>
    </row>
    <row r="143" spans="1:27" x14ac:dyDescent="0.25">
      <c r="A143" s="8">
        <f t="shared" si="8"/>
        <v>142</v>
      </c>
      <c r="B143" s="8">
        <f t="shared" si="9"/>
        <v>1</v>
      </c>
      <c r="C143" s="8">
        <f t="shared" si="10"/>
        <v>511.86332702636605</v>
      </c>
      <c r="D143" s="8">
        <v>142</v>
      </c>
      <c r="E143" s="8">
        <v>158.01446533203099</v>
      </c>
      <c r="F143" s="8">
        <v>36.790653228759702</v>
      </c>
      <c r="G143" s="8"/>
      <c r="H143" s="8">
        <v>142</v>
      </c>
      <c r="I143" s="8">
        <v>193.682373046875</v>
      </c>
      <c r="J143" s="8">
        <v>37.216770172119098</v>
      </c>
      <c r="K143" s="8"/>
      <c r="L143" s="8">
        <v>142</v>
      </c>
      <c r="M143" s="8">
        <v>160.16648864746</v>
      </c>
      <c r="N143" s="8">
        <v>36.8695068359375</v>
      </c>
      <c r="P143" s="8">
        <f t="shared" si="11"/>
        <v>61.835282325744501</v>
      </c>
      <c r="Q143">
        <v>142</v>
      </c>
      <c r="R143">
        <v>10.738465309143001</v>
      </c>
      <c r="S143">
        <v>37.554042816162102</v>
      </c>
      <c r="U143">
        <v>142</v>
      </c>
      <c r="V143">
        <v>40.816093444824197</v>
      </c>
      <c r="W143">
        <v>37.841651916503899</v>
      </c>
      <c r="Y143">
        <v>142</v>
      </c>
      <c r="Z143">
        <v>10.280723571777299</v>
      </c>
      <c r="AA143">
        <v>37.994865417480398</v>
      </c>
    </row>
    <row r="144" spans="1:27" x14ac:dyDescent="0.25">
      <c r="A144" s="8">
        <f t="shared" si="8"/>
        <v>143</v>
      </c>
      <c r="B144" s="8">
        <f t="shared" si="9"/>
        <v>1</v>
      </c>
      <c r="C144" s="8">
        <f t="shared" si="10"/>
        <v>55.7368965148925</v>
      </c>
      <c r="D144" s="8">
        <v>143</v>
      </c>
      <c r="E144" s="8">
        <v>17.1831245422363</v>
      </c>
      <c r="F144" s="8">
        <v>35.724353790283203</v>
      </c>
      <c r="G144" s="8"/>
      <c r="H144" s="8">
        <v>143</v>
      </c>
      <c r="I144" s="8">
        <v>21.013982772827099</v>
      </c>
      <c r="J144" s="8">
        <v>36.149394989013601</v>
      </c>
      <c r="K144" s="8"/>
      <c r="L144" s="8">
        <v>143</v>
      </c>
      <c r="M144" s="8">
        <v>17.539789199829102</v>
      </c>
      <c r="N144" s="8">
        <v>35.8019409179687</v>
      </c>
      <c r="P144" s="8">
        <f t="shared" si="11"/>
        <v>614.0939178466781</v>
      </c>
      <c r="Q144">
        <v>143</v>
      </c>
      <c r="R144">
        <v>70.362075805664006</v>
      </c>
      <c r="S144">
        <v>62.109481811523402</v>
      </c>
      <c r="U144">
        <v>143</v>
      </c>
      <c r="V144">
        <v>409.54025268554602</v>
      </c>
      <c r="W144">
        <v>62.613334655761697</v>
      </c>
      <c r="Y144">
        <v>143</v>
      </c>
      <c r="Z144">
        <v>134.19158935546801</v>
      </c>
      <c r="AA144">
        <v>63.229801177978501</v>
      </c>
    </row>
    <row r="145" spans="1:27" x14ac:dyDescent="0.25">
      <c r="A145" s="8">
        <f t="shared" si="8"/>
        <v>144</v>
      </c>
      <c r="B145" s="8">
        <f t="shared" si="9"/>
        <v>1</v>
      </c>
      <c r="C145" s="8">
        <f t="shared" si="10"/>
        <v>652.68103027343602</v>
      </c>
      <c r="D145" s="8">
        <v>144</v>
      </c>
      <c r="E145" s="8">
        <v>201.28721618652301</v>
      </c>
      <c r="F145" s="8">
        <v>33.013839721679602</v>
      </c>
      <c r="G145" s="8"/>
      <c r="H145" s="8">
        <v>144</v>
      </c>
      <c r="I145" s="8">
        <v>245.413314819335</v>
      </c>
      <c r="J145" s="8">
        <v>33.438899993896399</v>
      </c>
      <c r="K145" s="8"/>
      <c r="L145" s="8">
        <v>144</v>
      </c>
      <c r="M145" s="8">
        <v>205.98049926757801</v>
      </c>
      <c r="N145" s="8">
        <v>33.091445922851499</v>
      </c>
      <c r="P145" s="8">
        <f t="shared" si="11"/>
        <v>328.35818481445233</v>
      </c>
      <c r="Q145">
        <v>144</v>
      </c>
      <c r="R145">
        <v>60.605388641357401</v>
      </c>
      <c r="S145">
        <v>37.422256469726499</v>
      </c>
      <c r="U145">
        <v>144</v>
      </c>
      <c r="V145">
        <v>207.39105224609301</v>
      </c>
      <c r="W145">
        <v>37.812191009521399</v>
      </c>
      <c r="Y145">
        <v>144</v>
      </c>
      <c r="Z145">
        <v>60.361743927001903</v>
      </c>
      <c r="AA145">
        <v>38.179370880126903</v>
      </c>
    </row>
    <row r="146" spans="1:27" x14ac:dyDescent="0.25">
      <c r="A146" s="8">
        <f t="shared" si="8"/>
        <v>145</v>
      </c>
      <c r="B146" s="8">
        <f t="shared" si="9"/>
        <v>1</v>
      </c>
      <c r="C146" s="8">
        <f t="shared" si="10"/>
        <v>220.99206161499009</v>
      </c>
      <c r="D146" s="8">
        <v>145</v>
      </c>
      <c r="E146" s="8">
        <v>83.460266113281193</v>
      </c>
      <c r="F146" s="8">
        <v>35.002815246582003</v>
      </c>
      <c r="G146" s="8"/>
      <c r="H146" s="8">
        <v>145</v>
      </c>
      <c r="I146" s="8">
        <v>78.473701477050696</v>
      </c>
      <c r="J146" s="8">
        <v>35.259674072265597</v>
      </c>
      <c r="K146" s="8"/>
      <c r="L146" s="8">
        <v>145</v>
      </c>
      <c r="M146" s="8">
        <v>59.058094024658203</v>
      </c>
      <c r="N146" s="8">
        <v>34.992290496826101</v>
      </c>
      <c r="P146" s="8">
        <f t="shared" si="11"/>
        <v>292.77074050903258</v>
      </c>
      <c r="Q146">
        <v>145</v>
      </c>
      <c r="R146">
        <v>44.224582672119098</v>
      </c>
      <c r="S146">
        <v>39.976673126220703</v>
      </c>
      <c r="U146">
        <v>145</v>
      </c>
      <c r="V146">
        <v>198.11975097656199</v>
      </c>
      <c r="W146">
        <v>40.400463104247997</v>
      </c>
      <c r="Y146">
        <v>145</v>
      </c>
      <c r="Z146">
        <v>50.426406860351499</v>
      </c>
      <c r="AA146">
        <v>40.653331756591797</v>
      </c>
    </row>
    <row r="147" spans="1:27" x14ac:dyDescent="0.25">
      <c r="A147" s="8">
        <f t="shared" si="8"/>
        <v>146</v>
      </c>
      <c r="B147" s="8">
        <f t="shared" si="9"/>
        <v>1</v>
      </c>
      <c r="C147" s="8">
        <f t="shared" si="10"/>
        <v>73.298606872558395</v>
      </c>
      <c r="D147" s="8">
        <v>146</v>
      </c>
      <c r="E147" s="8">
        <v>27.687271118163999</v>
      </c>
      <c r="F147" s="8">
        <v>35.406848907470703</v>
      </c>
      <c r="G147" s="8"/>
      <c r="H147" s="8">
        <v>146</v>
      </c>
      <c r="I147" s="8">
        <v>26.042566299438398</v>
      </c>
      <c r="J147" s="8">
        <v>35.678272247314403</v>
      </c>
      <c r="K147" s="8"/>
      <c r="L147" s="8">
        <v>146</v>
      </c>
      <c r="M147" s="8">
        <v>19.568769454956001</v>
      </c>
      <c r="N147" s="8">
        <v>35.406429290771399</v>
      </c>
      <c r="P147" s="8">
        <f t="shared" si="11"/>
        <v>479.47885131835881</v>
      </c>
      <c r="Q147">
        <v>146</v>
      </c>
      <c r="R147">
        <v>68.359939575195298</v>
      </c>
      <c r="S147">
        <v>45.273586273193303</v>
      </c>
      <c r="U147">
        <v>146</v>
      </c>
      <c r="V147">
        <v>319.70104980468699</v>
      </c>
      <c r="W147">
        <v>45.379142761230398</v>
      </c>
      <c r="Y147">
        <v>146</v>
      </c>
      <c r="Z147">
        <v>91.417861938476506</v>
      </c>
      <c r="AA147">
        <v>45.556571960449197</v>
      </c>
    </row>
    <row r="148" spans="1:27" x14ac:dyDescent="0.25">
      <c r="A148" s="8">
        <f t="shared" si="8"/>
        <v>147</v>
      </c>
      <c r="B148" s="8">
        <f t="shared" si="9"/>
        <v>1</v>
      </c>
      <c r="C148" s="8">
        <f t="shared" si="10"/>
        <v>362.3002929687492</v>
      </c>
      <c r="D148" s="8">
        <v>147</v>
      </c>
      <c r="E148" s="8">
        <v>137.90455627441401</v>
      </c>
      <c r="F148" s="8">
        <v>31.510721206665</v>
      </c>
      <c r="G148" s="8"/>
      <c r="H148" s="8">
        <v>147</v>
      </c>
      <c r="I148" s="8">
        <v>128.61808776855401</v>
      </c>
      <c r="J148" s="8">
        <v>31.772716522216701</v>
      </c>
      <c r="K148" s="8"/>
      <c r="L148" s="8">
        <v>147</v>
      </c>
      <c r="M148" s="8">
        <v>95.777648925781193</v>
      </c>
      <c r="N148" s="8">
        <v>31.507736206054599</v>
      </c>
      <c r="P148" s="8">
        <f t="shared" si="11"/>
        <v>735.36305236816202</v>
      </c>
      <c r="Q148">
        <v>147</v>
      </c>
      <c r="R148">
        <v>138.43061828613199</v>
      </c>
      <c r="S148">
        <v>41.057056427001903</v>
      </c>
      <c r="U148">
        <v>147</v>
      </c>
      <c r="V148">
        <v>481.02996826171801</v>
      </c>
      <c r="W148">
        <v>41.076587677001903</v>
      </c>
      <c r="Y148">
        <v>147</v>
      </c>
      <c r="Z148">
        <v>115.902465820312</v>
      </c>
      <c r="AA148">
        <v>41.188503265380803</v>
      </c>
    </row>
    <row r="149" spans="1:27" x14ac:dyDescent="0.25">
      <c r="A149" s="8">
        <f t="shared" si="8"/>
        <v>148</v>
      </c>
      <c r="B149" s="8">
        <f t="shared" si="9"/>
        <v>1</v>
      </c>
      <c r="C149" s="8">
        <f t="shared" si="10"/>
        <v>7.2299294471740598</v>
      </c>
      <c r="D149" s="8">
        <v>148</v>
      </c>
      <c r="E149" s="8">
        <v>1.33506608009338</v>
      </c>
      <c r="F149" s="8">
        <v>23.5039978027343</v>
      </c>
      <c r="G149" s="8"/>
      <c r="H149" s="8">
        <v>148</v>
      </c>
      <c r="I149" s="8">
        <v>3.2603158950805602</v>
      </c>
      <c r="J149" s="8">
        <v>23.748424530029201</v>
      </c>
      <c r="K149" s="8"/>
      <c r="L149" s="8">
        <v>148</v>
      </c>
      <c r="M149" s="8">
        <v>2.6345474720001198</v>
      </c>
      <c r="N149" s="8">
        <v>23.4964389801025</v>
      </c>
      <c r="P149" s="8">
        <f t="shared" si="11"/>
        <v>173.5357971191404</v>
      </c>
      <c r="Q149">
        <v>148</v>
      </c>
      <c r="R149">
        <v>25.837856292724599</v>
      </c>
      <c r="S149">
        <v>21.261295318603501</v>
      </c>
      <c r="U149">
        <v>148</v>
      </c>
      <c r="V149">
        <v>112.33487701416</v>
      </c>
      <c r="W149">
        <v>21.386884689331001</v>
      </c>
      <c r="Y149">
        <v>148</v>
      </c>
      <c r="Z149">
        <v>35.363063812255803</v>
      </c>
      <c r="AA149">
        <v>21.467479705810501</v>
      </c>
    </row>
    <row r="150" spans="1:27" x14ac:dyDescent="0.25">
      <c r="A150" s="8">
        <f t="shared" si="8"/>
        <v>149</v>
      </c>
      <c r="B150" s="8">
        <f t="shared" si="9"/>
        <v>1</v>
      </c>
      <c r="C150" s="8">
        <f t="shared" si="10"/>
        <v>280.35061645507767</v>
      </c>
      <c r="D150" s="8">
        <v>149</v>
      </c>
      <c r="E150" s="8">
        <v>96.224998474121094</v>
      </c>
      <c r="F150" s="8">
        <v>57.620594024658203</v>
      </c>
      <c r="G150" s="8"/>
      <c r="H150" s="8">
        <v>149</v>
      </c>
      <c r="I150" s="8">
        <v>109.010704040527</v>
      </c>
      <c r="J150" s="8">
        <v>58.266429901122997</v>
      </c>
      <c r="K150" s="8"/>
      <c r="L150" s="8">
        <v>149</v>
      </c>
      <c r="M150" s="8">
        <v>75.114913940429602</v>
      </c>
      <c r="N150" s="8">
        <v>57.798488616943303</v>
      </c>
      <c r="P150" s="8">
        <f t="shared" si="11"/>
        <v>391.70007324218705</v>
      </c>
      <c r="Q150">
        <v>149</v>
      </c>
      <c r="R150">
        <v>76.760658264160099</v>
      </c>
      <c r="S150">
        <v>21.554050445556602</v>
      </c>
      <c r="U150">
        <v>149</v>
      </c>
      <c r="V150">
        <v>255.31944274902301</v>
      </c>
      <c r="W150">
        <v>21.712364196777301</v>
      </c>
      <c r="Y150">
        <v>149</v>
      </c>
      <c r="Z150">
        <v>59.619972229003899</v>
      </c>
      <c r="AA150">
        <v>21.807353973388601</v>
      </c>
    </row>
    <row r="151" spans="1:27" x14ac:dyDescent="0.25">
      <c r="A151" s="8">
        <f t="shared" si="8"/>
        <v>150</v>
      </c>
      <c r="B151" s="8">
        <f t="shared" si="9"/>
        <v>1</v>
      </c>
      <c r="C151" s="8">
        <f t="shared" si="10"/>
        <v>2.067737668752669</v>
      </c>
      <c r="D151" s="8">
        <v>150</v>
      </c>
      <c r="E151" s="8">
        <v>0.36118510365486101</v>
      </c>
      <c r="F151" s="8">
        <v>6.6034297943115199</v>
      </c>
      <c r="G151" s="8"/>
      <c r="H151" s="8">
        <v>150</v>
      </c>
      <c r="I151" s="8">
        <v>0.79641073942184404</v>
      </c>
      <c r="J151" s="8">
        <v>6.6415319442748997</v>
      </c>
      <c r="K151" s="8"/>
      <c r="L151" s="8">
        <v>150</v>
      </c>
      <c r="M151" s="8">
        <v>0.91014182567596402</v>
      </c>
      <c r="N151" s="8">
        <v>6.6297307014465297</v>
      </c>
      <c r="P151" s="8">
        <f t="shared" si="11"/>
        <v>402.04328536987282</v>
      </c>
      <c r="Q151">
        <v>150</v>
      </c>
      <c r="R151">
        <v>59.378276824951101</v>
      </c>
      <c r="S151">
        <v>33.2437934875488</v>
      </c>
      <c r="U151">
        <v>150</v>
      </c>
      <c r="V151">
        <v>267.08425903320301</v>
      </c>
      <c r="W151">
        <v>33.813438415527301</v>
      </c>
      <c r="Y151">
        <v>150</v>
      </c>
      <c r="Z151">
        <v>75.580749511718693</v>
      </c>
      <c r="AA151">
        <v>34.188468933105398</v>
      </c>
    </row>
    <row r="152" spans="1:27" x14ac:dyDescent="0.25">
      <c r="A152" s="8">
        <f t="shared" si="8"/>
        <v>151</v>
      </c>
      <c r="B152" s="8">
        <f t="shared" si="9"/>
        <v>1</v>
      </c>
      <c r="C152" s="8">
        <f t="shared" si="10"/>
        <v>1.132564276456832</v>
      </c>
      <c r="D152" s="8">
        <v>151</v>
      </c>
      <c r="E152" s="8">
        <v>0.17970022559165899</v>
      </c>
      <c r="F152" s="8">
        <v>4.8889050483703604</v>
      </c>
      <c r="G152" s="8"/>
      <c r="H152" s="8">
        <v>151</v>
      </c>
      <c r="I152" s="8">
        <v>0.37534523010253901</v>
      </c>
      <c r="J152" s="8">
        <v>5.0439395904540998</v>
      </c>
      <c r="K152" s="8"/>
      <c r="L152" s="8">
        <v>151</v>
      </c>
      <c r="M152" s="8">
        <v>0.57751882076263406</v>
      </c>
      <c r="N152" s="8">
        <v>4.9424452781677202</v>
      </c>
      <c r="P152" s="8">
        <f t="shared" si="11"/>
        <v>257.34969329833967</v>
      </c>
      <c r="Q152">
        <v>151</v>
      </c>
      <c r="R152">
        <v>33.748130798339801</v>
      </c>
      <c r="S152">
        <v>30.719367980956999</v>
      </c>
      <c r="U152">
        <v>151</v>
      </c>
      <c r="V152">
        <v>175.54542541503901</v>
      </c>
      <c r="W152">
        <v>30.9449958801269</v>
      </c>
      <c r="Y152">
        <v>151</v>
      </c>
      <c r="Z152">
        <v>48.056137084960902</v>
      </c>
      <c r="AA152">
        <v>30.919456481933501</v>
      </c>
    </row>
    <row r="153" spans="1:27" x14ac:dyDescent="0.25">
      <c r="A153" s="8">
        <f t="shared" si="8"/>
        <v>152</v>
      </c>
      <c r="B153" s="8">
        <f t="shared" si="9"/>
        <v>1</v>
      </c>
      <c r="C153" s="8">
        <f t="shared" si="10"/>
        <v>265.83329772949122</v>
      </c>
      <c r="D153" s="8">
        <v>152</v>
      </c>
      <c r="E153" s="8">
        <v>73.095878601074205</v>
      </c>
      <c r="F153" s="8">
        <v>40.449642181396399</v>
      </c>
      <c r="G153" s="8"/>
      <c r="H153" s="8">
        <v>152</v>
      </c>
      <c r="I153" s="8">
        <v>108.538200378417</v>
      </c>
      <c r="J153" s="8">
        <v>40.920982360839801</v>
      </c>
      <c r="K153" s="8"/>
      <c r="L153" s="8">
        <v>152</v>
      </c>
      <c r="M153" s="8">
        <v>84.19921875</v>
      </c>
      <c r="N153" s="8">
        <v>40.700157165527301</v>
      </c>
      <c r="P153" s="8">
        <f t="shared" si="11"/>
        <v>1117.346435546873</v>
      </c>
      <c r="Q153">
        <v>152</v>
      </c>
      <c r="R153">
        <v>184.37986755371</v>
      </c>
      <c r="S153">
        <v>34.323833465576101</v>
      </c>
      <c r="U153">
        <v>152</v>
      </c>
      <c r="V153">
        <v>734.85015869140602</v>
      </c>
      <c r="W153">
        <v>34.302112579345703</v>
      </c>
      <c r="Y153">
        <v>152</v>
      </c>
      <c r="Z153">
        <v>198.11640930175699</v>
      </c>
      <c r="AA153">
        <v>34.318443298339801</v>
      </c>
    </row>
    <row r="154" spans="1:27" x14ac:dyDescent="0.25">
      <c r="A154" s="8">
        <f t="shared" si="8"/>
        <v>153</v>
      </c>
      <c r="B154" s="8">
        <f t="shared" si="9"/>
        <v>1</v>
      </c>
      <c r="C154" s="8">
        <f t="shared" si="10"/>
        <v>180.9337844848632</v>
      </c>
      <c r="D154" s="8">
        <v>153</v>
      </c>
      <c r="E154" s="8">
        <v>66.827232360839801</v>
      </c>
      <c r="F154" s="8">
        <v>42.507411956787102</v>
      </c>
      <c r="G154" s="8"/>
      <c r="H154" s="8">
        <v>153</v>
      </c>
      <c r="I154" s="8">
        <v>63.290981292724602</v>
      </c>
      <c r="J154" s="8">
        <v>42.8405151367187</v>
      </c>
      <c r="K154" s="8"/>
      <c r="L154" s="8">
        <v>153</v>
      </c>
      <c r="M154" s="8">
        <v>50.8155708312988</v>
      </c>
      <c r="N154" s="8">
        <v>42.614223480224602</v>
      </c>
      <c r="P154" s="8">
        <f t="shared" si="11"/>
        <v>1061.3856506347638</v>
      </c>
      <c r="Q154">
        <v>153</v>
      </c>
      <c r="R154">
        <v>153.48490905761699</v>
      </c>
      <c r="S154">
        <v>30.838335037231399</v>
      </c>
      <c r="U154">
        <v>153</v>
      </c>
      <c r="V154">
        <v>704.05047607421795</v>
      </c>
      <c r="W154">
        <v>30.801996231079102</v>
      </c>
      <c r="Y154">
        <v>153</v>
      </c>
      <c r="Z154">
        <v>203.85026550292901</v>
      </c>
      <c r="AA154">
        <v>30.876958847045898</v>
      </c>
    </row>
    <row r="155" spans="1:27" x14ac:dyDescent="0.25">
      <c r="A155" s="8">
        <f t="shared" si="8"/>
        <v>154</v>
      </c>
      <c r="B155" s="8">
        <f t="shared" si="9"/>
        <v>1</v>
      </c>
      <c r="C155" s="8">
        <f t="shared" si="10"/>
        <v>21.61342239379881</v>
      </c>
      <c r="D155" s="8">
        <v>154</v>
      </c>
      <c r="E155" s="8">
        <v>8.2238521575927699</v>
      </c>
      <c r="F155" s="8">
        <v>18.145034790038999</v>
      </c>
      <c r="G155" s="8"/>
      <c r="H155" s="8">
        <v>154</v>
      </c>
      <c r="I155" s="8">
        <v>7.2696323394775302</v>
      </c>
      <c r="J155" s="8">
        <v>18.332256317138601</v>
      </c>
      <c r="K155" s="8"/>
      <c r="L155" s="8">
        <v>154</v>
      </c>
      <c r="M155" s="8">
        <v>6.1199378967285103</v>
      </c>
      <c r="N155" s="8">
        <v>18.167301177978501</v>
      </c>
      <c r="P155" s="8">
        <f t="shared" si="11"/>
        <v>89.908341407775794</v>
      </c>
      <c r="Q155">
        <v>154</v>
      </c>
      <c r="R155">
        <v>13.0176191329956</v>
      </c>
      <c r="S155">
        <v>33.091892242431598</v>
      </c>
      <c r="U155">
        <v>154</v>
      </c>
      <c r="V155">
        <v>59.724418640136697</v>
      </c>
      <c r="W155">
        <v>33.029167175292898</v>
      </c>
      <c r="Y155">
        <v>154</v>
      </c>
      <c r="Z155">
        <v>17.166303634643501</v>
      </c>
      <c r="AA155">
        <v>33.126258850097599</v>
      </c>
    </row>
    <row r="156" spans="1:27" x14ac:dyDescent="0.25">
      <c r="A156" s="8">
        <f t="shared" si="8"/>
        <v>155</v>
      </c>
      <c r="B156" s="8">
        <f t="shared" si="9"/>
        <v>1</v>
      </c>
      <c r="C156" s="8">
        <f t="shared" si="10"/>
        <v>1095.1141967773419</v>
      </c>
      <c r="D156" s="8">
        <v>155</v>
      </c>
      <c r="E156" s="8">
        <v>397.06491088867102</v>
      </c>
      <c r="F156" s="8">
        <v>21.835384368896399</v>
      </c>
      <c r="G156" s="8"/>
      <c r="H156" s="8">
        <v>155</v>
      </c>
      <c r="I156" s="8">
        <v>434.022857666015</v>
      </c>
      <c r="J156" s="8">
        <v>22.534347534179599</v>
      </c>
      <c r="K156" s="8"/>
      <c r="L156" s="8">
        <v>155</v>
      </c>
      <c r="M156" s="8">
        <v>264.02642822265602</v>
      </c>
      <c r="N156" s="8">
        <v>21.527057647705</v>
      </c>
      <c r="P156" s="8">
        <f t="shared" si="11"/>
        <v>616.23672485351494</v>
      </c>
      <c r="Q156">
        <v>155</v>
      </c>
      <c r="R156">
        <v>101.775390625</v>
      </c>
      <c r="S156">
        <v>46.316513061523402</v>
      </c>
      <c r="U156">
        <v>155</v>
      </c>
      <c r="V156">
        <v>408.14990234375</v>
      </c>
      <c r="W156">
        <v>46.114849090576101</v>
      </c>
      <c r="Y156">
        <v>155</v>
      </c>
      <c r="Z156">
        <v>106.311431884765</v>
      </c>
      <c r="AA156">
        <v>46.094711303710902</v>
      </c>
    </row>
    <row r="157" spans="1:27" x14ac:dyDescent="0.25">
      <c r="A157" s="8">
        <f t="shared" si="8"/>
        <v>156</v>
      </c>
      <c r="B157" s="8">
        <f t="shared" si="9"/>
        <v>1</v>
      </c>
      <c r="C157" s="8">
        <f t="shared" si="10"/>
        <v>461.76999664306499</v>
      </c>
      <c r="D157" s="8">
        <v>156</v>
      </c>
      <c r="E157" s="8">
        <v>164.77185058593699</v>
      </c>
      <c r="F157" s="8">
        <v>32.251979827880803</v>
      </c>
      <c r="G157" s="8"/>
      <c r="H157" s="8">
        <v>156</v>
      </c>
      <c r="I157" s="8">
        <v>185.01263427734301</v>
      </c>
      <c r="J157" s="8">
        <v>33.122154235839801</v>
      </c>
      <c r="K157" s="8"/>
      <c r="L157" s="8">
        <v>156</v>
      </c>
      <c r="M157" s="8">
        <v>111.985511779785</v>
      </c>
      <c r="N157" s="8">
        <v>32.041393280029297</v>
      </c>
      <c r="P157" s="8">
        <f t="shared" si="11"/>
        <v>208.81404113769429</v>
      </c>
      <c r="Q157">
        <v>156</v>
      </c>
      <c r="R157">
        <v>34.523303985595703</v>
      </c>
      <c r="S157">
        <v>46.383445739746001</v>
      </c>
      <c r="U157">
        <v>156</v>
      </c>
      <c r="V157">
        <v>138.178451538085</v>
      </c>
      <c r="W157">
        <v>46.275115966796797</v>
      </c>
      <c r="Y157">
        <v>156</v>
      </c>
      <c r="Z157">
        <v>36.112285614013601</v>
      </c>
      <c r="AA157">
        <v>46.240589141845703</v>
      </c>
    </row>
    <row r="158" spans="1:27" x14ac:dyDescent="0.25">
      <c r="A158" s="8">
        <f t="shared" si="8"/>
        <v>157</v>
      </c>
      <c r="B158" s="8">
        <f t="shared" si="9"/>
        <v>1</v>
      </c>
      <c r="C158" s="8">
        <f t="shared" si="10"/>
        <v>355.13117980956804</v>
      </c>
      <c r="D158" s="8">
        <v>157</v>
      </c>
      <c r="E158" s="8">
        <v>107.685417175292</v>
      </c>
      <c r="F158" s="8">
        <v>39.047176361083899</v>
      </c>
      <c r="G158" s="8"/>
      <c r="H158" s="8">
        <v>157</v>
      </c>
      <c r="I158" s="8">
        <v>124.06273651123</v>
      </c>
      <c r="J158" s="8">
        <v>41.526893615722599</v>
      </c>
      <c r="K158" s="8"/>
      <c r="L158" s="8">
        <v>157</v>
      </c>
      <c r="M158" s="8">
        <v>123.38302612304599</v>
      </c>
      <c r="N158" s="8">
        <v>39.778003692626903</v>
      </c>
      <c r="P158" s="8">
        <f t="shared" si="11"/>
        <v>315.97288513183503</v>
      </c>
      <c r="Q158">
        <v>157</v>
      </c>
      <c r="R158">
        <v>32.961666107177699</v>
      </c>
      <c r="S158">
        <v>45.503463745117102</v>
      </c>
      <c r="U158">
        <v>157</v>
      </c>
      <c r="V158">
        <v>222.48580932617099</v>
      </c>
      <c r="W158">
        <v>45.592945098876903</v>
      </c>
      <c r="Y158">
        <v>157</v>
      </c>
      <c r="Z158">
        <v>60.5254096984863</v>
      </c>
      <c r="AA158">
        <v>46.477951049804602</v>
      </c>
    </row>
    <row r="159" spans="1:27" x14ac:dyDescent="0.25">
      <c r="A159" s="8">
        <f t="shared" si="8"/>
        <v>158</v>
      </c>
      <c r="B159" s="8">
        <f t="shared" si="9"/>
        <v>1</v>
      </c>
      <c r="C159" s="8">
        <f t="shared" si="10"/>
        <v>755.62361145019304</v>
      </c>
      <c r="D159" s="8">
        <v>158</v>
      </c>
      <c r="E159" s="8">
        <v>269.62664794921801</v>
      </c>
      <c r="F159" s="8">
        <v>33.658836364746001</v>
      </c>
      <c r="G159" s="8"/>
      <c r="H159" s="8">
        <v>158</v>
      </c>
      <c r="I159" s="8">
        <v>302.747955322265</v>
      </c>
      <c r="J159" s="8">
        <v>34.529014587402301</v>
      </c>
      <c r="K159" s="8"/>
      <c r="L159" s="8">
        <v>158</v>
      </c>
      <c r="M159" s="8">
        <v>183.24900817871</v>
      </c>
      <c r="N159" s="8">
        <v>33.448249816894503</v>
      </c>
      <c r="P159" s="8">
        <f t="shared" si="11"/>
        <v>347.13903427123967</v>
      </c>
      <c r="Q159">
        <v>158</v>
      </c>
      <c r="R159">
        <v>36.313976287841797</v>
      </c>
      <c r="S159">
        <v>42.801010131835902</v>
      </c>
      <c r="U159">
        <v>158</v>
      </c>
      <c r="V159">
        <v>243.24353027343699</v>
      </c>
      <c r="W159">
        <v>42.990062713622997</v>
      </c>
      <c r="Y159">
        <v>158</v>
      </c>
      <c r="Z159">
        <v>67.581527709960895</v>
      </c>
      <c r="AA159">
        <v>43.702053070068303</v>
      </c>
    </row>
    <row r="160" spans="1:27" x14ac:dyDescent="0.25">
      <c r="A160" s="8">
        <f t="shared" si="8"/>
        <v>159</v>
      </c>
      <c r="B160" s="8">
        <f t="shared" si="9"/>
        <v>1</v>
      </c>
      <c r="C160" s="8">
        <f t="shared" si="10"/>
        <v>292.03044128417866</v>
      </c>
      <c r="D160" s="8">
        <v>159</v>
      </c>
      <c r="E160" s="8">
        <v>105.88396453857401</v>
      </c>
      <c r="F160" s="8">
        <v>22.716241836547798</v>
      </c>
      <c r="G160" s="8"/>
      <c r="H160" s="8">
        <v>159</v>
      </c>
      <c r="I160" s="8">
        <v>115.73942565917901</v>
      </c>
      <c r="J160" s="8">
        <v>23.415205001831001</v>
      </c>
      <c r="K160" s="8"/>
      <c r="L160" s="8">
        <v>159</v>
      </c>
      <c r="M160" s="8">
        <v>70.407051086425696</v>
      </c>
      <c r="N160" s="8">
        <v>22.407915115356399</v>
      </c>
      <c r="P160" s="8">
        <f t="shared" si="11"/>
        <v>583.03865814208893</v>
      </c>
      <c r="Q160">
        <v>159</v>
      </c>
      <c r="R160">
        <v>98.505035400390597</v>
      </c>
      <c r="S160">
        <v>45.947086334228501</v>
      </c>
      <c r="U160">
        <v>159</v>
      </c>
      <c r="V160">
        <v>385.68646240234301</v>
      </c>
      <c r="W160">
        <v>45.683864593505803</v>
      </c>
      <c r="Y160">
        <v>159</v>
      </c>
      <c r="Z160">
        <v>98.847160339355398</v>
      </c>
      <c r="AA160">
        <v>46.019432067871001</v>
      </c>
    </row>
    <row r="161" spans="1:27" x14ac:dyDescent="0.25">
      <c r="A161" s="8">
        <f t="shared" si="8"/>
        <v>160</v>
      </c>
      <c r="B161" s="8">
        <f t="shared" si="9"/>
        <v>1</v>
      </c>
      <c r="C161" s="8">
        <f t="shared" si="10"/>
        <v>6.39763832092284</v>
      </c>
      <c r="D161" s="8">
        <v>160</v>
      </c>
      <c r="E161" s="8">
        <v>1.9637632369995099</v>
      </c>
      <c r="F161" s="8">
        <v>21.330406188964801</v>
      </c>
      <c r="G161" s="8"/>
      <c r="H161" s="8">
        <v>160</v>
      </c>
      <c r="I161" s="8">
        <v>2.2891201972961399</v>
      </c>
      <c r="J161" s="8">
        <v>21.6515789031982</v>
      </c>
      <c r="K161" s="8"/>
      <c r="L161" s="8">
        <v>160</v>
      </c>
      <c r="M161" s="8">
        <v>2.1447548866271902</v>
      </c>
      <c r="N161" s="8">
        <v>21.434047698974599</v>
      </c>
      <c r="P161" s="8">
        <f t="shared" si="11"/>
        <v>197.7162742614745</v>
      </c>
      <c r="Q161">
        <v>160</v>
      </c>
      <c r="R161">
        <v>33.4331855773925</v>
      </c>
      <c r="S161">
        <v>46.014019012451101</v>
      </c>
      <c r="U161">
        <v>160</v>
      </c>
      <c r="V161">
        <v>130.690673828125</v>
      </c>
      <c r="W161">
        <v>45.844131469726499</v>
      </c>
      <c r="Y161">
        <v>160</v>
      </c>
      <c r="Z161">
        <v>33.592414855957003</v>
      </c>
      <c r="AA161">
        <v>46.165309906005803</v>
      </c>
    </row>
    <row r="162" spans="1:27" x14ac:dyDescent="0.25">
      <c r="A162" s="8">
        <f t="shared" si="8"/>
        <v>161</v>
      </c>
      <c r="B162" s="8">
        <f t="shared" si="9"/>
        <v>1</v>
      </c>
      <c r="C162" s="8">
        <f t="shared" si="10"/>
        <v>6.2392203807830704</v>
      </c>
      <c r="D162" s="8">
        <v>161</v>
      </c>
      <c r="E162" s="8">
        <v>2.7359747886657702</v>
      </c>
      <c r="F162" s="8">
        <v>20.360527038574201</v>
      </c>
      <c r="G162" s="8"/>
      <c r="H162" s="8">
        <v>161</v>
      </c>
      <c r="I162" s="8">
        <v>1.97873830795288</v>
      </c>
      <c r="J162" s="8">
        <v>20.514225006103501</v>
      </c>
      <c r="K162" s="8"/>
      <c r="L162" s="8">
        <v>161</v>
      </c>
      <c r="M162" s="8">
        <v>1.5245072841644201</v>
      </c>
      <c r="N162" s="8">
        <v>20.3672561645507</v>
      </c>
      <c r="P162" s="8">
        <f t="shared" si="11"/>
        <v>405.84499359130848</v>
      </c>
      <c r="Q162">
        <v>161</v>
      </c>
      <c r="R162">
        <v>45.639175415038999</v>
      </c>
      <c r="S162">
        <v>43.024276733398402</v>
      </c>
      <c r="U162">
        <v>161</v>
      </c>
      <c r="V162">
        <v>279.13330078125</v>
      </c>
      <c r="W162">
        <v>43.045608520507798</v>
      </c>
      <c r="Y162">
        <v>161</v>
      </c>
      <c r="Z162">
        <v>81.072517395019503</v>
      </c>
      <c r="AA162">
        <v>43.841747283935497</v>
      </c>
    </row>
    <row r="163" spans="1:27" x14ac:dyDescent="0.25">
      <c r="A163" s="8">
        <f t="shared" si="8"/>
        <v>162</v>
      </c>
      <c r="B163" s="8">
        <f t="shared" si="9"/>
        <v>1</v>
      </c>
      <c r="C163" s="8">
        <f t="shared" si="10"/>
        <v>6.2392203807830704</v>
      </c>
      <c r="D163" s="8">
        <v>162</v>
      </c>
      <c r="E163" s="8">
        <v>2.7359747886657702</v>
      </c>
      <c r="F163" s="8">
        <v>19.062068939208899</v>
      </c>
      <c r="G163" s="8"/>
      <c r="H163" s="8">
        <v>162</v>
      </c>
      <c r="I163" s="8">
        <v>1.97873830795288</v>
      </c>
      <c r="J163" s="8">
        <v>19.214937210083001</v>
      </c>
      <c r="K163" s="8"/>
      <c r="L163" s="8">
        <v>162</v>
      </c>
      <c r="M163" s="8">
        <v>1.5245072841644201</v>
      </c>
      <c r="N163" s="8">
        <v>19.067613601684499</v>
      </c>
      <c r="P163" s="8">
        <f t="shared" si="11"/>
        <v>370.43598175048737</v>
      </c>
      <c r="Q163">
        <v>162</v>
      </c>
      <c r="R163">
        <v>42.201271057128899</v>
      </c>
      <c r="S163">
        <v>45.726730346679602</v>
      </c>
      <c r="U163">
        <v>162</v>
      </c>
      <c r="V163">
        <v>253.89985656738199</v>
      </c>
      <c r="W163">
        <v>45.648483276367102</v>
      </c>
      <c r="Y163">
        <v>162</v>
      </c>
      <c r="Z163">
        <v>74.334854125976506</v>
      </c>
      <c r="AA163">
        <v>46.617645263671797</v>
      </c>
    </row>
    <row r="164" spans="1:27" x14ac:dyDescent="0.25">
      <c r="A164" s="8">
        <f t="shared" si="8"/>
        <v>163</v>
      </c>
      <c r="B164" s="8">
        <f t="shared" si="9"/>
        <v>1</v>
      </c>
      <c r="C164" s="8">
        <f t="shared" si="10"/>
        <v>473.62649536132699</v>
      </c>
      <c r="D164" s="8">
        <v>163</v>
      </c>
      <c r="E164" s="8">
        <v>140.89938354492099</v>
      </c>
      <c r="F164" s="8">
        <v>29.816644668579102</v>
      </c>
      <c r="G164" s="8"/>
      <c r="H164" s="8">
        <v>163</v>
      </c>
      <c r="I164" s="8">
        <v>175.96240234375</v>
      </c>
      <c r="J164" s="8">
        <v>29.961257934570298</v>
      </c>
      <c r="K164" s="8"/>
      <c r="L164" s="8">
        <v>163</v>
      </c>
      <c r="M164" s="8">
        <v>156.76470947265599</v>
      </c>
      <c r="N164" s="8">
        <v>29.899339675903299</v>
      </c>
      <c r="P164" s="8">
        <f t="shared" si="11"/>
        <v>228.75195884704542</v>
      </c>
      <c r="Q164">
        <v>163</v>
      </c>
      <c r="R164">
        <v>24.9647197723388</v>
      </c>
      <c r="S164">
        <v>26.351844787597599</v>
      </c>
      <c r="U164">
        <v>163</v>
      </c>
      <c r="V164">
        <v>159.73544311523401</v>
      </c>
      <c r="W164">
        <v>26.266921997070298</v>
      </c>
      <c r="Y164">
        <v>163</v>
      </c>
      <c r="Z164">
        <v>44.051795959472599</v>
      </c>
      <c r="AA164">
        <v>26.8795051574707</v>
      </c>
    </row>
    <row r="165" spans="1:27" x14ac:dyDescent="0.25">
      <c r="A165" s="8">
        <f t="shared" si="8"/>
        <v>164</v>
      </c>
      <c r="B165" s="8">
        <f t="shared" si="9"/>
        <v>1</v>
      </c>
      <c r="C165" s="8">
        <f t="shared" si="10"/>
        <v>84.200256347656108</v>
      </c>
      <c r="D165" s="8">
        <v>164</v>
      </c>
      <c r="E165" s="8">
        <v>25.0487747192382</v>
      </c>
      <c r="F165" s="8">
        <v>28.567081451416001</v>
      </c>
      <c r="G165" s="8"/>
      <c r="H165" s="8">
        <v>164</v>
      </c>
      <c r="I165" s="8">
        <v>31.282199859619102</v>
      </c>
      <c r="J165" s="8">
        <v>28.693954467773398</v>
      </c>
      <c r="K165" s="8"/>
      <c r="L165" s="8">
        <v>164</v>
      </c>
      <c r="M165" s="8">
        <v>27.8692817687988</v>
      </c>
      <c r="N165" s="8">
        <v>28.636983871459901</v>
      </c>
      <c r="P165" s="8">
        <f t="shared" si="11"/>
        <v>241.74341583251939</v>
      </c>
      <c r="Q165">
        <v>164</v>
      </c>
      <c r="R165">
        <v>38.318687438964801</v>
      </c>
      <c r="S165">
        <v>27.114372253417901</v>
      </c>
      <c r="U165">
        <v>164</v>
      </c>
      <c r="V165">
        <v>160.62939453125</v>
      </c>
      <c r="W165">
        <v>26.759750366210898</v>
      </c>
      <c r="Y165">
        <v>164</v>
      </c>
      <c r="Z165">
        <v>42.795333862304602</v>
      </c>
      <c r="AA165">
        <v>26.845703125</v>
      </c>
    </row>
    <row r="166" spans="1:27" x14ac:dyDescent="0.25">
      <c r="A166" s="8">
        <f t="shared" si="8"/>
        <v>165</v>
      </c>
      <c r="B166" s="8">
        <f t="shared" si="9"/>
        <v>1</v>
      </c>
      <c r="C166" s="8">
        <f t="shared" si="10"/>
        <v>31.217429161071628</v>
      </c>
      <c r="D166" s="8">
        <v>165</v>
      </c>
      <c r="E166" s="8">
        <v>9.7131252288818306</v>
      </c>
      <c r="F166" s="8">
        <v>28.899812698364201</v>
      </c>
      <c r="G166" s="8"/>
      <c r="H166" s="8">
        <v>165</v>
      </c>
      <c r="I166" s="8">
        <v>11.1941013336181</v>
      </c>
      <c r="J166" s="8">
        <v>29.048343658447202</v>
      </c>
      <c r="K166" s="8"/>
      <c r="L166" s="8">
        <v>165</v>
      </c>
      <c r="M166" s="8">
        <v>10.310202598571699</v>
      </c>
      <c r="N166" s="8">
        <v>28.973485946655199</v>
      </c>
      <c r="P166" s="8">
        <f t="shared" si="11"/>
        <v>133.59057235717759</v>
      </c>
      <c r="Q166">
        <v>165</v>
      </c>
      <c r="R166">
        <v>14.7466526031494</v>
      </c>
      <c r="S166">
        <v>27.5885314941406</v>
      </c>
      <c r="U166">
        <v>165</v>
      </c>
      <c r="V166">
        <v>93.253768920898395</v>
      </c>
      <c r="W166">
        <v>27.500572204589801</v>
      </c>
      <c r="Y166">
        <v>165</v>
      </c>
      <c r="Z166">
        <v>25.590150833129801</v>
      </c>
      <c r="AA166">
        <v>28.120986938476499</v>
      </c>
    </row>
    <row r="167" spans="1:27" x14ac:dyDescent="0.25">
      <c r="A167" s="8">
        <f t="shared" si="8"/>
        <v>166</v>
      </c>
      <c r="B167" s="8">
        <f t="shared" si="9"/>
        <v>1</v>
      </c>
      <c r="C167" s="8">
        <f t="shared" si="10"/>
        <v>365.20625305175599</v>
      </c>
      <c r="D167" s="8">
        <v>166</v>
      </c>
      <c r="E167" s="8">
        <v>111.341438293457</v>
      </c>
      <c r="F167" s="8">
        <v>30.422456741333001</v>
      </c>
      <c r="G167" s="8"/>
      <c r="H167" s="8">
        <v>166</v>
      </c>
      <c r="I167" s="8">
        <v>139.34346008300699</v>
      </c>
      <c r="J167" s="8">
        <v>30.6685466766357</v>
      </c>
      <c r="K167" s="8"/>
      <c r="L167" s="8">
        <v>166</v>
      </c>
      <c r="M167" s="8">
        <v>114.521354675292</v>
      </c>
      <c r="N167" s="8">
        <v>30.5040473937988</v>
      </c>
      <c r="P167" s="8">
        <f t="shared" si="11"/>
        <v>82.849034309387093</v>
      </c>
      <c r="Q167">
        <v>166</v>
      </c>
      <c r="R167">
        <v>13.171679496765099</v>
      </c>
      <c r="S167">
        <v>27.181301116943299</v>
      </c>
      <c r="U167">
        <v>166</v>
      </c>
      <c r="V167">
        <v>54.962146759033203</v>
      </c>
      <c r="W167">
        <v>26.9200134277343</v>
      </c>
      <c r="Y167">
        <v>166</v>
      </c>
      <c r="Z167">
        <v>14.7152080535888</v>
      </c>
      <c r="AA167">
        <v>26.991580963134702</v>
      </c>
    </row>
    <row r="168" spans="1:27" x14ac:dyDescent="0.25">
      <c r="A168" s="8">
        <f t="shared" si="8"/>
        <v>167</v>
      </c>
      <c r="B168" s="8">
        <f t="shared" si="9"/>
        <v>1</v>
      </c>
      <c r="C168" s="8">
        <f t="shared" si="10"/>
        <v>44.7842464447019</v>
      </c>
      <c r="D168" s="8">
        <v>167</v>
      </c>
      <c r="E168" s="8">
        <v>11.605892181396401</v>
      </c>
      <c r="F168" s="8">
        <v>30.8106174468994</v>
      </c>
      <c r="G168" s="8"/>
      <c r="H168" s="8">
        <v>167</v>
      </c>
      <c r="I168" s="8">
        <v>17.585889816284102</v>
      </c>
      <c r="J168" s="8">
        <v>31.048315048217699</v>
      </c>
      <c r="K168" s="8"/>
      <c r="L168" s="8">
        <v>167</v>
      </c>
      <c r="M168" s="8">
        <v>15.592464447021401</v>
      </c>
      <c r="N168" s="8">
        <v>30.895837783813398</v>
      </c>
      <c r="P168" s="8">
        <f t="shared" si="11"/>
        <v>160.03970909118547</v>
      </c>
      <c r="Q168">
        <v>167</v>
      </c>
      <c r="R168">
        <v>27.904766082763601</v>
      </c>
      <c r="S168">
        <v>48.340625762939403</v>
      </c>
      <c r="U168">
        <v>167</v>
      </c>
      <c r="V168">
        <v>103.15890502929599</v>
      </c>
      <c r="W168">
        <v>48.336814880371001</v>
      </c>
      <c r="Y168">
        <v>167</v>
      </c>
      <c r="Z168">
        <v>28.976037979125898</v>
      </c>
      <c r="AA168">
        <v>48.579097747802699</v>
      </c>
    </row>
    <row r="169" spans="1:27" x14ac:dyDescent="0.25">
      <c r="A169" s="8">
        <f t="shared" si="8"/>
        <v>168</v>
      </c>
      <c r="B169" s="8">
        <f t="shared" si="9"/>
        <v>1</v>
      </c>
      <c r="C169" s="8">
        <f t="shared" si="10"/>
        <v>73.041252136230298</v>
      </c>
      <c r="D169" s="8">
        <v>168</v>
      </c>
      <c r="E169" s="8">
        <v>22.268291473388601</v>
      </c>
      <c r="F169" s="8">
        <v>30.422456741333001</v>
      </c>
      <c r="G169" s="8"/>
      <c r="H169" s="8">
        <v>168</v>
      </c>
      <c r="I169" s="8">
        <v>27.8686923980712</v>
      </c>
      <c r="J169" s="8">
        <v>30.6685466766357</v>
      </c>
      <c r="K169" s="8"/>
      <c r="L169" s="8">
        <v>168</v>
      </c>
      <c r="M169" s="8">
        <v>22.904268264770501</v>
      </c>
      <c r="N169" s="8">
        <v>30.5040473937988</v>
      </c>
      <c r="P169" s="8">
        <f t="shared" si="11"/>
        <v>701.34400177001703</v>
      </c>
      <c r="Q169">
        <v>168</v>
      </c>
      <c r="R169">
        <v>122.120315551757</v>
      </c>
      <c r="S169">
        <v>48.273693084716797</v>
      </c>
      <c r="U169">
        <v>168</v>
      </c>
      <c r="V169">
        <v>451.82122802734301</v>
      </c>
      <c r="W169">
        <v>48.176548004150298</v>
      </c>
      <c r="Y169">
        <v>168</v>
      </c>
      <c r="Z169">
        <v>127.402458190917</v>
      </c>
      <c r="AA169">
        <v>48.433219909667898</v>
      </c>
    </row>
    <row r="170" spans="1:27" x14ac:dyDescent="0.25">
      <c r="A170" s="8">
        <f t="shared" si="8"/>
        <v>169</v>
      </c>
      <c r="B170" s="8">
        <f t="shared" si="9"/>
        <v>1</v>
      </c>
      <c r="C170" s="8">
        <f t="shared" si="10"/>
        <v>65.832286834716598</v>
      </c>
      <c r="D170" s="8">
        <v>169</v>
      </c>
      <c r="E170" s="8">
        <v>17.156789779663001</v>
      </c>
      <c r="F170" s="8">
        <v>35.435756683349602</v>
      </c>
      <c r="G170" s="8"/>
      <c r="H170" s="8">
        <v>169</v>
      </c>
      <c r="I170" s="8">
        <v>25.6944866180419</v>
      </c>
      <c r="J170" s="8">
        <v>35.706493377685497</v>
      </c>
      <c r="K170" s="8"/>
      <c r="L170" s="8">
        <v>169</v>
      </c>
      <c r="M170" s="8">
        <v>22.981010437011701</v>
      </c>
      <c r="N170" s="8">
        <v>35.552249908447202</v>
      </c>
      <c r="P170" s="8">
        <f t="shared" si="11"/>
        <v>444.86604690551667</v>
      </c>
      <c r="Q170">
        <v>169</v>
      </c>
      <c r="R170">
        <v>48.4402656555175</v>
      </c>
      <c r="S170">
        <v>46.135238647460902</v>
      </c>
      <c r="U170">
        <v>169</v>
      </c>
      <c r="V170">
        <v>305.20870971679602</v>
      </c>
      <c r="W170">
        <v>46.412174224853501</v>
      </c>
      <c r="Y170">
        <v>169</v>
      </c>
      <c r="Z170">
        <v>91.217071533203097</v>
      </c>
      <c r="AA170">
        <v>47.232185363769503</v>
      </c>
    </row>
    <row r="171" spans="1:27" x14ac:dyDescent="0.25">
      <c r="A171" s="8">
        <f t="shared" si="8"/>
        <v>170</v>
      </c>
      <c r="B171" s="8">
        <f t="shared" si="9"/>
        <v>1</v>
      </c>
      <c r="C171" s="8">
        <f t="shared" si="10"/>
        <v>233.57353973388661</v>
      </c>
      <c r="D171" s="8">
        <v>170</v>
      </c>
      <c r="E171" s="8">
        <v>83.174156188964801</v>
      </c>
      <c r="F171" s="8">
        <v>24.883308410644499</v>
      </c>
      <c r="G171" s="8"/>
      <c r="H171" s="8">
        <v>170</v>
      </c>
      <c r="I171" s="8">
        <v>78.813117980957003</v>
      </c>
      <c r="J171" s="8">
        <v>25.236949920654201</v>
      </c>
      <c r="K171" s="8"/>
      <c r="L171" s="8">
        <v>170</v>
      </c>
      <c r="M171" s="8">
        <v>71.586265563964801</v>
      </c>
      <c r="N171" s="8">
        <v>25.083202362060501</v>
      </c>
      <c r="P171" s="8">
        <f t="shared" si="11"/>
        <v>418.58103942871003</v>
      </c>
      <c r="Q171">
        <v>170</v>
      </c>
      <c r="R171">
        <v>45.690902709960902</v>
      </c>
      <c r="S171">
        <v>47.371921539306598</v>
      </c>
      <c r="U171">
        <v>170</v>
      </c>
      <c r="V171">
        <v>286.82296752929602</v>
      </c>
      <c r="W171">
        <v>47.645824432372997</v>
      </c>
      <c r="Y171">
        <v>170</v>
      </c>
      <c r="Z171">
        <v>86.067169189453097</v>
      </c>
      <c r="AA171">
        <v>48.473670959472599</v>
      </c>
    </row>
    <row r="172" spans="1:27" x14ac:dyDescent="0.25">
      <c r="A172" s="8">
        <f t="shared" si="8"/>
        <v>171</v>
      </c>
      <c r="B172" s="8">
        <f t="shared" si="9"/>
        <v>1</v>
      </c>
      <c r="C172" s="8">
        <f t="shared" si="10"/>
        <v>268.6678848266601</v>
      </c>
      <c r="D172" s="8">
        <v>171</v>
      </c>
      <c r="E172" s="8">
        <v>94.041038513183594</v>
      </c>
      <c r="F172" s="8">
        <v>32.086124420166001</v>
      </c>
      <c r="G172" s="8"/>
      <c r="H172" s="8">
        <v>171</v>
      </c>
      <c r="I172" s="8">
        <v>92.398918151855398</v>
      </c>
      <c r="J172" s="8">
        <v>32.460964202880803</v>
      </c>
      <c r="K172" s="8"/>
      <c r="L172" s="8">
        <v>171</v>
      </c>
      <c r="M172" s="8">
        <v>82.227928161621094</v>
      </c>
      <c r="N172" s="8">
        <v>32.294651031494098</v>
      </c>
      <c r="P172" s="8">
        <f t="shared" si="11"/>
        <v>78.641842842101951</v>
      </c>
      <c r="Q172">
        <v>171</v>
      </c>
      <c r="R172">
        <v>8.3491010665893501</v>
      </c>
      <c r="S172">
        <v>36.376758575439403</v>
      </c>
      <c r="U172">
        <v>171</v>
      </c>
      <c r="V172">
        <v>55.970378875732401</v>
      </c>
      <c r="W172">
        <v>36.517566680908203</v>
      </c>
      <c r="Y172">
        <v>171</v>
      </c>
      <c r="Z172">
        <v>14.322362899780201</v>
      </c>
      <c r="AA172">
        <v>37.263683319091797</v>
      </c>
    </row>
    <row r="173" spans="1:27" x14ac:dyDescent="0.25">
      <c r="A173" s="8">
        <f t="shared" si="8"/>
        <v>172</v>
      </c>
      <c r="B173" s="8">
        <f t="shared" si="9"/>
        <v>1</v>
      </c>
      <c r="C173" s="8">
        <f t="shared" si="10"/>
        <v>432.73638153076001</v>
      </c>
      <c r="D173" s="8">
        <v>172</v>
      </c>
      <c r="E173" s="8">
        <v>151.10536193847599</v>
      </c>
      <c r="F173" s="8">
        <v>29.737695693969702</v>
      </c>
      <c r="G173" s="8"/>
      <c r="H173" s="8">
        <v>172</v>
      </c>
      <c r="I173" s="8">
        <v>160.25868225097599</v>
      </c>
      <c r="J173" s="8">
        <v>30.322084426879801</v>
      </c>
      <c r="K173" s="8"/>
      <c r="L173" s="8">
        <v>172</v>
      </c>
      <c r="M173" s="8">
        <v>121.372337341308</v>
      </c>
      <c r="N173" s="8">
        <v>30.023166656494102</v>
      </c>
      <c r="P173" s="8">
        <f t="shared" si="11"/>
        <v>101.72805595397941</v>
      </c>
      <c r="Q173">
        <v>172</v>
      </c>
      <c r="R173">
        <v>17.9163608551025</v>
      </c>
      <c r="S173">
        <v>38.2173652648925</v>
      </c>
      <c r="U173">
        <v>172</v>
      </c>
      <c r="V173">
        <v>65.805641174316406</v>
      </c>
      <c r="W173">
        <v>38.067417144775298</v>
      </c>
      <c r="Y173">
        <v>172</v>
      </c>
      <c r="Z173">
        <v>18.006053924560501</v>
      </c>
      <c r="AA173">
        <v>38.031867980957003</v>
      </c>
    </row>
    <row r="174" spans="1:27" x14ac:dyDescent="0.25">
      <c r="A174" s="8">
        <f t="shared" si="8"/>
        <v>173</v>
      </c>
      <c r="B174" s="8">
        <f t="shared" si="9"/>
        <v>1</v>
      </c>
      <c r="C174" s="8">
        <f t="shared" si="10"/>
        <v>105.1303005218505</v>
      </c>
      <c r="D174" s="8">
        <v>173</v>
      </c>
      <c r="E174" s="8">
        <v>36.869094848632798</v>
      </c>
      <c r="F174" s="8">
        <v>25.0903511047363</v>
      </c>
      <c r="G174" s="8"/>
      <c r="H174" s="8">
        <v>173</v>
      </c>
      <c r="I174" s="8">
        <v>38.664543151855398</v>
      </c>
      <c r="J174" s="8">
        <v>25.657171249389599</v>
      </c>
      <c r="K174" s="8"/>
      <c r="L174" s="8">
        <v>173</v>
      </c>
      <c r="M174" s="8">
        <v>29.596662521362301</v>
      </c>
      <c r="N174" s="8">
        <v>25.370557785034102</v>
      </c>
      <c r="P174" s="8">
        <f t="shared" si="11"/>
        <v>39.029184818267808</v>
      </c>
      <c r="Q174">
        <v>173</v>
      </c>
      <c r="R174">
        <v>4.8166508674621502</v>
      </c>
      <c r="S174">
        <v>32.5119819641113</v>
      </c>
      <c r="U174">
        <v>173</v>
      </c>
      <c r="V174">
        <v>25.794189453125</v>
      </c>
      <c r="W174">
        <v>33.419464111328097</v>
      </c>
      <c r="Y174">
        <v>173</v>
      </c>
      <c r="Z174">
        <v>8.4183444976806605</v>
      </c>
      <c r="AA174">
        <v>33.637542724609297</v>
      </c>
    </row>
    <row r="175" spans="1:27" x14ac:dyDescent="0.25">
      <c r="A175" s="8">
        <f t="shared" si="8"/>
        <v>174</v>
      </c>
      <c r="B175" s="8">
        <f t="shared" si="9"/>
        <v>1</v>
      </c>
      <c r="C175" s="8">
        <f t="shared" si="10"/>
        <v>22.203183650970448</v>
      </c>
      <c r="D175" s="8">
        <v>174</v>
      </c>
      <c r="E175" s="8">
        <v>7.28830814361572</v>
      </c>
      <c r="F175" s="8">
        <v>22.549110412597599</v>
      </c>
      <c r="G175" s="8"/>
      <c r="H175" s="8">
        <v>174</v>
      </c>
      <c r="I175" s="8">
        <v>9.9972906112670898</v>
      </c>
      <c r="J175" s="8">
        <v>22.873874664306602</v>
      </c>
      <c r="K175" s="8"/>
      <c r="L175" s="8">
        <v>174</v>
      </c>
      <c r="M175" s="8">
        <v>4.9175848960876403</v>
      </c>
      <c r="N175" s="8">
        <v>22.686372756958001</v>
      </c>
      <c r="P175" s="8">
        <f t="shared" si="11"/>
        <v>823.78436279296807</v>
      </c>
      <c r="Q175">
        <v>174</v>
      </c>
      <c r="R175">
        <v>131.89733886718699</v>
      </c>
      <c r="S175">
        <v>78.457534790039006</v>
      </c>
      <c r="U175">
        <v>174</v>
      </c>
      <c r="V175">
        <v>540.36279296875</v>
      </c>
      <c r="W175">
        <v>79.982948303222599</v>
      </c>
      <c r="Y175">
        <v>174</v>
      </c>
      <c r="Z175">
        <v>151.52423095703099</v>
      </c>
      <c r="AA175">
        <v>80.476493835449205</v>
      </c>
    </row>
    <row r="176" spans="1:27" x14ac:dyDescent="0.25">
      <c r="A176" s="8">
        <f t="shared" si="8"/>
        <v>175</v>
      </c>
      <c r="B176" s="8">
        <f t="shared" si="9"/>
        <v>1</v>
      </c>
      <c r="C176" s="8">
        <f t="shared" si="10"/>
        <v>0.1881086677312849</v>
      </c>
      <c r="D176" s="8">
        <v>175</v>
      </c>
      <c r="E176" s="8">
        <v>3.8980010896921102E-2</v>
      </c>
      <c r="F176" s="8">
        <v>7.8369150161743102</v>
      </c>
      <c r="G176" s="8"/>
      <c r="H176" s="8">
        <v>175</v>
      </c>
      <c r="I176" s="8">
        <v>9.8996244370937306E-2</v>
      </c>
      <c r="J176" s="8">
        <v>7.8533124923706001</v>
      </c>
      <c r="K176" s="8"/>
      <c r="L176" s="8">
        <v>175</v>
      </c>
      <c r="M176" s="8">
        <v>5.01324124634265E-2</v>
      </c>
      <c r="N176" s="8">
        <v>7.8471412658691397</v>
      </c>
      <c r="P176" s="8">
        <f t="shared" si="11"/>
        <v>83.178216934203903</v>
      </c>
      <c r="Q176">
        <v>175</v>
      </c>
      <c r="R176">
        <v>15.2184295654296</v>
      </c>
      <c r="S176">
        <v>34.840972900390597</v>
      </c>
      <c r="U176">
        <v>175</v>
      </c>
      <c r="V176">
        <v>54.341091156005803</v>
      </c>
      <c r="W176">
        <v>35.027202606201101</v>
      </c>
      <c r="Y176">
        <v>175</v>
      </c>
      <c r="Z176">
        <v>13.6186962127685</v>
      </c>
      <c r="AA176">
        <v>35.199745178222599</v>
      </c>
    </row>
    <row r="177" spans="1:27" x14ac:dyDescent="0.25">
      <c r="A177" s="8">
        <f t="shared" si="8"/>
        <v>176</v>
      </c>
      <c r="B177" s="8">
        <f t="shared" si="9"/>
        <v>1</v>
      </c>
      <c r="C177" s="8">
        <f t="shared" si="10"/>
        <v>76.862625122070199</v>
      </c>
      <c r="D177" s="8">
        <v>176</v>
      </c>
      <c r="E177" s="8">
        <v>26.372901916503899</v>
      </c>
      <c r="F177" s="8">
        <v>34.501949310302699</v>
      </c>
      <c r="G177" s="8"/>
      <c r="H177" s="8">
        <v>176</v>
      </c>
      <c r="I177" s="8">
        <v>28.907537460327099</v>
      </c>
      <c r="J177" s="8">
        <v>34.964916229247997</v>
      </c>
      <c r="K177" s="8"/>
      <c r="L177" s="8">
        <v>176</v>
      </c>
      <c r="M177" s="8">
        <v>21.582185745239201</v>
      </c>
      <c r="N177" s="8">
        <v>34.808032989501903</v>
      </c>
      <c r="P177" s="8">
        <f t="shared" si="11"/>
        <v>83.178216934203903</v>
      </c>
      <c r="Q177">
        <v>176</v>
      </c>
      <c r="R177">
        <v>15.2184295654296</v>
      </c>
      <c r="S177">
        <v>32.657516479492102</v>
      </c>
      <c r="U177">
        <v>176</v>
      </c>
      <c r="V177">
        <v>54.341091156005803</v>
      </c>
      <c r="W177">
        <v>32.844234466552699</v>
      </c>
      <c r="Y177">
        <v>176</v>
      </c>
      <c r="Z177">
        <v>13.6186962127685</v>
      </c>
      <c r="AA177">
        <v>32.994167327880803</v>
      </c>
    </row>
    <row r="178" spans="1:27" x14ac:dyDescent="0.25">
      <c r="A178" s="8">
        <f t="shared" si="8"/>
        <v>177</v>
      </c>
      <c r="B178" s="8">
        <f t="shared" si="9"/>
        <v>1</v>
      </c>
      <c r="C178" s="8">
        <f t="shared" si="10"/>
        <v>225.87172698974609</v>
      </c>
      <c r="D178" s="8">
        <v>177</v>
      </c>
      <c r="E178" s="8">
        <v>72.535888671875</v>
      </c>
      <c r="F178" s="8">
        <v>31.4597454071044</v>
      </c>
      <c r="G178" s="8"/>
      <c r="H178" s="8">
        <v>177</v>
      </c>
      <c r="I178" s="8">
        <v>85.372581481933594</v>
      </c>
      <c r="J178" s="8">
        <v>31.960205078125</v>
      </c>
      <c r="K178" s="8"/>
      <c r="L178" s="8">
        <v>177</v>
      </c>
      <c r="M178" s="8">
        <v>67.9632568359375</v>
      </c>
      <c r="N178" s="8">
        <v>31.716253280639599</v>
      </c>
      <c r="P178" s="8">
        <f t="shared" si="11"/>
        <v>591.30055999755837</v>
      </c>
      <c r="Q178">
        <v>177</v>
      </c>
      <c r="R178">
        <v>87.961273193359304</v>
      </c>
      <c r="S178">
        <v>79.645454406738196</v>
      </c>
      <c r="U178">
        <v>177</v>
      </c>
      <c r="V178">
        <v>385.125732421875</v>
      </c>
      <c r="W178">
        <v>80.992370605468693</v>
      </c>
      <c r="Y178">
        <v>177</v>
      </c>
      <c r="Z178">
        <v>118.21355438232401</v>
      </c>
      <c r="AA178">
        <v>81.419548034667898</v>
      </c>
    </row>
    <row r="179" spans="1:27" x14ac:dyDescent="0.25">
      <c r="A179" s="8">
        <f t="shared" si="8"/>
        <v>178</v>
      </c>
      <c r="B179" s="8">
        <f t="shared" si="9"/>
        <v>1</v>
      </c>
      <c r="C179" s="8">
        <f t="shared" si="10"/>
        <v>21.42597198486326</v>
      </c>
      <c r="D179" s="8">
        <v>178</v>
      </c>
      <c r="E179" s="8">
        <v>7.3550610542297301</v>
      </c>
      <c r="F179" s="8">
        <v>31.7028694152832</v>
      </c>
      <c r="G179" s="8"/>
      <c r="H179" s="8">
        <v>178</v>
      </c>
      <c r="I179" s="8">
        <v>8.3888292312621999</v>
      </c>
      <c r="J179" s="8">
        <v>32.423862457275298</v>
      </c>
      <c r="K179" s="8"/>
      <c r="L179" s="8">
        <v>178</v>
      </c>
      <c r="M179" s="8">
        <v>5.6820816993713299</v>
      </c>
      <c r="N179" s="8">
        <v>31.877174377441399</v>
      </c>
      <c r="P179" s="8">
        <f t="shared" si="11"/>
        <v>2.375</v>
      </c>
      <c r="Q179">
        <v>178</v>
      </c>
      <c r="R179">
        <v>1</v>
      </c>
      <c r="S179">
        <v>12.0342454910278</v>
      </c>
      <c r="U179">
        <v>178</v>
      </c>
      <c r="V179">
        <v>0.6875</v>
      </c>
      <c r="W179">
        <v>12.0305128097534</v>
      </c>
      <c r="Y179">
        <v>178</v>
      </c>
      <c r="Z179">
        <v>0.6875</v>
      </c>
      <c r="AA179">
        <v>12.0403089523315</v>
      </c>
    </row>
    <row r="180" spans="1:27" x14ac:dyDescent="0.25">
      <c r="A180" s="8">
        <f t="shared" si="8"/>
        <v>179</v>
      </c>
      <c r="B180" s="8">
        <f t="shared" si="9"/>
        <v>1</v>
      </c>
      <c r="C180" s="8">
        <f t="shared" si="10"/>
        <v>1.960177659988402</v>
      </c>
      <c r="D180" s="8">
        <v>179</v>
      </c>
      <c r="E180" s="8">
        <v>0.70568329095840399</v>
      </c>
      <c r="F180" s="8">
        <v>6.5946021080017001</v>
      </c>
      <c r="G180" s="8"/>
      <c r="H180" s="8">
        <v>179</v>
      </c>
      <c r="I180" s="8">
        <v>0.931857049465179</v>
      </c>
      <c r="J180" s="8">
        <v>6.5999107360839799</v>
      </c>
      <c r="K180" s="8"/>
      <c r="L180" s="8">
        <v>179</v>
      </c>
      <c r="M180" s="8">
        <v>0.322637319564819</v>
      </c>
      <c r="N180" s="8">
        <v>6.60205078125</v>
      </c>
      <c r="P180" s="8">
        <f t="shared" si="11"/>
        <v>0</v>
      </c>
      <c r="Q180">
        <v>179</v>
      </c>
      <c r="R180">
        <v>0</v>
      </c>
      <c r="S180">
        <v>14.9716453552246</v>
      </c>
      <c r="U180">
        <v>179</v>
      </c>
      <c r="V180">
        <v>0</v>
      </c>
      <c r="W180">
        <v>14.881629943847599</v>
      </c>
      <c r="Y180">
        <v>179</v>
      </c>
      <c r="Z180">
        <v>0</v>
      </c>
      <c r="AA180">
        <v>14.973670959472599</v>
      </c>
    </row>
    <row r="181" spans="1:27" x14ac:dyDescent="0.25">
      <c r="A181" s="8">
        <f t="shared" si="8"/>
        <v>180</v>
      </c>
      <c r="B181" s="8">
        <f t="shared" si="9"/>
        <v>1</v>
      </c>
      <c r="C181" s="8">
        <f t="shared" si="10"/>
        <v>596.66442871093602</v>
      </c>
      <c r="D181" s="8">
        <v>180</v>
      </c>
      <c r="E181" s="8">
        <v>191.72515869140599</v>
      </c>
      <c r="F181" s="8">
        <v>31.109764099121001</v>
      </c>
      <c r="G181" s="8"/>
      <c r="H181" s="8">
        <v>180</v>
      </c>
      <c r="I181" s="8">
        <v>243.46469116210901</v>
      </c>
      <c r="J181" s="8">
        <v>31.6666450500488</v>
      </c>
      <c r="K181" s="8"/>
      <c r="L181" s="8">
        <v>180</v>
      </c>
      <c r="M181" s="8">
        <v>161.47457885742099</v>
      </c>
      <c r="N181" s="8">
        <v>31.279554367065401</v>
      </c>
      <c r="P181" s="8">
        <f t="shared" si="11"/>
        <v>14.954617023467989</v>
      </c>
      <c r="Q181">
        <v>180</v>
      </c>
      <c r="R181">
        <v>1.66228246688842</v>
      </c>
      <c r="S181">
        <v>12.5593194961547</v>
      </c>
      <c r="U181">
        <v>180</v>
      </c>
      <c r="V181">
        <v>10.180595397949199</v>
      </c>
      <c r="W181">
        <v>12.4410486221313</v>
      </c>
      <c r="Y181">
        <v>180</v>
      </c>
      <c r="Z181">
        <v>3.1117391586303702</v>
      </c>
      <c r="AA181">
        <v>12.506487846374499</v>
      </c>
    </row>
    <row r="182" spans="1:27" x14ac:dyDescent="0.25">
      <c r="A182" s="8">
        <f t="shared" si="8"/>
        <v>181</v>
      </c>
      <c r="B182" s="8">
        <f t="shared" si="9"/>
        <v>1</v>
      </c>
      <c r="C182" s="8">
        <f t="shared" si="10"/>
        <v>42.851943969726399</v>
      </c>
      <c r="D182" s="8">
        <v>181</v>
      </c>
      <c r="E182" s="8">
        <v>14.7101221084594</v>
      </c>
      <c r="F182" s="8">
        <v>31.7028694152832</v>
      </c>
      <c r="G182" s="8"/>
      <c r="H182" s="8">
        <v>181</v>
      </c>
      <c r="I182" s="8">
        <v>16.7776584625244</v>
      </c>
      <c r="J182" s="8">
        <v>32.423862457275298</v>
      </c>
      <c r="K182" s="8"/>
      <c r="L182" s="8">
        <v>181</v>
      </c>
      <c r="M182" s="8">
        <v>11.364163398742599</v>
      </c>
      <c r="N182" s="8">
        <v>31.877174377441399</v>
      </c>
      <c r="P182" s="8">
        <f t="shared" si="11"/>
        <v>1.7588623538613259</v>
      </c>
      <c r="Q182">
        <v>181</v>
      </c>
      <c r="R182">
        <v>0.1690673828125</v>
      </c>
      <c r="S182">
        <v>12.542075157165501</v>
      </c>
      <c r="U182">
        <v>181</v>
      </c>
      <c r="V182">
        <v>1.48979496955871</v>
      </c>
      <c r="W182">
        <v>12.491299629211399</v>
      </c>
      <c r="Y182">
        <v>181</v>
      </c>
      <c r="Z182">
        <v>0.10000000149011599</v>
      </c>
      <c r="AA182">
        <v>12.522818565368601</v>
      </c>
    </row>
    <row r="183" spans="1:27" x14ac:dyDescent="0.25">
      <c r="A183" s="8">
        <f t="shared" si="8"/>
        <v>182</v>
      </c>
      <c r="B183" s="8">
        <f t="shared" si="9"/>
        <v>1</v>
      </c>
      <c r="C183" s="8">
        <f t="shared" si="10"/>
        <v>0.38873660191893444</v>
      </c>
      <c r="D183" s="8">
        <v>182</v>
      </c>
      <c r="E183" s="8">
        <v>5.1831547170877401E-2</v>
      </c>
      <c r="F183" s="8">
        <v>4.9133090972900302</v>
      </c>
      <c r="G183" s="8"/>
      <c r="H183" s="8">
        <v>182</v>
      </c>
      <c r="I183" s="8">
        <v>0.23324196040630299</v>
      </c>
      <c r="J183" s="8">
        <v>4.9398040771484304</v>
      </c>
      <c r="K183" s="8"/>
      <c r="L183" s="8">
        <v>182</v>
      </c>
      <c r="M183" s="8">
        <v>0.103663094341754</v>
      </c>
      <c r="N183" s="8">
        <v>4.9206438064575098</v>
      </c>
      <c r="P183" s="8">
        <f t="shared" si="11"/>
        <v>719.31783294677598</v>
      </c>
      <c r="Q183">
        <v>182</v>
      </c>
      <c r="R183">
        <v>124.89453125</v>
      </c>
      <c r="S183">
        <v>43.4098510742187</v>
      </c>
      <c r="U183">
        <v>182</v>
      </c>
      <c r="V183">
        <v>477.37863159179602</v>
      </c>
      <c r="W183">
        <v>43.191764831542898</v>
      </c>
      <c r="Y183">
        <v>182</v>
      </c>
      <c r="Z183">
        <v>117.04467010498</v>
      </c>
      <c r="AA183">
        <v>44.214485168457003</v>
      </c>
    </row>
    <row r="184" spans="1:27" x14ac:dyDescent="0.25">
      <c r="A184" s="8">
        <f t="shared" si="8"/>
        <v>183</v>
      </c>
      <c r="B184" s="8">
        <f t="shared" si="9"/>
        <v>1</v>
      </c>
      <c r="C184" s="8">
        <f t="shared" si="10"/>
        <v>537.25318908691202</v>
      </c>
      <c r="D184" s="8">
        <v>183</v>
      </c>
      <c r="E184" s="8">
        <v>148.40541076660099</v>
      </c>
      <c r="F184" s="8">
        <v>31.4378147125244</v>
      </c>
      <c r="G184" s="8"/>
      <c r="H184" s="8">
        <v>183</v>
      </c>
      <c r="I184" s="8">
        <v>218.843490600585</v>
      </c>
      <c r="J184" s="8">
        <v>31.737308502197202</v>
      </c>
      <c r="K184" s="8"/>
      <c r="L184" s="8">
        <v>183</v>
      </c>
      <c r="M184" s="8">
        <v>170.00428771972599</v>
      </c>
      <c r="N184" s="8">
        <v>31.5260410308837</v>
      </c>
      <c r="P184" s="8">
        <f t="shared" si="11"/>
        <v>527.8726654052723</v>
      </c>
      <c r="Q184">
        <v>183</v>
      </c>
      <c r="R184">
        <v>60.754745483398402</v>
      </c>
      <c r="S184">
        <v>41.6621894836425</v>
      </c>
      <c r="U184">
        <v>183</v>
      </c>
      <c r="V184">
        <v>338.97640991210898</v>
      </c>
      <c r="W184">
        <v>41.683540344238203</v>
      </c>
      <c r="Y184">
        <v>183</v>
      </c>
      <c r="Z184">
        <v>128.141510009765</v>
      </c>
      <c r="AA184">
        <v>42.433235168457003</v>
      </c>
    </row>
    <row r="185" spans="1:27" x14ac:dyDescent="0.25">
      <c r="A185" s="8">
        <f t="shared" si="8"/>
        <v>184</v>
      </c>
      <c r="B185" s="8">
        <f t="shared" si="9"/>
        <v>1</v>
      </c>
      <c r="C185" s="8">
        <f t="shared" si="10"/>
        <v>542.33544921874898</v>
      </c>
      <c r="D185" s="8">
        <v>184</v>
      </c>
      <c r="E185" s="8">
        <v>177.313064575195</v>
      </c>
      <c r="F185" s="8">
        <v>31.991136550903299</v>
      </c>
      <c r="G185" s="8"/>
      <c r="H185" s="8">
        <v>184</v>
      </c>
      <c r="I185" s="8">
        <v>195.095458984375</v>
      </c>
      <c r="J185" s="8">
        <v>32.164829254150298</v>
      </c>
      <c r="K185" s="8"/>
      <c r="L185" s="8">
        <v>184</v>
      </c>
      <c r="M185" s="8">
        <v>169.92692565917901</v>
      </c>
      <c r="N185" s="8">
        <v>32.019382476806598</v>
      </c>
      <c r="P185" s="8">
        <f t="shared" si="11"/>
        <v>167.9576587677</v>
      </c>
      <c r="Q185">
        <v>184</v>
      </c>
      <c r="R185">
        <v>23.714441299438398</v>
      </c>
      <c r="S185">
        <v>25.945835113525298</v>
      </c>
      <c r="U185">
        <v>184</v>
      </c>
      <c r="V185">
        <v>112.27857971191401</v>
      </c>
      <c r="W185">
        <v>26.0797214508056</v>
      </c>
      <c r="Y185">
        <v>184</v>
      </c>
      <c r="Z185">
        <v>31.964637756347599</v>
      </c>
      <c r="AA185">
        <v>26.108705520629801</v>
      </c>
    </row>
    <row r="186" spans="1:27" x14ac:dyDescent="0.25">
      <c r="A186" s="8">
        <f t="shared" si="8"/>
        <v>185</v>
      </c>
      <c r="B186" s="8">
        <f t="shared" si="9"/>
        <v>1</v>
      </c>
      <c r="C186" s="8">
        <f t="shared" si="10"/>
        <v>81.500242233276197</v>
      </c>
      <c r="D186" s="8">
        <v>185</v>
      </c>
      <c r="E186" s="8">
        <v>25.418563842773398</v>
      </c>
      <c r="F186" s="8">
        <v>24.399002075195298</v>
      </c>
      <c r="G186" s="8"/>
      <c r="H186" s="8">
        <v>185</v>
      </c>
      <c r="I186" s="8">
        <v>33.509368896484297</v>
      </c>
      <c r="J186" s="8">
        <v>24.850711822509702</v>
      </c>
      <c r="K186" s="8"/>
      <c r="L186" s="8">
        <v>185</v>
      </c>
      <c r="M186" s="8">
        <v>22.572309494018501</v>
      </c>
      <c r="N186" s="8">
        <v>24.535329818725501</v>
      </c>
      <c r="P186" s="8">
        <f t="shared" si="11"/>
        <v>151.21051406860329</v>
      </c>
      <c r="Q186">
        <v>185</v>
      </c>
      <c r="R186">
        <v>20.127819061279201</v>
      </c>
      <c r="S186">
        <v>25.0570755004882</v>
      </c>
      <c r="U186">
        <v>185</v>
      </c>
      <c r="V186">
        <v>91.337081909179602</v>
      </c>
      <c r="W186">
        <v>25.530328750610298</v>
      </c>
      <c r="Y186">
        <v>185</v>
      </c>
      <c r="Z186">
        <v>39.745613098144503</v>
      </c>
      <c r="AA186">
        <v>26.001234054565401</v>
      </c>
    </row>
    <row r="187" spans="1:27" x14ac:dyDescent="0.25">
      <c r="A187" s="8">
        <f t="shared" si="8"/>
        <v>186</v>
      </c>
      <c r="B187" s="8">
        <f t="shared" si="9"/>
        <v>1</v>
      </c>
      <c r="C187" s="8">
        <f t="shared" si="10"/>
        <v>28.164888858795159</v>
      </c>
      <c r="D187" s="8">
        <v>186</v>
      </c>
      <c r="E187" s="8">
        <v>7.9647288322448704</v>
      </c>
      <c r="F187" s="8">
        <v>27.437038421630799</v>
      </c>
      <c r="G187" s="8"/>
      <c r="H187" s="8">
        <v>186</v>
      </c>
      <c r="I187" s="8">
        <v>10.381655693054199</v>
      </c>
      <c r="J187" s="8">
        <v>27.687393188476499</v>
      </c>
      <c r="K187" s="8"/>
      <c r="L187" s="8">
        <v>186</v>
      </c>
      <c r="M187" s="8">
        <v>9.8185043334960902</v>
      </c>
      <c r="N187" s="8">
        <v>27.541048049926701</v>
      </c>
      <c r="P187" s="8">
        <f t="shared" si="11"/>
        <v>73.693922042846509</v>
      </c>
      <c r="Q187">
        <v>186</v>
      </c>
      <c r="R187">
        <v>10.043947219848601</v>
      </c>
      <c r="S187">
        <v>62.127174377441399</v>
      </c>
      <c r="U187">
        <v>186</v>
      </c>
      <c r="V187">
        <v>50.236000061035099</v>
      </c>
      <c r="W187">
        <v>62.388679504394503</v>
      </c>
      <c r="Y187">
        <v>186</v>
      </c>
      <c r="Z187">
        <v>13.4139747619628</v>
      </c>
      <c r="AA187">
        <v>62.596214294433501</v>
      </c>
    </row>
    <row r="188" spans="1:27" x14ac:dyDescent="0.25">
      <c r="A188" s="8">
        <f t="shared" si="8"/>
        <v>187</v>
      </c>
      <c r="B188" s="8">
        <f t="shared" si="9"/>
        <v>1</v>
      </c>
      <c r="C188" s="8">
        <f t="shared" si="10"/>
        <v>308.19886016845658</v>
      </c>
      <c r="D188" s="8">
        <v>187</v>
      </c>
      <c r="E188" s="8">
        <v>104.108070373535</v>
      </c>
      <c r="F188" s="8">
        <v>27.013526916503899</v>
      </c>
      <c r="G188" s="8"/>
      <c r="H188" s="8">
        <v>187</v>
      </c>
      <c r="I188" s="8">
        <v>111.354927062988</v>
      </c>
      <c r="J188" s="8">
        <v>27.272783279418899</v>
      </c>
      <c r="K188" s="8"/>
      <c r="L188" s="8">
        <v>187</v>
      </c>
      <c r="M188" s="8">
        <v>92.735862731933594</v>
      </c>
      <c r="N188" s="8">
        <v>27.118780136108398</v>
      </c>
      <c r="P188" s="8">
        <f t="shared" si="11"/>
        <v>73.693922042846509</v>
      </c>
      <c r="Q188">
        <v>187</v>
      </c>
      <c r="R188">
        <v>10.043947219848601</v>
      </c>
      <c r="S188">
        <v>62.127174377441399</v>
      </c>
      <c r="U188">
        <v>187</v>
      </c>
      <c r="V188">
        <v>50.236000061035099</v>
      </c>
      <c r="W188">
        <v>62.388679504394503</v>
      </c>
      <c r="Y188">
        <v>187</v>
      </c>
      <c r="Z188">
        <v>13.4139747619628</v>
      </c>
      <c r="AA188">
        <v>62.596214294433501</v>
      </c>
    </row>
    <row r="189" spans="1:27" x14ac:dyDescent="0.25">
      <c r="A189" s="8">
        <f t="shared" si="8"/>
        <v>188</v>
      </c>
      <c r="B189" s="8">
        <f t="shared" si="9"/>
        <v>1</v>
      </c>
      <c r="C189" s="8">
        <f t="shared" si="10"/>
        <v>68.488641738891502</v>
      </c>
      <c r="D189" s="8">
        <v>188</v>
      </c>
      <c r="E189" s="8">
        <v>23.135126113891602</v>
      </c>
      <c r="F189" s="8">
        <v>27.013526916503899</v>
      </c>
      <c r="G189" s="8"/>
      <c r="H189" s="8">
        <v>188</v>
      </c>
      <c r="I189" s="8">
        <v>24.745542526245099</v>
      </c>
      <c r="J189" s="8">
        <v>27.272783279418899</v>
      </c>
      <c r="K189" s="8"/>
      <c r="L189" s="8">
        <v>188</v>
      </c>
      <c r="M189" s="8">
        <v>20.607973098754801</v>
      </c>
      <c r="N189" s="8">
        <v>27.118780136108398</v>
      </c>
      <c r="P189" s="8">
        <f t="shared" si="11"/>
        <v>401.9668540954583</v>
      </c>
      <c r="Q189">
        <v>188</v>
      </c>
      <c r="R189">
        <v>54.785167694091797</v>
      </c>
      <c r="S189">
        <v>62.127174377441399</v>
      </c>
      <c r="U189">
        <v>188</v>
      </c>
      <c r="V189">
        <v>274.014556884765</v>
      </c>
      <c r="W189">
        <v>62.388679504394503</v>
      </c>
      <c r="Y189">
        <v>188</v>
      </c>
      <c r="Z189">
        <v>73.167129516601506</v>
      </c>
      <c r="AA189">
        <v>62.596214294433501</v>
      </c>
    </row>
    <row r="190" spans="1:27" x14ac:dyDescent="0.25">
      <c r="A190" s="8">
        <f t="shared" si="8"/>
        <v>189</v>
      </c>
      <c r="B190" s="8">
        <f t="shared" si="9"/>
        <v>1</v>
      </c>
      <c r="C190" s="8">
        <f t="shared" si="10"/>
        <v>452.55317687988202</v>
      </c>
      <c r="D190" s="8">
        <v>189</v>
      </c>
      <c r="E190" s="8">
        <v>137.69902038574199</v>
      </c>
      <c r="F190" s="8">
        <v>28.064903259277301</v>
      </c>
      <c r="G190" s="8"/>
      <c r="H190" s="8">
        <v>189</v>
      </c>
      <c r="I190" s="8">
        <v>156.19049072265599</v>
      </c>
      <c r="J190" s="8">
        <v>28.209609985351499</v>
      </c>
      <c r="K190" s="8"/>
      <c r="L190" s="8">
        <v>189</v>
      </c>
      <c r="M190" s="8">
        <v>158.66366577148401</v>
      </c>
      <c r="N190" s="8">
        <v>28.102115631103501</v>
      </c>
      <c r="P190" s="8">
        <f t="shared" si="11"/>
        <v>67.015937805175724</v>
      </c>
      <c r="Q190">
        <v>189</v>
      </c>
      <c r="R190">
        <v>7.7539024353027299</v>
      </c>
      <c r="S190">
        <v>62.946468353271399</v>
      </c>
      <c r="U190">
        <v>189</v>
      </c>
      <c r="V190">
        <v>43.351917266845703</v>
      </c>
      <c r="W190">
        <v>63.822647094726499</v>
      </c>
      <c r="Y190">
        <v>189</v>
      </c>
      <c r="Z190">
        <v>15.910118103027299</v>
      </c>
      <c r="AA190">
        <v>64.323158264160099</v>
      </c>
    </row>
    <row r="191" spans="1:27" x14ac:dyDescent="0.25">
      <c r="A191" s="8">
        <f t="shared" si="8"/>
        <v>190</v>
      </c>
      <c r="B191" s="8">
        <f t="shared" si="9"/>
        <v>1</v>
      </c>
      <c r="C191" s="8">
        <f t="shared" si="10"/>
        <v>45.755160331725897</v>
      </c>
      <c r="D191" s="8">
        <v>190</v>
      </c>
      <c r="E191" s="8">
        <v>13.927797317504799</v>
      </c>
      <c r="F191" s="8">
        <v>29.309717178344702</v>
      </c>
      <c r="G191" s="8"/>
      <c r="H191" s="8">
        <v>190</v>
      </c>
      <c r="I191" s="8">
        <v>15.890708923339799</v>
      </c>
      <c r="J191" s="8">
        <v>29.454423904418899</v>
      </c>
      <c r="K191" s="8"/>
      <c r="L191" s="8">
        <v>190</v>
      </c>
      <c r="M191" s="8">
        <v>15.9366540908813</v>
      </c>
      <c r="N191" s="8">
        <v>29.346929550170898</v>
      </c>
      <c r="P191" s="8">
        <f t="shared" si="11"/>
        <v>344.04624176025374</v>
      </c>
      <c r="Q191">
        <v>190</v>
      </c>
      <c r="R191">
        <v>40.005805969238203</v>
      </c>
      <c r="S191">
        <v>61.168605804443303</v>
      </c>
      <c r="U191">
        <v>190</v>
      </c>
      <c r="V191">
        <v>223.47706604003901</v>
      </c>
      <c r="W191">
        <v>61.995143890380803</v>
      </c>
      <c r="Y191">
        <v>190</v>
      </c>
      <c r="Z191">
        <v>80.563369750976506</v>
      </c>
      <c r="AA191">
        <v>62.424922943115199</v>
      </c>
    </row>
    <row r="192" spans="1:27" x14ac:dyDescent="0.25">
      <c r="A192" s="8">
        <f t="shared" si="8"/>
        <v>191</v>
      </c>
      <c r="B192" s="8">
        <f t="shared" si="9"/>
        <v>1</v>
      </c>
      <c r="C192" s="8">
        <f t="shared" si="10"/>
        <v>32.709036827087303</v>
      </c>
      <c r="D192" s="8">
        <v>191</v>
      </c>
      <c r="E192" s="8">
        <v>11.6129436492919</v>
      </c>
      <c r="F192" s="8">
        <v>11.887305259704499</v>
      </c>
      <c r="G192" s="8"/>
      <c r="H192" s="8">
        <v>191</v>
      </c>
      <c r="I192" s="8">
        <v>10.570405960083001</v>
      </c>
      <c r="J192" s="8">
        <v>12.201636314391999</v>
      </c>
      <c r="K192" s="8"/>
      <c r="L192" s="8">
        <v>191</v>
      </c>
      <c r="M192" s="8">
        <v>10.525687217712401</v>
      </c>
      <c r="N192" s="8">
        <v>11.9484901428222</v>
      </c>
      <c r="P192" s="8">
        <f t="shared" si="11"/>
        <v>149.6445293426512</v>
      </c>
      <c r="Q192">
        <v>191</v>
      </c>
      <c r="R192">
        <v>22.000738143920898</v>
      </c>
      <c r="S192">
        <v>41.689865112304602</v>
      </c>
      <c r="U192">
        <v>191</v>
      </c>
      <c r="V192">
        <v>102.441436767578</v>
      </c>
      <c r="W192">
        <v>42.050186157226499</v>
      </c>
      <c r="Y192">
        <v>191</v>
      </c>
      <c r="Z192">
        <v>25.202354431152301</v>
      </c>
      <c r="AA192">
        <v>42.089706420898402</v>
      </c>
    </row>
    <row r="193" spans="1:27" x14ac:dyDescent="0.25">
      <c r="A193" s="8">
        <f t="shared" si="8"/>
        <v>192</v>
      </c>
      <c r="B193" s="8">
        <f t="shared" si="9"/>
        <v>1</v>
      </c>
      <c r="C193" s="8">
        <f t="shared" si="10"/>
        <v>3.1098896861076342</v>
      </c>
      <c r="D193" s="8">
        <v>192</v>
      </c>
      <c r="E193" s="8">
        <v>0.58222615718841497</v>
      </c>
      <c r="F193" s="8">
        <v>12.8855228424072</v>
      </c>
      <c r="G193" s="8"/>
      <c r="H193" s="8">
        <v>192</v>
      </c>
      <c r="I193" s="8">
        <v>1.92104148864746</v>
      </c>
      <c r="J193" s="8">
        <v>13.2863502502441</v>
      </c>
      <c r="K193" s="8"/>
      <c r="L193" s="8">
        <v>192</v>
      </c>
      <c r="M193" s="8">
        <v>0.60662204027175903</v>
      </c>
      <c r="N193" s="8">
        <v>13.108772277831999</v>
      </c>
      <c r="P193" s="8">
        <f t="shared" si="11"/>
        <v>108.7860622406004</v>
      </c>
      <c r="Q193">
        <v>192</v>
      </c>
      <c r="R193">
        <v>12.210664749145501</v>
      </c>
      <c r="S193">
        <v>37.403030395507798</v>
      </c>
      <c r="U193">
        <v>192</v>
      </c>
      <c r="V193">
        <v>68.728584289550696</v>
      </c>
      <c r="W193">
        <v>37.972549438476499</v>
      </c>
      <c r="Y193">
        <v>192</v>
      </c>
      <c r="Z193">
        <v>27.846813201904201</v>
      </c>
      <c r="AA193">
        <v>38.131221771240199</v>
      </c>
    </row>
    <row r="194" spans="1:27" x14ac:dyDescent="0.25">
      <c r="A194" s="8">
        <f t="shared" si="8"/>
        <v>193</v>
      </c>
      <c r="B194" s="8">
        <f t="shared" si="9"/>
        <v>1</v>
      </c>
      <c r="C194" s="8">
        <f t="shared" si="10"/>
        <v>22.170824527740457</v>
      </c>
      <c r="D194" s="8">
        <v>193</v>
      </c>
      <c r="E194" s="8">
        <v>7.9527325630187899</v>
      </c>
      <c r="F194" s="8">
        <v>19.662029266357401</v>
      </c>
      <c r="G194" s="8"/>
      <c r="H194" s="8">
        <v>193</v>
      </c>
      <c r="I194" s="8">
        <v>9.0553798675537092</v>
      </c>
      <c r="J194" s="8">
        <v>19.901319503784102</v>
      </c>
      <c r="K194" s="8"/>
      <c r="L194" s="8">
        <v>193</v>
      </c>
      <c r="M194" s="8">
        <v>5.1627120971679599</v>
      </c>
      <c r="N194" s="8">
        <v>19.814592361450099</v>
      </c>
      <c r="P194" s="8">
        <f t="shared" si="11"/>
        <v>2.147821545600884</v>
      </c>
      <c r="Q194">
        <v>193</v>
      </c>
      <c r="R194">
        <v>0.379733085632324</v>
      </c>
      <c r="S194">
        <v>24.2125225067138</v>
      </c>
      <c r="U194">
        <v>193</v>
      </c>
      <c r="V194">
        <v>1.3635900020599301</v>
      </c>
      <c r="W194">
        <v>24.220220565795898</v>
      </c>
      <c r="Y194">
        <v>193</v>
      </c>
      <c r="Z194">
        <v>0.40449845790862998</v>
      </c>
      <c r="AA194">
        <v>24.307205200195298</v>
      </c>
    </row>
    <row r="195" spans="1:27" x14ac:dyDescent="0.25">
      <c r="A195" s="8">
        <f t="shared" ref="A195:A258" si="12">IF(D195="","",D195)</f>
        <v>194</v>
      </c>
      <c r="B195" s="8">
        <f t="shared" ref="B195:B258" si="13">IF(OR(D195&lt;&gt;H195,H195&lt;&gt;L195,D195&lt;&gt;L195),0,1)</f>
        <v>1</v>
      </c>
      <c r="C195" s="8">
        <f t="shared" ref="C195:C258" si="14">SUM(E195,I195,M195)</f>
        <v>4.6897084712982133</v>
      </c>
      <c r="D195" s="8">
        <v>194</v>
      </c>
      <c r="E195" s="8">
        <v>2.49682545661926</v>
      </c>
      <c r="F195" s="8">
        <v>16.147508621215799</v>
      </c>
      <c r="G195" s="8"/>
      <c r="H195" s="8">
        <v>194</v>
      </c>
      <c r="I195" s="8">
        <v>0.79350650310516302</v>
      </c>
      <c r="J195" s="8">
        <v>16.220262527465799</v>
      </c>
      <c r="K195" s="8"/>
      <c r="L195" s="8">
        <v>194</v>
      </c>
      <c r="M195" s="8">
        <v>1.3993765115737899</v>
      </c>
      <c r="N195" s="8">
        <v>16.184228897094702</v>
      </c>
      <c r="P195" s="8">
        <f t="shared" ref="P195:P258" si="15">R195+V195+Z195</f>
        <v>1.0900384336709958</v>
      </c>
      <c r="Q195">
        <v>194</v>
      </c>
      <c r="R195">
        <v>0.19751971960067699</v>
      </c>
      <c r="S195">
        <v>20.244827270507798</v>
      </c>
      <c r="U195">
        <v>194</v>
      </c>
      <c r="V195">
        <v>0.64908134937286299</v>
      </c>
      <c r="W195">
        <v>20.317668914794901</v>
      </c>
      <c r="Y195">
        <v>194</v>
      </c>
      <c r="Z195">
        <v>0.243437364697456</v>
      </c>
      <c r="AA195">
        <v>20.4497985839843</v>
      </c>
    </row>
    <row r="196" spans="1:27" x14ac:dyDescent="0.25">
      <c r="A196" s="8">
        <f t="shared" si="12"/>
        <v>195</v>
      </c>
      <c r="B196" s="8">
        <f t="shared" si="13"/>
        <v>1</v>
      </c>
      <c r="C196" s="8">
        <f t="shared" si="14"/>
        <v>49.564443588256701</v>
      </c>
      <c r="D196" s="8">
        <v>195</v>
      </c>
      <c r="E196" s="8">
        <v>20.3693332672119</v>
      </c>
      <c r="F196" s="8">
        <v>35.933193206787102</v>
      </c>
      <c r="G196" s="8"/>
      <c r="H196" s="8">
        <v>195</v>
      </c>
      <c r="I196" s="8">
        <v>16.721788406371999</v>
      </c>
      <c r="J196" s="8">
        <v>38.322742462158203</v>
      </c>
      <c r="K196" s="8"/>
      <c r="L196" s="8">
        <v>195</v>
      </c>
      <c r="M196" s="8">
        <v>12.4733219146728</v>
      </c>
      <c r="N196" s="8">
        <v>36.217334747314403</v>
      </c>
      <c r="P196" s="8">
        <f t="shared" si="15"/>
        <v>2.147821545600884</v>
      </c>
      <c r="Q196">
        <v>195</v>
      </c>
      <c r="R196">
        <v>0.379733085632324</v>
      </c>
      <c r="S196">
        <v>25.8451232910156</v>
      </c>
      <c r="U196">
        <v>195</v>
      </c>
      <c r="V196">
        <v>1.3635900020599301</v>
      </c>
      <c r="W196">
        <v>25.831180572509702</v>
      </c>
      <c r="Y196">
        <v>195</v>
      </c>
      <c r="Z196">
        <v>0.40449845790862998</v>
      </c>
      <c r="AA196">
        <v>25.972976684570298</v>
      </c>
    </row>
    <row r="197" spans="1:27" x14ac:dyDescent="0.25">
      <c r="A197" s="8">
        <f t="shared" si="12"/>
        <v>196</v>
      </c>
      <c r="B197" s="8">
        <f t="shared" si="13"/>
        <v>1</v>
      </c>
      <c r="C197" s="8">
        <f t="shared" si="14"/>
        <v>217.1745147705077</v>
      </c>
      <c r="D197" s="8">
        <v>196</v>
      </c>
      <c r="E197" s="8">
        <v>81.431037902832003</v>
      </c>
      <c r="F197" s="8">
        <v>48.379791259765597</v>
      </c>
      <c r="G197" s="8"/>
      <c r="H197" s="8">
        <v>196</v>
      </c>
      <c r="I197" s="8">
        <v>79.243499755859304</v>
      </c>
      <c r="J197" s="8">
        <v>50.429592132568303</v>
      </c>
      <c r="K197" s="8"/>
      <c r="L197" s="8">
        <v>196</v>
      </c>
      <c r="M197" s="8">
        <v>56.499977111816399</v>
      </c>
      <c r="N197" s="8">
        <v>48.818115234375</v>
      </c>
      <c r="P197" s="8">
        <f t="shared" si="15"/>
        <v>3.1373535394668526</v>
      </c>
      <c r="Q197">
        <v>196</v>
      </c>
      <c r="R197">
        <v>0.28635352849960299</v>
      </c>
      <c r="S197">
        <v>17.2692546844482</v>
      </c>
      <c r="U197">
        <v>196</v>
      </c>
      <c r="V197">
        <v>2.1646080017089799</v>
      </c>
      <c r="W197">
        <v>17.284650802612301</v>
      </c>
      <c r="Y197">
        <v>196</v>
      </c>
      <c r="Z197">
        <v>0.68639200925827004</v>
      </c>
      <c r="AA197">
        <v>17.431900024413999</v>
      </c>
    </row>
    <row r="198" spans="1:27" x14ac:dyDescent="0.25">
      <c r="A198" s="8">
        <f t="shared" si="12"/>
        <v>197</v>
      </c>
      <c r="B198" s="8">
        <f t="shared" si="13"/>
        <v>1</v>
      </c>
      <c r="C198" s="8">
        <f t="shared" si="14"/>
        <v>74.485126495361101</v>
      </c>
      <c r="D198" s="8">
        <v>197</v>
      </c>
      <c r="E198" s="8">
        <v>22.8985290527343</v>
      </c>
      <c r="F198" s="8">
        <v>39.733467102050703</v>
      </c>
      <c r="G198" s="8"/>
      <c r="H198" s="8">
        <v>197</v>
      </c>
      <c r="I198" s="8">
        <v>29.2666416168212</v>
      </c>
      <c r="J198" s="8">
        <v>40.919155120849602</v>
      </c>
      <c r="K198" s="8"/>
      <c r="L198" s="8">
        <v>197</v>
      </c>
      <c r="M198" s="8">
        <v>22.3199558258056</v>
      </c>
      <c r="N198" s="8">
        <v>40.0389404296875</v>
      </c>
      <c r="P198" s="8">
        <f t="shared" si="15"/>
        <v>2.1397827342152516</v>
      </c>
      <c r="Q198">
        <v>197</v>
      </c>
      <c r="R198">
        <v>1.13333332538604</v>
      </c>
      <c r="S198">
        <v>25.6886806488037</v>
      </c>
      <c r="U198">
        <v>197</v>
      </c>
      <c r="V198">
        <v>0.93978273868560702</v>
      </c>
      <c r="W198">
        <v>25.491636276245099</v>
      </c>
      <c r="Y198">
        <v>197</v>
      </c>
      <c r="Z198">
        <v>6.6666670143604195E-2</v>
      </c>
      <c r="AA198">
        <v>25.501918792724599</v>
      </c>
    </row>
    <row r="199" spans="1:27" x14ac:dyDescent="0.25">
      <c r="A199" s="8">
        <f t="shared" si="12"/>
        <v>198</v>
      </c>
      <c r="B199" s="8">
        <f t="shared" si="13"/>
        <v>1</v>
      </c>
      <c r="C199" s="8">
        <f t="shared" si="14"/>
        <v>432.30778503417798</v>
      </c>
      <c r="D199" s="8">
        <v>198</v>
      </c>
      <c r="E199" s="8">
        <v>160.50648498535099</v>
      </c>
      <c r="F199" s="8">
        <v>50.203357696533203</v>
      </c>
      <c r="G199" s="8"/>
      <c r="H199" s="8">
        <v>198</v>
      </c>
      <c r="I199" s="8">
        <v>160.02642822265599</v>
      </c>
      <c r="J199" s="8">
        <v>52.282558441162102</v>
      </c>
      <c r="K199" s="8"/>
      <c r="L199" s="8">
        <v>198</v>
      </c>
      <c r="M199" s="8">
        <v>111.77487182617099</v>
      </c>
      <c r="N199" s="8">
        <v>50.657981872558501</v>
      </c>
      <c r="P199" s="8">
        <f t="shared" si="15"/>
        <v>2.3297149986028662</v>
      </c>
      <c r="Q199">
        <v>198</v>
      </c>
      <c r="R199">
        <v>3.6353513598442001E-2</v>
      </c>
      <c r="S199">
        <v>9.7668437957763601</v>
      </c>
      <c r="U199">
        <v>198</v>
      </c>
      <c r="V199">
        <v>1.6253236532211299</v>
      </c>
      <c r="W199">
        <v>9.7875661849975497</v>
      </c>
      <c r="Y199">
        <v>198</v>
      </c>
      <c r="Z199">
        <v>0.66803783178329401</v>
      </c>
      <c r="AA199">
        <v>9.8851251602172798</v>
      </c>
    </row>
    <row r="200" spans="1:27" x14ac:dyDescent="0.25">
      <c r="A200" s="8">
        <f t="shared" si="12"/>
        <v>199</v>
      </c>
      <c r="B200" s="8">
        <f t="shared" si="13"/>
        <v>1</v>
      </c>
      <c r="C200" s="8">
        <f t="shared" si="14"/>
        <v>24.245349407196041</v>
      </c>
      <c r="D200" s="8">
        <v>199</v>
      </c>
      <c r="E200" s="8">
        <v>9.9764184951782209</v>
      </c>
      <c r="F200" s="8">
        <v>31.725303649902301</v>
      </c>
      <c r="G200" s="8"/>
      <c r="H200" s="8">
        <v>199</v>
      </c>
      <c r="I200" s="8">
        <v>8.2277164459228498</v>
      </c>
      <c r="J200" s="8">
        <v>34.115875244140597</v>
      </c>
      <c r="K200" s="8"/>
      <c r="L200" s="8">
        <v>199</v>
      </c>
      <c r="M200" s="8">
        <v>6.0412144660949698</v>
      </c>
      <c r="N200" s="8">
        <v>32.01021194458</v>
      </c>
      <c r="P200" s="8">
        <f t="shared" si="15"/>
        <v>2.1397827342152516</v>
      </c>
      <c r="Q200">
        <v>199</v>
      </c>
      <c r="R200">
        <v>1.13333332538604</v>
      </c>
      <c r="S200">
        <v>18.5556526184082</v>
      </c>
      <c r="U200">
        <v>199</v>
      </c>
      <c r="V200">
        <v>0.93978273868560702</v>
      </c>
      <c r="W200">
        <v>18.3585891723632</v>
      </c>
      <c r="Y200">
        <v>199</v>
      </c>
      <c r="Z200">
        <v>6.6666670143604195E-2</v>
      </c>
      <c r="AA200">
        <v>18.3497619628906</v>
      </c>
    </row>
    <row r="201" spans="1:27" x14ac:dyDescent="0.25">
      <c r="A201" s="8">
        <f t="shared" si="12"/>
        <v>200</v>
      </c>
      <c r="B201" s="8">
        <f t="shared" si="13"/>
        <v>1</v>
      </c>
      <c r="C201" s="8">
        <f t="shared" si="14"/>
        <v>72.7360515594481</v>
      </c>
      <c r="D201" s="8">
        <v>200</v>
      </c>
      <c r="E201" s="8">
        <v>29.929252624511701</v>
      </c>
      <c r="F201" s="8">
        <v>30.205995559692301</v>
      </c>
      <c r="G201" s="8"/>
      <c r="H201" s="8">
        <v>200</v>
      </c>
      <c r="I201" s="8">
        <v>24.683151245117099</v>
      </c>
      <c r="J201" s="8">
        <v>32.596565246582003</v>
      </c>
      <c r="K201" s="8"/>
      <c r="L201" s="8">
        <v>200</v>
      </c>
      <c r="M201" s="8">
        <v>18.1236476898193</v>
      </c>
      <c r="N201" s="8">
        <v>30.490901947021399</v>
      </c>
      <c r="P201" s="8">
        <f t="shared" si="15"/>
        <v>35.47613120079032</v>
      </c>
      <c r="Q201">
        <v>200</v>
      </c>
      <c r="R201">
        <v>3.62832427024841</v>
      </c>
      <c r="S201">
        <v>97.707328796386705</v>
      </c>
      <c r="U201">
        <v>200</v>
      </c>
      <c r="V201">
        <v>23.4732360839843</v>
      </c>
      <c r="W201">
        <v>99.0906982421875</v>
      </c>
      <c r="Y201">
        <v>200</v>
      </c>
      <c r="Z201">
        <v>8.3745708465576101</v>
      </c>
      <c r="AA201">
        <v>105.203224182128</v>
      </c>
    </row>
    <row r="202" spans="1:27" x14ac:dyDescent="0.25">
      <c r="A202" s="8">
        <f t="shared" si="12"/>
        <v>201</v>
      </c>
      <c r="B202" s="8">
        <f t="shared" si="13"/>
        <v>1</v>
      </c>
      <c r="C202" s="8">
        <f t="shared" si="14"/>
        <v>142.45020294189442</v>
      </c>
      <c r="D202" s="8">
        <v>201</v>
      </c>
      <c r="E202" s="8">
        <v>46.107814788818303</v>
      </c>
      <c r="F202" s="8">
        <v>45.100109100341797</v>
      </c>
      <c r="G202" s="8"/>
      <c r="H202" s="8">
        <v>201</v>
      </c>
      <c r="I202" s="8">
        <v>54.845645904541001</v>
      </c>
      <c r="J202" s="8">
        <v>46.663272857666001</v>
      </c>
      <c r="K202" s="8"/>
      <c r="L202" s="8">
        <v>201</v>
      </c>
      <c r="M202" s="8">
        <v>41.496742248535099</v>
      </c>
      <c r="N202" s="8">
        <v>45.543735504150298</v>
      </c>
      <c r="P202" s="8">
        <f t="shared" si="15"/>
        <v>3.1373535394668526</v>
      </c>
      <c r="Q202">
        <v>201</v>
      </c>
      <c r="R202">
        <v>0.28635352849960299</v>
      </c>
      <c r="S202">
        <v>24.418788909912099</v>
      </c>
      <c r="U202">
        <v>201</v>
      </c>
      <c r="V202">
        <v>2.1646080017089799</v>
      </c>
      <c r="W202">
        <v>24.423152923583899</v>
      </c>
      <c r="Y202">
        <v>201</v>
      </c>
      <c r="Z202">
        <v>0.68639200925827004</v>
      </c>
      <c r="AA202">
        <v>24.56689453125</v>
      </c>
    </row>
    <row r="203" spans="1:27" x14ac:dyDescent="0.25">
      <c r="A203" s="8">
        <f t="shared" si="12"/>
        <v>202</v>
      </c>
      <c r="B203" s="8">
        <f t="shared" si="13"/>
        <v>1</v>
      </c>
      <c r="C203" s="8">
        <f t="shared" si="14"/>
        <v>29.06883907318106</v>
      </c>
      <c r="D203" s="8">
        <v>202</v>
      </c>
      <c r="E203" s="8">
        <v>9.3760280609130806</v>
      </c>
      <c r="F203" s="8">
        <v>50.3350219726562</v>
      </c>
      <c r="G203" s="8"/>
      <c r="H203" s="8">
        <v>202</v>
      </c>
      <c r="I203" s="8">
        <v>11.252585411071699</v>
      </c>
      <c r="J203" s="8">
        <v>51.901599884033203</v>
      </c>
      <c r="K203" s="8"/>
      <c r="L203" s="8">
        <v>202</v>
      </c>
      <c r="M203" s="8">
        <v>8.4402256011962802</v>
      </c>
      <c r="N203" s="8">
        <v>50.784313201904297</v>
      </c>
      <c r="P203" s="8">
        <f t="shared" si="15"/>
        <v>2.0897827818989674</v>
      </c>
      <c r="Q203">
        <v>202</v>
      </c>
      <c r="R203">
        <v>1.13333332538604</v>
      </c>
      <c r="S203">
        <v>24.920385360717699</v>
      </c>
      <c r="U203">
        <v>202</v>
      </c>
      <c r="V203">
        <v>0.88978278636932295</v>
      </c>
      <c r="W203">
        <v>24.6671962738037</v>
      </c>
      <c r="Y203">
        <v>202</v>
      </c>
      <c r="Z203">
        <v>6.6666670143604195E-2</v>
      </c>
      <c r="AA203">
        <v>24.6252326965332</v>
      </c>
    </row>
    <row r="204" spans="1:27" x14ac:dyDescent="0.25">
      <c r="A204" s="8">
        <f t="shared" si="12"/>
        <v>203</v>
      </c>
      <c r="B204" s="8">
        <f t="shared" si="13"/>
        <v>1</v>
      </c>
      <c r="C204" s="8">
        <f t="shared" si="14"/>
        <v>337.91516876220652</v>
      </c>
      <c r="D204" s="8">
        <v>203</v>
      </c>
      <c r="E204" s="8">
        <v>120.34593963623</v>
      </c>
      <c r="F204" s="8">
        <v>33.856674194335902</v>
      </c>
      <c r="G204" s="8"/>
      <c r="H204" s="8">
        <v>203</v>
      </c>
      <c r="I204" s="8">
        <v>127.70436096191401</v>
      </c>
      <c r="J204" s="8">
        <v>35.960403442382798</v>
      </c>
      <c r="K204" s="8"/>
      <c r="L204" s="8">
        <v>203</v>
      </c>
      <c r="M204" s="8">
        <v>89.8648681640625</v>
      </c>
      <c r="N204" s="8">
        <v>34.456851959228501</v>
      </c>
      <c r="P204" s="8">
        <f t="shared" si="15"/>
        <v>3.1373535394668526</v>
      </c>
      <c r="Q204">
        <v>203</v>
      </c>
      <c r="R204">
        <v>0.28635352849960299</v>
      </c>
      <c r="S204">
        <v>23.487886428833001</v>
      </c>
      <c r="U204">
        <v>203</v>
      </c>
      <c r="V204">
        <v>2.1646080017089799</v>
      </c>
      <c r="W204">
        <v>23.505769729614201</v>
      </c>
      <c r="Y204">
        <v>203</v>
      </c>
      <c r="Z204">
        <v>0.68639200925827004</v>
      </c>
      <c r="AA204">
        <v>23.658687591552699</v>
      </c>
    </row>
    <row r="205" spans="1:27" x14ac:dyDescent="0.25">
      <c r="A205" s="8">
        <f t="shared" si="12"/>
        <v>204</v>
      </c>
      <c r="B205" s="8">
        <f t="shared" si="13"/>
        <v>1</v>
      </c>
      <c r="C205" s="8">
        <f t="shared" si="14"/>
        <v>48.959753036498803</v>
      </c>
      <c r="D205" s="8">
        <v>204</v>
      </c>
      <c r="E205" s="8">
        <v>17.278120040893501</v>
      </c>
      <c r="F205" s="8">
        <v>28.128103256225501</v>
      </c>
      <c r="G205" s="8"/>
      <c r="H205" s="8">
        <v>204</v>
      </c>
      <c r="I205" s="8">
        <v>17.3744583129882</v>
      </c>
      <c r="J205" s="8">
        <v>29.421913146972599</v>
      </c>
      <c r="K205" s="8"/>
      <c r="L205" s="8">
        <v>204</v>
      </c>
      <c r="M205" s="8">
        <v>14.3071746826171</v>
      </c>
      <c r="N205" s="8">
        <v>28.455381393432599</v>
      </c>
      <c r="P205" s="8">
        <f t="shared" si="15"/>
        <v>1484.7291564941399</v>
      </c>
      <c r="Q205">
        <v>204</v>
      </c>
      <c r="R205">
        <v>275.87557983398398</v>
      </c>
      <c r="S205">
        <v>53.885391235351499</v>
      </c>
      <c r="U205">
        <v>204</v>
      </c>
      <c r="V205">
        <v>977.06378173828102</v>
      </c>
      <c r="W205">
        <v>53.355998992919901</v>
      </c>
      <c r="Y205">
        <v>204</v>
      </c>
      <c r="Z205">
        <v>231.789794921875</v>
      </c>
      <c r="AA205">
        <v>54.430141448974602</v>
      </c>
    </row>
    <row r="206" spans="1:27" x14ac:dyDescent="0.25">
      <c r="A206" s="8">
        <f t="shared" si="12"/>
        <v>205</v>
      </c>
      <c r="B206" s="8">
        <f t="shared" si="13"/>
        <v>1</v>
      </c>
      <c r="C206" s="8">
        <f t="shared" si="14"/>
        <v>50.372030258178604</v>
      </c>
      <c r="D206" s="8">
        <v>205</v>
      </c>
      <c r="E206" s="8">
        <v>17.614109039306602</v>
      </c>
      <c r="F206" s="8">
        <v>33.363014221191399</v>
      </c>
      <c r="G206" s="8"/>
      <c r="H206" s="8">
        <v>205</v>
      </c>
      <c r="I206" s="8">
        <v>18.028120040893501</v>
      </c>
      <c r="J206" s="8">
        <v>34.660240173339801</v>
      </c>
      <c r="K206" s="8"/>
      <c r="L206" s="8">
        <v>205</v>
      </c>
      <c r="M206" s="8">
        <v>14.7298011779785</v>
      </c>
      <c r="N206" s="8">
        <v>33.695945739746001</v>
      </c>
      <c r="P206" s="8">
        <f t="shared" si="15"/>
        <v>808.57411956787064</v>
      </c>
      <c r="Q206">
        <v>205</v>
      </c>
      <c r="R206">
        <v>70.465095520019503</v>
      </c>
      <c r="S206">
        <v>51.3026313781738</v>
      </c>
      <c r="U206">
        <v>205</v>
      </c>
      <c r="V206">
        <v>541.92736816406205</v>
      </c>
      <c r="W206">
        <v>51.711517333984297</v>
      </c>
      <c r="Y206">
        <v>205</v>
      </c>
      <c r="Z206">
        <v>196.18165588378901</v>
      </c>
      <c r="AA206">
        <v>52.968570709228501</v>
      </c>
    </row>
    <row r="207" spans="1:27" x14ac:dyDescent="0.25">
      <c r="A207" s="8">
        <f t="shared" si="12"/>
        <v>206</v>
      </c>
      <c r="B207" s="8">
        <f t="shared" si="13"/>
        <v>1</v>
      </c>
      <c r="C207" s="8">
        <f t="shared" si="14"/>
        <v>44.483216285705403</v>
      </c>
      <c r="D207" s="8">
        <v>206</v>
      </c>
      <c r="E207" s="8">
        <v>14.9263153076171</v>
      </c>
      <c r="F207" s="8">
        <v>32.554691314697202</v>
      </c>
      <c r="G207" s="8"/>
      <c r="H207" s="8">
        <v>206</v>
      </c>
      <c r="I207" s="8">
        <v>17.4774875640869</v>
      </c>
      <c r="J207" s="8">
        <v>33.624416351318303</v>
      </c>
      <c r="K207" s="8"/>
      <c r="L207" s="8">
        <v>206</v>
      </c>
      <c r="M207" s="8">
        <v>12.079413414001399</v>
      </c>
      <c r="N207" s="8">
        <v>32.713485717773402</v>
      </c>
      <c r="P207" s="8">
        <f t="shared" si="15"/>
        <v>20.75951719284048</v>
      </c>
      <c r="Q207">
        <v>206</v>
      </c>
      <c r="R207">
        <v>3.6762948036193799</v>
      </c>
      <c r="S207">
        <v>28.7782802581787</v>
      </c>
      <c r="U207">
        <v>206</v>
      </c>
      <c r="V207">
        <v>14.2467384338378</v>
      </c>
      <c r="W207">
        <v>25.998435974121001</v>
      </c>
      <c r="Y207">
        <v>206</v>
      </c>
      <c r="Z207">
        <v>2.8364839553832999</v>
      </c>
      <c r="AA207">
        <v>27.364301681518501</v>
      </c>
    </row>
    <row r="208" spans="1:27" x14ac:dyDescent="0.25">
      <c r="A208" s="8">
        <f t="shared" si="12"/>
        <v>207</v>
      </c>
      <c r="B208" s="8">
        <f t="shared" si="13"/>
        <v>1</v>
      </c>
      <c r="C208" s="8">
        <f t="shared" si="14"/>
        <v>121.7461376190184</v>
      </c>
      <c r="D208" s="8">
        <v>207</v>
      </c>
      <c r="E208" s="8">
        <v>43.207756042480398</v>
      </c>
      <c r="F208" s="8">
        <v>31.1580486297607</v>
      </c>
      <c r="G208" s="8"/>
      <c r="H208" s="8">
        <v>207</v>
      </c>
      <c r="I208" s="8">
        <v>48.4419136047363</v>
      </c>
      <c r="J208" s="8">
        <v>31.673763275146399</v>
      </c>
      <c r="K208" s="8"/>
      <c r="L208" s="8">
        <v>207</v>
      </c>
      <c r="M208" s="8">
        <v>30.096467971801701</v>
      </c>
      <c r="N208" s="8">
        <v>31.4776000976562</v>
      </c>
      <c r="P208" s="8">
        <f t="shared" si="15"/>
        <v>44.253296375274587</v>
      </c>
      <c r="Q208">
        <v>207</v>
      </c>
      <c r="R208">
        <v>4.9228081703186</v>
      </c>
      <c r="S208">
        <v>63.814830780029297</v>
      </c>
      <c r="U208">
        <v>207</v>
      </c>
      <c r="V208">
        <v>30.299663543701101</v>
      </c>
      <c r="W208">
        <v>63.159664154052699</v>
      </c>
      <c r="Y208">
        <v>207</v>
      </c>
      <c r="Z208">
        <v>9.0308246612548793</v>
      </c>
      <c r="AA208">
        <v>64.757652282714801</v>
      </c>
    </row>
    <row r="209" spans="1:27" x14ac:dyDescent="0.25">
      <c r="A209" s="8">
        <f t="shared" si="12"/>
        <v>208</v>
      </c>
      <c r="B209" s="8">
        <f t="shared" si="13"/>
        <v>1</v>
      </c>
      <c r="C209" s="8">
        <f t="shared" si="14"/>
        <v>306.03666687011651</v>
      </c>
      <c r="D209" s="8">
        <v>208</v>
      </c>
      <c r="E209" s="8">
        <v>113.08420562744099</v>
      </c>
      <c r="F209" s="8">
        <v>24.518589019775298</v>
      </c>
      <c r="G209" s="8"/>
      <c r="H209" s="8">
        <v>208</v>
      </c>
      <c r="I209" s="8">
        <v>118.197456359863</v>
      </c>
      <c r="J209" s="8">
        <v>26.7882385253906</v>
      </c>
      <c r="K209" s="8"/>
      <c r="L209" s="8">
        <v>208</v>
      </c>
      <c r="M209" s="8">
        <v>74.7550048828125</v>
      </c>
      <c r="N209" s="8">
        <v>24.769243240356399</v>
      </c>
      <c r="P209" s="8">
        <f t="shared" si="15"/>
        <v>22.00145435333248</v>
      </c>
      <c r="Q209">
        <v>208</v>
      </c>
      <c r="R209">
        <v>2.3479580879211399</v>
      </c>
      <c r="S209">
        <v>25.300559997558501</v>
      </c>
      <c r="U209">
        <v>208</v>
      </c>
      <c r="V209">
        <v>13.9994611740112</v>
      </c>
      <c r="W209">
        <v>24.199998855590799</v>
      </c>
      <c r="Y209">
        <v>208</v>
      </c>
      <c r="Z209">
        <v>5.6540350914001403</v>
      </c>
      <c r="AA209">
        <v>25.5587768554687</v>
      </c>
    </row>
    <row r="210" spans="1:27" x14ac:dyDescent="0.25">
      <c r="A210" s="8">
        <f t="shared" si="12"/>
        <v>209</v>
      </c>
      <c r="B210" s="8">
        <f t="shared" si="13"/>
        <v>1</v>
      </c>
      <c r="C210" s="8">
        <f t="shared" si="14"/>
        <v>37.846322059631198</v>
      </c>
      <c r="D210" s="8">
        <v>209</v>
      </c>
      <c r="E210" s="8">
        <v>11.568676948547299</v>
      </c>
      <c r="F210" s="8">
        <v>37.709400177001903</v>
      </c>
      <c r="G210" s="8"/>
      <c r="H210" s="8">
        <v>209</v>
      </c>
      <c r="I210" s="8">
        <v>14.9234619140625</v>
      </c>
      <c r="J210" s="8">
        <v>38.651477813720703</v>
      </c>
      <c r="K210" s="8"/>
      <c r="L210" s="8">
        <v>209</v>
      </c>
      <c r="M210" s="8">
        <v>11.354183197021401</v>
      </c>
      <c r="N210" s="8">
        <v>37.867099761962798</v>
      </c>
      <c r="P210" s="8">
        <f t="shared" si="15"/>
        <v>41.21672534942622</v>
      </c>
      <c r="Q210">
        <v>209</v>
      </c>
      <c r="R210">
        <v>4.3200922012329102</v>
      </c>
      <c r="S210">
        <v>70.934982299804602</v>
      </c>
      <c r="U210">
        <v>209</v>
      </c>
      <c r="V210">
        <v>27.601779937744102</v>
      </c>
      <c r="W210">
        <v>70.386138916015597</v>
      </c>
      <c r="Y210">
        <v>209</v>
      </c>
      <c r="Z210">
        <v>9.2948532104492099</v>
      </c>
      <c r="AA210">
        <v>71.918960571289006</v>
      </c>
    </row>
    <row r="211" spans="1:27" x14ac:dyDescent="0.25">
      <c r="A211" s="8">
        <f t="shared" si="12"/>
        <v>210</v>
      </c>
      <c r="B211" s="8">
        <f t="shared" si="13"/>
        <v>1</v>
      </c>
      <c r="C211" s="8">
        <f t="shared" si="14"/>
        <v>153.59779357910151</v>
      </c>
      <c r="D211" s="8">
        <v>210</v>
      </c>
      <c r="E211" s="8">
        <v>46.420852661132798</v>
      </c>
      <c r="F211" s="8">
        <v>39.480628967285099</v>
      </c>
      <c r="G211" s="8"/>
      <c r="H211" s="8">
        <v>210</v>
      </c>
      <c r="I211" s="8">
        <v>60.569534301757798</v>
      </c>
      <c r="J211" s="8">
        <v>40.425094604492102</v>
      </c>
      <c r="K211" s="8"/>
      <c r="L211" s="8">
        <v>210</v>
      </c>
      <c r="M211" s="8">
        <v>46.607406616210902</v>
      </c>
      <c r="N211" s="8">
        <v>39.639015197753899</v>
      </c>
      <c r="P211" s="8">
        <f t="shared" si="15"/>
        <v>415.04982757568308</v>
      </c>
      <c r="Q211">
        <v>210</v>
      </c>
      <c r="R211">
        <v>54.973403930663999</v>
      </c>
      <c r="S211">
        <v>47.448341369628899</v>
      </c>
      <c r="U211">
        <v>210</v>
      </c>
      <c r="V211">
        <v>278.79818725585898</v>
      </c>
      <c r="W211">
        <v>46.797492980957003</v>
      </c>
      <c r="Y211">
        <v>210</v>
      </c>
      <c r="Z211">
        <v>81.278236389160099</v>
      </c>
      <c r="AA211">
        <v>47.111431121826101</v>
      </c>
    </row>
    <row r="212" spans="1:27" x14ac:dyDescent="0.25">
      <c r="A212" s="8">
        <f t="shared" si="12"/>
        <v>211</v>
      </c>
      <c r="B212" s="8">
        <f t="shared" si="13"/>
        <v>1</v>
      </c>
      <c r="C212" s="8">
        <f t="shared" si="14"/>
        <v>480.13761901855395</v>
      </c>
      <c r="D212" s="8">
        <v>211</v>
      </c>
      <c r="E212" s="8">
        <v>153.41845703125</v>
      </c>
      <c r="F212" s="8">
        <v>60.036796569824197</v>
      </c>
      <c r="G212" s="8"/>
      <c r="H212" s="8">
        <v>211</v>
      </c>
      <c r="I212" s="8">
        <v>182.49687194824199</v>
      </c>
      <c r="J212" s="8">
        <v>61.202022552490199</v>
      </c>
      <c r="K212" s="8"/>
      <c r="L212" s="8">
        <v>211</v>
      </c>
      <c r="M212" s="8">
        <v>144.22229003906199</v>
      </c>
      <c r="N212" s="8">
        <v>60.769741058349602</v>
      </c>
      <c r="P212" s="8">
        <f t="shared" si="15"/>
        <v>214.34415817260691</v>
      </c>
      <c r="Q212">
        <v>211</v>
      </c>
      <c r="R212">
        <v>34.912765502929602</v>
      </c>
      <c r="S212">
        <v>45.422985076904297</v>
      </c>
      <c r="U212">
        <v>211</v>
      </c>
      <c r="V212">
        <v>141.27816772460901</v>
      </c>
      <c r="W212">
        <v>45.188720703125</v>
      </c>
      <c r="Y212">
        <v>211</v>
      </c>
      <c r="Z212">
        <v>38.153224945068303</v>
      </c>
      <c r="AA212">
        <v>45.648448944091797</v>
      </c>
    </row>
    <row r="213" spans="1:27" x14ac:dyDescent="0.25">
      <c r="A213" s="8">
        <f t="shared" si="12"/>
        <v>212</v>
      </c>
      <c r="B213" s="8">
        <f t="shared" si="13"/>
        <v>1</v>
      </c>
      <c r="C213" s="8">
        <f t="shared" si="14"/>
        <v>200.0120697021483</v>
      </c>
      <c r="D213" s="8">
        <v>212</v>
      </c>
      <c r="E213" s="8">
        <v>53.382072448730398</v>
      </c>
      <c r="F213" s="8">
        <v>58.264060974121001</v>
      </c>
      <c r="G213" s="8"/>
      <c r="H213" s="8">
        <v>212</v>
      </c>
      <c r="I213" s="8">
        <v>82.610893249511705</v>
      </c>
      <c r="J213" s="8">
        <v>58.955307006835902</v>
      </c>
      <c r="K213" s="8"/>
      <c r="L213" s="8">
        <v>212</v>
      </c>
      <c r="M213" s="8">
        <v>64.019104003906193</v>
      </c>
      <c r="N213" s="8">
        <v>58.715019226074197</v>
      </c>
      <c r="P213" s="8">
        <f t="shared" si="15"/>
        <v>38.628449916839578</v>
      </c>
      <c r="Q213">
        <v>212</v>
      </c>
      <c r="R213">
        <v>6.3992891311645499</v>
      </c>
      <c r="S213">
        <v>53.587039947509702</v>
      </c>
      <c r="U213">
        <v>212</v>
      </c>
      <c r="V213">
        <v>25.394607543945298</v>
      </c>
      <c r="W213">
        <v>53.359367370605398</v>
      </c>
      <c r="Y213">
        <v>212</v>
      </c>
      <c r="Z213">
        <v>6.8345532417297301</v>
      </c>
      <c r="AA213">
        <v>53.830513000488203</v>
      </c>
    </row>
    <row r="214" spans="1:27" x14ac:dyDescent="0.25">
      <c r="A214" s="8">
        <f t="shared" si="12"/>
        <v>213</v>
      </c>
      <c r="B214" s="8">
        <f t="shared" si="13"/>
        <v>1</v>
      </c>
      <c r="C214" s="8">
        <f t="shared" si="14"/>
        <v>440.67831420898301</v>
      </c>
      <c r="D214" s="8">
        <v>213</v>
      </c>
      <c r="E214" s="8">
        <v>155.160232543945</v>
      </c>
      <c r="F214" s="8">
        <v>48.008079528808501</v>
      </c>
      <c r="G214" s="8"/>
      <c r="H214" s="8">
        <v>213</v>
      </c>
      <c r="I214" s="8">
        <v>170.29437255859301</v>
      </c>
      <c r="J214" s="8">
        <v>49.576835632324197</v>
      </c>
      <c r="K214" s="8"/>
      <c r="L214" s="8">
        <v>213</v>
      </c>
      <c r="M214" s="8">
        <v>115.223709106445</v>
      </c>
      <c r="N214" s="8">
        <v>48.257942199707003</v>
      </c>
      <c r="P214" s="8">
        <f t="shared" si="15"/>
        <v>225.44118118286099</v>
      </c>
      <c r="Q214">
        <v>213</v>
      </c>
      <c r="R214">
        <v>36.648975372314403</v>
      </c>
      <c r="S214">
        <v>38.739128112792898</v>
      </c>
      <c r="U214">
        <v>213</v>
      </c>
      <c r="V214">
        <v>156.08940124511699</v>
      </c>
      <c r="W214">
        <v>37.903369903564403</v>
      </c>
      <c r="Y214">
        <v>213</v>
      </c>
      <c r="Z214">
        <v>32.702804565429602</v>
      </c>
      <c r="AA214">
        <v>38.907024383544901</v>
      </c>
    </row>
    <row r="215" spans="1:27" x14ac:dyDescent="0.25">
      <c r="A215" s="8">
        <f t="shared" si="12"/>
        <v>214</v>
      </c>
      <c r="B215" s="8">
        <f t="shared" si="13"/>
        <v>1</v>
      </c>
      <c r="C215" s="8">
        <f t="shared" si="14"/>
        <v>144.52950668334941</v>
      </c>
      <c r="D215" s="8">
        <v>214</v>
      </c>
      <c r="E215" s="8">
        <v>48.659496307372997</v>
      </c>
      <c r="F215" s="8">
        <v>34.754558563232401</v>
      </c>
      <c r="G215" s="8"/>
      <c r="H215" s="8">
        <v>214</v>
      </c>
      <c r="I215" s="8">
        <v>58.485176086425703</v>
      </c>
      <c r="J215" s="8">
        <v>35.673065185546797</v>
      </c>
      <c r="K215" s="8"/>
      <c r="L215" s="8">
        <v>214</v>
      </c>
      <c r="M215" s="8">
        <v>37.384834289550703</v>
      </c>
      <c r="N215" s="8">
        <v>34.961124420166001</v>
      </c>
      <c r="P215" s="8">
        <f t="shared" si="15"/>
        <v>187.73332405090292</v>
      </c>
      <c r="Q215">
        <v>214</v>
      </c>
      <c r="R215">
        <v>21.1215915679931</v>
      </c>
      <c r="S215">
        <v>40.600448608398402</v>
      </c>
      <c r="U215">
        <v>214</v>
      </c>
      <c r="V215">
        <v>120.371658325195</v>
      </c>
      <c r="W215">
        <v>40.87646484375</v>
      </c>
      <c r="Y215">
        <v>214</v>
      </c>
      <c r="Z215">
        <v>46.240074157714801</v>
      </c>
      <c r="AA215">
        <v>41.943107604980398</v>
      </c>
    </row>
    <row r="216" spans="1:27" x14ac:dyDescent="0.25">
      <c r="A216" s="8">
        <f t="shared" si="12"/>
        <v>215</v>
      </c>
      <c r="B216" s="8">
        <f t="shared" si="13"/>
        <v>1</v>
      </c>
      <c r="C216" s="8">
        <f t="shared" si="14"/>
        <v>172.95546722412098</v>
      </c>
      <c r="D216" s="8">
        <v>215</v>
      </c>
      <c r="E216" s="8">
        <v>58.209159851074197</v>
      </c>
      <c r="F216" s="8">
        <v>35.099361419677699</v>
      </c>
      <c r="G216" s="8"/>
      <c r="H216" s="8">
        <v>215</v>
      </c>
      <c r="I216" s="8">
        <v>69.906402587890597</v>
      </c>
      <c r="J216" s="8">
        <v>36.018344879150298</v>
      </c>
      <c r="K216" s="8"/>
      <c r="L216" s="8">
        <v>215</v>
      </c>
      <c r="M216" s="8">
        <v>44.8399047851562</v>
      </c>
      <c r="N216" s="8">
        <v>35.306015014648402</v>
      </c>
      <c r="P216" s="8">
        <f t="shared" si="15"/>
        <v>263.9265880584714</v>
      </c>
      <c r="Q216">
        <v>215</v>
      </c>
      <c r="R216">
        <v>30.7235507965087</v>
      </c>
      <c r="S216">
        <v>88.424713134765597</v>
      </c>
      <c r="U216">
        <v>215</v>
      </c>
      <c r="V216">
        <v>181.42971801757801</v>
      </c>
      <c r="W216">
        <v>89.853309631347599</v>
      </c>
      <c r="Y216">
        <v>215</v>
      </c>
      <c r="Z216">
        <v>51.773319244384702</v>
      </c>
      <c r="AA216">
        <v>90.093116760253906</v>
      </c>
    </row>
    <row r="217" spans="1:27" x14ac:dyDescent="0.25">
      <c r="A217" s="8">
        <f t="shared" si="12"/>
        <v>216</v>
      </c>
      <c r="B217" s="8">
        <f t="shared" si="13"/>
        <v>1</v>
      </c>
      <c r="C217" s="8">
        <f t="shared" si="14"/>
        <v>20.650071620941151</v>
      </c>
      <c r="D217" s="8">
        <v>216</v>
      </c>
      <c r="E217" s="8">
        <v>7.0032143592834402</v>
      </c>
      <c r="F217" s="8">
        <v>24.555871963500898</v>
      </c>
      <c r="G217" s="8"/>
      <c r="H217" s="8">
        <v>216</v>
      </c>
      <c r="I217" s="8">
        <v>8.2314548492431605</v>
      </c>
      <c r="J217" s="8">
        <v>24.926397323608398</v>
      </c>
      <c r="K217" s="8"/>
      <c r="L217" s="8">
        <v>216</v>
      </c>
      <c r="M217" s="8">
        <v>5.4154024124145499</v>
      </c>
      <c r="N217" s="8">
        <v>24.643251419067301</v>
      </c>
      <c r="P217" s="8">
        <f t="shared" si="15"/>
        <v>217.66815567016539</v>
      </c>
      <c r="Q217">
        <v>216</v>
      </c>
      <c r="R217">
        <v>33.433448791503899</v>
      </c>
      <c r="S217">
        <v>94.0887451171875</v>
      </c>
      <c r="U217">
        <v>216</v>
      </c>
      <c r="V217">
        <v>141.10047912597599</v>
      </c>
      <c r="W217">
        <v>96.264343261718693</v>
      </c>
      <c r="Y217">
        <v>216</v>
      </c>
      <c r="Z217">
        <v>43.134227752685497</v>
      </c>
      <c r="AA217">
        <v>96.303504943847599</v>
      </c>
    </row>
    <row r="218" spans="1:27" x14ac:dyDescent="0.25">
      <c r="A218" s="8">
        <f t="shared" si="12"/>
        <v>217</v>
      </c>
      <c r="B218" s="8">
        <f t="shared" si="13"/>
        <v>1</v>
      </c>
      <c r="C218" s="8">
        <f t="shared" si="14"/>
        <v>21.034077167510972</v>
      </c>
      <c r="D218" s="8">
        <v>217</v>
      </c>
      <c r="E218" s="8">
        <v>6.9901447296142498</v>
      </c>
      <c r="F218" s="8">
        <v>39.103111267089801</v>
      </c>
      <c r="G218" s="8"/>
      <c r="H218" s="8">
        <v>217</v>
      </c>
      <c r="I218" s="8">
        <v>8.2972288131713796</v>
      </c>
      <c r="J218" s="8">
        <v>39.663028717041001</v>
      </c>
      <c r="K218" s="8"/>
      <c r="L218" s="8">
        <v>217</v>
      </c>
      <c r="M218" s="8">
        <v>5.74670362472534</v>
      </c>
      <c r="N218" s="8">
        <v>39.346813201904297</v>
      </c>
      <c r="P218" s="8">
        <f t="shared" si="15"/>
        <v>143.13195037841791</v>
      </c>
      <c r="Q218">
        <v>217</v>
      </c>
      <c r="R218">
        <v>25.233015060424801</v>
      </c>
      <c r="S218">
        <v>89.300636291503906</v>
      </c>
      <c r="U218">
        <v>217</v>
      </c>
      <c r="V218">
        <v>93.208717346191406</v>
      </c>
      <c r="W218">
        <v>89.744895935058594</v>
      </c>
      <c r="Y218">
        <v>217</v>
      </c>
      <c r="Z218">
        <v>24.690217971801701</v>
      </c>
      <c r="AA218">
        <v>89.963264465332003</v>
      </c>
    </row>
    <row r="219" spans="1:27" x14ac:dyDescent="0.25">
      <c r="A219" s="8">
        <f t="shared" si="12"/>
        <v>218</v>
      </c>
      <c r="B219" s="8">
        <f t="shared" si="13"/>
        <v>1</v>
      </c>
      <c r="C219" s="8">
        <f t="shared" si="14"/>
        <v>105.1703796386717</v>
      </c>
      <c r="D219" s="8">
        <v>218</v>
      </c>
      <c r="E219" s="8">
        <v>34.950721740722599</v>
      </c>
      <c r="F219" s="8">
        <v>38.4652709960937</v>
      </c>
      <c r="G219" s="8"/>
      <c r="H219" s="8">
        <v>218</v>
      </c>
      <c r="I219" s="8">
        <v>41.486141204833899</v>
      </c>
      <c r="J219" s="8">
        <v>39.008224487304602</v>
      </c>
      <c r="K219" s="8"/>
      <c r="L219" s="8">
        <v>218</v>
      </c>
      <c r="M219" s="8">
        <v>28.733516693115199</v>
      </c>
      <c r="N219" s="8">
        <v>38.702678680419901</v>
      </c>
      <c r="P219" s="8">
        <f t="shared" si="15"/>
        <v>143.13195037841791</v>
      </c>
      <c r="Q219">
        <v>218</v>
      </c>
      <c r="R219">
        <v>25.233015060424801</v>
      </c>
      <c r="S219">
        <v>89.300636291503906</v>
      </c>
      <c r="U219">
        <v>218</v>
      </c>
      <c r="V219">
        <v>93.208717346191406</v>
      </c>
      <c r="W219">
        <v>89.744895935058594</v>
      </c>
      <c r="Y219">
        <v>218</v>
      </c>
      <c r="Z219">
        <v>24.690217971801701</v>
      </c>
      <c r="AA219">
        <v>89.963264465332003</v>
      </c>
    </row>
    <row r="220" spans="1:27" x14ac:dyDescent="0.25">
      <c r="A220" s="8">
        <f t="shared" si="12"/>
        <v>219</v>
      </c>
      <c r="B220" s="8">
        <f t="shared" si="13"/>
        <v>1</v>
      </c>
      <c r="C220" s="8">
        <f t="shared" si="14"/>
        <v>20.898070812225331</v>
      </c>
      <c r="D220" s="8">
        <v>219</v>
      </c>
      <c r="E220" s="8">
        <v>6.9727277755737296</v>
      </c>
      <c r="F220" s="8">
        <v>35.686317443847599</v>
      </c>
      <c r="G220" s="8"/>
      <c r="H220" s="8">
        <v>219</v>
      </c>
      <c r="I220" s="8">
        <v>8.2619724273681605</v>
      </c>
      <c r="J220" s="8">
        <v>36.024143218994098</v>
      </c>
      <c r="K220" s="8"/>
      <c r="L220" s="8">
        <v>219</v>
      </c>
      <c r="M220" s="8">
        <v>5.6633706092834402</v>
      </c>
      <c r="N220" s="8">
        <v>35.875545501708899</v>
      </c>
      <c r="P220" s="8">
        <f t="shared" si="15"/>
        <v>46.665179729461613</v>
      </c>
      <c r="Q220">
        <v>219</v>
      </c>
      <c r="R220">
        <v>5.8855271339416504</v>
      </c>
      <c r="S220">
        <v>88.1917724609375</v>
      </c>
      <c r="U220">
        <v>219</v>
      </c>
      <c r="V220">
        <v>31.792263031005799</v>
      </c>
      <c r="W220">
        <v>88.828155517578097</v>
      </c>
      <c r="Y220">
        <v>219</v>
      </c>
      <c r="Z220">
        <v>8.9873895645141602</v>
      </c>
      <c r="AA220">
        <v>89.492706298828097</v>
      </c>
    </row>
    <row r="221" spans="1:27" x14ac:dyDescent="0.25">
      <c r="A221" s="8">
        <f t="shared" si="12"/>
        <v>220</v>
      </c>
      <c r="B221" s="8">
        <f t="shared" si="13"/>
        <v>1</v>
      </c>
      <c r="C221" s="8">
        <f t="shared" si="14"/>
        <v>20.898070812225331</v>
      </c>
      <c r="D221" s="8">
        <v>220</v>
      </c>
      <c r="E221" s="8">
        <v>6.9727277755737296</v>
      </c>
      <c r="F221" s="8">
        <v>34.396839141845703</v>
      </c>
      <c r="G221" s="8"/>
      <c r="H221" s="8">
        <v>220</v>
      </c>
      <c r="I221" s="8">
        <v>8.2619724273681605</v>
      </c>
      <c r="J221" s="8">
        <v>34.6946411132812</v>
      </c>
      <c r="K221" s="8"/>
      <c r="L221" s="8">
        <v>220</v>
      </c>
      <c r="M221" s="8">
        <v>5.6633706092834402</v>
      </c>
      <c r="N221" s="8">
        <v>34.570293426513601</v>
      </c>
      <c r="P221" s="8">
        <f t="shared" si="15"/>
        <v>46.665179729461613</v>
      </c>
      <c r="Q221">
        <v>220</v>
      </c>
      <c r="R221">
        <v>5.8855271339416504</v>
      </c>
      <c r="S221">
        <v>88.1917724609375</v>
      </c>
      <c r="U221">
        <v>220</v>
      </c>
      <c r="V221">
        <v>31.792263031005799</v>
      </c>
      <c r="W221">
        <v>88.828155517578097</v>
      </c>
      <c r="Y221">
        <v>220</v>
      </c>
      <c r="Z221">
        <v>8.9873895645141602</v>
      </c>
      <c r="AA221">
        <v>89.492706298828097</v>
      </c>
    </row>
    <row r="222" spans="1:27" x14ac:dyDescent="0.25">
      <c r="A222" s="8">
        <f t="shared" si="12"/>
        <v>221</v>
      </c>
      <c r="B222" s="8">
        <f t="shared" si="13"/>
        <v>1</v>
      </c>
      <c r="C222" s="8">
        <f t="shared" si="14"/>
        <v>252.29567718505839</v>
      </c>
      <c r="D222" s="8">
        <v>221</v>
      </c>
      <c r="E222" s="8">
        <v>88.430023193359304</v>
      </c>
      <c r="F222" s="8">
        <v>43.615455627441399</v>
      </c>
      <c r="G222" s="8"/>
      <c r="H222" s="8">
        <v>221</v>
      </c>
      <c r="I222" s="8">
        <v>91.830192565917898</v>
      </c>
      <c r="J222" s="8">
        <v>43.959743499755803</v>
      </c>
      <c r="K222" s="8"/>
      <c r="L222" s="8">
        <v>221</v>
      </c>
      <c r="M222" s="8">
        <v>72.035461425781193</v>
      </c>
      <c r="N222" s="8">
        <v>43.696868896484297</v>
      </c>
      <c r="P222" s="8">
        <f t="shared" si="15"/>
        <v>27.93658947944634</v>
      </c>
      <c r="Q222">
        <v>221</v>
      </c>
      <c r="R222">
        <v>3.8157780170440598</v>
      </c>
      <c r="S222">
        <v>56.314701080322202</v>
      </c>
      <c r="U222">
        <v>221</v>
      </c>
      <c r="V222">
        <v>17.959255218505799</v>
      </c>
      <c r="W222">
        <v>56.512554168701101</v>
      </c>
      <c r="Y222">
        <v>221</v>
      </c>
      <c r="Z222">
        <v>6.1615562438964799</v>
      </c>
      <c r="AA222">
        <v>56.951580047607401</v>
      </c>
    </row>
    <row r="223" spans="1:27" x14ac:dyDescent="0.25">
      <c r="A223" s="8">
        <f t="shared" si="12"/>
        <v>222</v>
      </c>
      <c r="B223" s="8">
        <f t="shared" si="13"/>
        <v>1</v>
      </c>
      <c r="C223" s="8">
        <f t="shared" si="14"/>
        <v>298.33545684814368</v>
      </c>
      <c r="D223" s="8">
        <v>222</v>
      </c>
      <c r="E223" s="8">
        <v>86.851814270019503</v>
      </c>
      <c r="F223" s="8">
        <v>39.2572021484375</v>
      </c>
      <c r="G223" s="8"/>
      <c r="H223" s="8">
        <v>222</v>
      </c>
      <c r="I223" s="8">
        <v>120.440856933593</v>
      </c>
      <c r="J223" s="8">
        <v>39.47993850708</v>
      </c>
      <c r="K223" s="8"/>
      <c r="L223" s="8">
        <v>222</v>
      </c>
      <c r="M223" s="8">
        <v>91.042785644531193</v>
      </c>
      <c r="N223" s="8">
        <v>39.229644775390597</v>
      </c>
      <c r="P223" s="8">
        <f t="shared" si="15"/>
        <v>27.93658947944634</v>
      </c>
      <c r="Q223">
        <v>222</v>
      </c>
      <c r="R223">
        <v>3.8157780170440598</v>
      </c>
      <c r="S223">
        <v>56.314701080322202</v>
      </c>
      <c r="U223">
        <v>222</v>
      </c>
      <c r="V223">
        <v>17.959255218505799</v>
      </c>
      <c r="W223">
        <v>56.512554168701101</v>
      </c>
      <c r="Y223">
        <v>222</v>
      </c>
      <c r="Z223">
        <v>6.1615562438964799</v>
      </c>
      <c r="AA223">
        <v>56.951580047607401</v>
      </c>
    </row>
    <row r="224" spans="1:27" x14ac:dyDescent="0.25">
      <c r="A224" s="8">
        <f t="shared" si="12"/>
        <v>223</v>
      </c>
      <c r="B224" s="8">
        <f t="shared" si="13"/>
        <v>1</v>
      </c>
      <c r="C224" s="8">
        <f t="shared" si="14"/>
        <v>223.7515487670897</v>
      </c>
      <c r="D224" s="8">
        <v>223</v>
      </c>
      <c r="E224" s="8">
        <v>65.138839721679602</v>
      </c>
      <c r="F224" s="8">
        <v>39.2572021484375</v>
      </c>
      <c r="G224" s="8"/>
      <c r="H224" s="8">
        <v>223</v>
      </c>
      <c r="I224" s="8">
        <v>90.330627441406193</v>
      </c>
      <c r="J224" s="8">
        <v>39.47993850708</v>
      </c>
      <c r="K224" s="8"/>
      <c r="L224" s="8">
        <v>223</v>
      </c>
      <c r="M224" s="8">
        <v>68.282081604003906</v>
      </c>
      <c r="N224" s="8">
        <v>39.229644775390597</v>
      </c>
      <c r="P224" s="8">
        <f t="shared" si="15"/>
        <v>207.56628036499021</v>
      </c>
      <c r="Q224">
        <v>223</v>
      </c>
      <c r="R224">
        <v>37.013381958007798</v>
      </c>
      <c r="S224">
        <v>100.37549591064401</v>
      </c>
      <c r="U224">
        <v>223</v>
      </c>
      <c r="V224">
        <v>133.094970703125</v>
      </c>
      <c r="W224">
        <v>99.221633911132798</v>
      </c>
      <c r="Y224">
        <v>223</v>
      </c>
      <c r="Z224">
        <v>37.457927703857401</v>
      </c>
      <c r="AA224">
        <v>99.7391357421875</v>
      </c>
    </row>
    <row r="225" spans="1:27" x14ac:dyDescent="0.25">
      <c r="A225" s="8">
        <f t="shared" si="12"/>
        <v>224</v>
      </c>
      <c r="B225" s="8">
        <f t="shared" si="13"/>
        <v>1</v>
      </c>
      <c r="C225" s="8">
        <f t="shared" si="14"/>
        <v>43.995713233947598</v>
      </c>
      <c r="D225" s="8">
        <v>224</v>
      </c>
      <c r="E225" s="8">
        <v>10.882346153259199</v>
      </c>
      <c r="F225" s="8">
        <v>20.479728698730401</v>
      </c>
      <c r="G225" s="8"/>
      <c r="H225" s="8">
        <v>224</v>
      </c>
      <c r="I225" s="8">
        <v>17.417890548706001</v>
      </c>
      <c r="J225" s="8">
        <v>20.645807266235298</v>
      </c>
      <c r="K225" s="8"/>
      <c r="L225" s="8">
        <v>224</v>
      </c>
      <c r="M225" s="8">
        <v>15.695476531982401</v>
      </c>
      <c r="N225" s="8">
        <v>20.372997283935501</v>
      </c>
      <c r="P225" s="8">
        <f t="shared" si="15"/>
        <v>56.834794044494593</v>
      </c>
      <c r="Q225">
        <v>224</v>
      </c>
      <c r="R225">
        <v>9.8890686035156197</v>
      </c>
      <c r="S225">
        <v>59.2869873046875</v>
      </c>
      <c r="U225">
        <v>224</v>
      </c>
      <c r="V225">
        <v>37.360771179199197</v>
      </c>
      <c r="W225">
        <v>57.845798492431598</v>
      </c>
      <c r="Y225">
        <v>224</v>
      </c>
      <c r="Z225">
        <v>9.5849542617797798</v>
      </c>
      <c r="AA225">
        <v>58.363819122314403</v>
      </c>
    </row>
    <row r="226" spans="1:27" x14ac:dyDescent="0.25">
      <c r="A226" s="8">
        <f t="shared" si="12"/>
        <v>225</v>
      </c>
      <c r="B226" s="8">
        <f t="shared" si="13"/>
        <v>1</v>
      </c>
      <c r="C226" s="8">
        <f t="shared" si="14"/>
        <v>68.182958602905003</v>
      </c>
      <c r="D226" s="8">
        <v>225</v>
      </c>
      <c r="E226" s="8">
        <v>20.236839294433501</v>
      </c>
      <c r="F226" s="8">
        <v>27.1526565551757</v>
      </c>
      <c r="G226" s="8"/>
      <c r="H226" s="8">
        <v>225</v>
      </c>
      <c r="I226" s="8">
        <v>26.322200775146399</v>
      </c>
      <c r="J226" s="8">
        <v>27.318260192871001</v>
      </c>
      <c r="K226" s="8"/>
      <c r="L226" s="8">
        <v>225</v>
      </c>
      <c r="M226" s="8">
        <v>21.623918533325099</v>
      </c>
      <c r="N226" s="8">
        <v>27.133977890014599</v>
      </c>
      <c r="P226" s="8">
        <f t="shared" si="15"/>
        <v>80.987061500549174</v>
      </c>
      <c r="Q226">
        <v>225</v>
      </c>
      <c r="R226">
        <v>9.6370201110839808</v>
      </c>
      <c r="S226">
        <v>98.843742370605398</v>
      </c>
      <c r="U226">
        <v>225</v>
      </c>
      <c r="V226">
        <v>56.620941162109297</v>
      </c>
      <c r="W226">
        <v>99.089141845703097</v>
      </c>
      <c r="Y226">
        <v>225</v>
      </c>
      <c r="Z226">
        <v>14.7291002273559</v>
      </c>
      <c r="AA226">
        <v>100.028419494628</v>
      </c>
    </row>
    <row r="227" spans="1:27" x14ac:dyDescent="0.25">
      <c r="A227" s="8">
        <f t="shared" si="12"/>
        <v>226</v>
      </c>
      <c r="B227" s="8">
        <f t="shared" si="13"/>
        <v>1</v>
      </c>
      <c r="C227" s="8">
        <f t="shared" si="14"/>
        <v>121.48758316040028</v>
      </c>
      <c r="D227" s="8">
        <v>226</v>
      </c>
      <c r="E227" s="8">
        <v>35.159618377685497</v>
      </c>
      <c r="F227" s="8">
        <v>20.3407173156738</v>
      </c>
      <c r="G227" s="8"/>
      <c r="H227" s="8">
        <v>226</v>
      </c>
      <c r="I227" s="8">
        <v>47.874279022216797</v>
      </c>
      <c r="J227" s="8">
        <v>20.49556350708</v>
      </c>
      <c r="K227" s="8"/>
      <c r="L227" s="8">
        <v>226</v>
      </c>
      <c r="M227" s="8">
        <v>38.453685760497997</v>
      </c>
      <c r="N227" s="8">
        <v>20.317113876342699</v>
      </c>
      <c r="P227" s="8">
        <f t="shared" si="15"/>
        <v>24.33691978454582</v>
      </c>
      <c r="Q227">
        <v>226</v>
      </c>
      <c r="R227">
        <v>3.29787921905517</v>
      </c>
      <c r="S227">
        <v>59.846519470214801</v>
      </c>
      <c r="U227">
        <v>226</v>
      </c>
      <c r="V227">
        <v>16.794059753417901</v>
      </c>
      <c r="W227">
        <v>59.547088623046797</v>
      </c>
      <c r="Y227">
        <v>226</v>
      </c>
      <c r="Z227">
        <v>4.2449808120727504</v>
      </c>
      <c r="AA227">
        <v>60.325958251953097</v>
      </c>
    </row>
    <row r="228" spans="1:27" x14ac:dyDescent="0.25">
      <c r="A228" s="8">
        <f t="shared" si="12"/>
        <v>227</v>
      </c>
      <c r="B228" s="8">
        <f t="shared" si="13"/>
        <v>1</v>
      </c>
      <c r="C228" s="8">
        <f t="shared" si="14"/>
        <v>60.743791580200096</v>
      </c>
      <c r="D228" s="8">
        <v>227</v>
      </c>
      <c r="E228" s="8">
        <v>17.579809188842699</v>
      </c>
      <c r="F228" s="8">
        <v>19.866207122802699</v>
      </c>
      <c r="G228" s="8"/>
      <c r="H228" s="8">
        <v>227</v>
      </c>
      <c r="I228" s="8">
        <v>23.937139511108398</v>
      </c>
      <c r="J228" s="8">
        <v>20.021055221557599</v>
      </c>
      <c r="K228" s="8"/>
      <c r="L228" s="8">
        <v>227</v>
      </c>
      <c r="M228" s="8">
        <v>19.226842880248999</v>
      </c>
      <c r="N228" s="8">
        <v>19.842605590820298</v>
      </c>
      <c r="P228" s="8">
        <f t="shared" si="15"/>
        <v>24.33691978454582</v>
      </c>
      <c r="Q228">
        <v>227</v>
      </c>
      <c r="R228">
        <v>3.29787921905517</v>
      </c>
      <c r="S228">
        <v>59.846519470214801</v>
      </c>
      <c r="U228">
        <v>227</v>
      </c>
      <c r="V228">
        <v>16.794059753417901</v>
      </c>
      <c r="W228">
        <v>59.547088623046797</v>
      </c>
      <c r="Y228">
        <v>227</v>
      </c>
      <c r="Z228">
        <v>4.2449808120727504</v>
      </c>
      <c r="AA228">
        <v>60.325958251953097</v>
      </c>
    </row>
    <row r="229" spans="1:27" x14ac:dyDescent="0.25">
      <c r="A229" s="8">
        <f t="shared" si="12"/>
        <v>228</v>
      </c>
      <c r="B229" s="8">
        <f t="shared" si="13"/>
        <v>1</v>
      </c>
      <c r="C229" s="8">
        <f t="shared" si="14"/>
        <v>133.02219390869129</v>
      </c>
      <c r="D229" s="8">
        <v>228</v>
      </c>
      <c r="E229" s="8">
        <v>44.584499359130803</v>
      </c>
      <c r="F229" s="8">
        <v>31.065727233886701</v>
      </c>
      <c r="G229" s="8"/>
      <c r="H229" s="8">
        <v>228</v>
      </c>
      <c r="I229" s="8">
        <v>48.855323791503899</v>
      </c>
      <c r="J229" s="8">
        <v>31.578027725219702</v>
      </c>
      <c r="K229" s="8"/>
      <c r="L229" s="8">
        <v>228</v>
      </c>
      <c r="M229" s="8">
        <v>39.582370758056598</v>
      </c>
      <c r="N229" s="8">
        <v>31.271631240844702</v>
      </c>
      <c r="P229" s="8">
        <f t="shared" si="15"/>
        <v>55.800062179565373</v>
      </c>
      <c r="Q229">
        <v>228</v>
      </c>
      <c r="R229">
        <v>8.8893785476684499</v>
      </c>
      <c r="S229">
        <v>58.167129516601499</v>
      </c>
      <c r="U229">
        <v>228</v>
      </c>
      <c r="V229">
        <v>37.777183532714801</v>
      </c>
      <c r="W229">
        <v>58.476238250732401</v>
      </c>
      <c r="Y229">
        <v>228</v>
      </c>
      <c r="Z229">
        <v>9.13350009918212</v>
      </c>
      <c r="AA229">
        <v>58.700187683105398</v>
      </c>
    </row>
    <row r="230" spans="1:27" x14ac:dyDescent="0.25">
      <c r="A230" s="8">
        <f t="shared" si="12"/>
        <v>229</v>
      </c>
      <c r="B230" s="8">
        <f t="shared" si="13"/>
        <v>1</v>
      </c>
      <c r="C230" s="8">
        <f t="shared" si="14"/>
        <v>26.604438781738274</v>
      </c>
      <c r="D230" s="8">
        <v>229</v>
      </c>
      <c r="E230" s="8">
        <v>8.9168987274169904</v>
      </c>
      <c r="F230" s="8">
        <v>30.815727233886701</v>
      </c>
      <c r="G230" s="8"/>
      <c r="H230" s="8">
        <v>229</v>
      </c>
      <c r="I230" s="8">
        <v>9.7710657119750906</v>
      </c>
      <c r="J230" s="8">
        <v>31.328027725219702</v>
      </c>
      <c r="K230" s="8"/>
      <c r="L230" s="8">
        <v>229</v>
      </c>
      <c r="M230" s="8">
        <v>7.9164743423461896</v>
      </c>
      <c r="N230" s="8">
        <v>31.021631240844702</v>
      </c>
      <c r="P230" s="8">
        <f t="shared" si="15"/>
        <v>34.653640747070284</v>
      </c>
      <c r="Q230">
        <v>229</v>
      </c>
      <c r="R230">
        <v>4.3325281143188397</v>
      </c>
      <c r="S230">
        <v>60.313838958740199</v>
      </c>
      <c r="U230">
        <v>229</v>
      </c>
      <c r="V230">
        <v>22.059385299682599</v>
      </c>
      <c r="W230">
        <v>60.579540252685497</v>
      </c>
      <c r="Y230">
        <v>229</v>
      </c>
      <c r="Z230">
        <v>8.2617273330688406</v>
      </c>
      <c r="AA230">
        <v>60.998355865478501</v>
      </c>
    </row>
    <row r="231" spans="1:27" x14ac:dyDescent="0.25">
      <c r="A231" s="8">
        <f t="shared" si="12"/>
        <v>230</v>
      </c>
      <c r="B231" s="8">
        <f t="shared" si="13"/>
        <v>1</v>
      </c>
      <c r="C231" s="8">
        <f t="shared" si="14"/>
        <v>25.840436935424798</v>
      </c>
      <c r="D231" s="8">
        <v>230</v>
      </c>
      <c r="E231" s="8">
        <v>8.8262939453125</v>
      </c>
      <c r="F231" s="8">
        <v>30.358924865722599</v>
      </c>
      <c r="G231" s="8"/>
      <c r="H231" s="8">
        <v>230</v>
      </c>
      <c r="I231" s="8">
        <v>9.3138923645019496</v>
      </c>
      <c r="J231" s="8">
        <v>30.870748519897401</v>
      </c>
      <c r="K231" s="8"/>
      <c r="L231" s="8">
        <v>230</v>
      </c>
      <c r="M231" s="8">
        <v>7.7002506256103498</v>
      </c>
      <c r="N231" s="8">
        <v>30.564743041992099</v>
      </c>
      <c r="P231" s="8">
        <f t="shared" si="15"/>
        <v>22.21948313713067</v>
      </c>
      <c r="Q231">
        <v>230</v>
      </c>
      <c r="R231">
        <v>3.3651366233825599</v>
      </c>
      <c r="S231">
        <v>9.6769475936889595</v>
      </c>
      <c r="U231">
        <v>230</v>
      </c>
      <c r="V231">
        <v>16.6543464660644</v>
      </c>
      <c r="W231">
        <v>9.7526607513427699</v>
      </c>
      <c r="Y231">
        <v>230</v>
      </c>
      <c r="Z231">
        <v>2.20000004768371</v>
      </c>
      <c r="AA231">
        <v>9.7668037414550692</v>
      </c>
    </row>
    <row r="232" spans="1:27" x14ac:dyDescent="0.25">
      <c r="A232" s="8">
        <f t="shared" si="12"/>
        <v>231</v>
      </c>
      <c r="B232" s="8">
        <f t="shared" si="13"/>
        <v>1</v>
      </c>
      <c r="C232" s="8">
        <f t="shared" si="14"/>
        <v>18.859412670135491</v>
      </c>
      <c r="D232" s="8">
        <v>231</v>
      </c>
      <c r="E232" s="8">
        <v>6.8646559715270996</v>
      </c>
      <c r="F232" s="8">
        <v>26.552934646606399</v>
      </c>
      <c r="G232" s="8"/>
      <c r="H232" s="8">
        <v>231</v>
      </c>
      <c r="I232" s="8">
        <v>6.8787369728088299</v>
      </c>
      <c r="J232" s="8">
        <v>27.064281463623001</v>
      </c>
      <c r="K232" s="8"/>
      <c r="L232" s="8">
        <v>231</v>
      </c>
      <c r="M232" s="8">
        <v>5.1160197257995597</v>
      </c>
      <c r="N232" s="8">
        <v>26.7586669921875</v>
      </c>
      <c r="P232" s="8">
        <f t="shared" si="15"/>
        <v>21.35253977775572</v>
      </c>
      <c r="Q232">
        <v>231</v>
      </c>
      <c r="R232">
        <v>3.4879786968231201</v>
      </c>
      <c r="S232">
        <v>12.9184255599975</v>
      </c>
      <c r="U232">
        <v>231</v>
      </c>
      <c r="V232">
        <v>9.4352207183837802</v>
      </c>
      <c r="W232">
        <v>13.0890789031982</v>
      </c>
      <c r="Y232">
        <v>231</v>
      </c>
      <c r="Z232">
        <v>8.4293403625488192</v>
      </c>
      <c r="AA232">
        <v>13.115231513976999</v>
      </c>
    </row>
    <row r="233" spans="1:27" x14ac:dyDescent="0.25">
      <c r="A233" s="8">
        <f t="shared" si="12"/>
        <v>232</v>
      </c>
      <c r="B233" s="8">
        <f t="shared" si="13"/>
        <v>1</v>
      </c>
      <c r="C233" s="8">
        <f t="shared" si="14"/>
        <v>100.87078094482411</v>
      </c>
      <c r="D233" s="8">
        <v>232</v>
      </c>
      <c r="E233" s="8">
        <v>32.786972045898402</v>
      </c>
      <c r="F233" s="8">
        <v>29.5924358367919</v>
      </c>
      <c r="G233" s="8"/>
      <c r="H233" s="8">
        <v>232</v>
      </c>
      <c r="I233" s="8">
        <v>39.123359680175703</v>
      </c>
      <c r="J233" s="8">
        <v>30.067548751831001</v>
      </c>
      <c r="K233" s="8"/>
      <c r="L233" s="8">
        <v>232</v>
      </c>
      <c r="M233" s="8">
        <v>28.96044921875</v>
      </c>
      <c r="N233" s="8">
        <v>29.687160491943299</v>
      </c>
      <c r="P233" s="8">
        <f t="shared" si="15"/>
        <v>33.772800922393785</v>
      </c>
      <c r="Q233">
        <v>232</v>
      </c>
      <c r="R233">
        <v>4.7962083816528303</v>
      </c>
      <c r="S233">
        <v>49.093154907226499</v>
      </c>
      <c r="U233">
        <v>232</v>
      </c>
      <c r="V233">
        <v>22.121675491333001</v>
      </c>
      <c r="W233">
        <v>49.414928436279297</v>
      </c>
      <c r="Y233">
        <v>232</v>
      </c>
      <c r="Z233">
        <v>6.8549170494079501</v>
      </c>
      <c r="AA233">
        <v>49.880359649658203</v>
      </c>
    </row>
    <row r="234" spans="1:27" x14ac:dyDescent="0.25">
      <c r="A234" s="8">
        <f t="shared" si="12"/>
        <v>233</v>
      </c>
      <c r="B234" s="8">
        <f t="shared" si="13"/>
        <v>1</v>
      </c>
      <c r="C234" s="8">
        <f t="shared" si="14"/>
        <v>16.811797142028798</v>
      </c>
      <c r="D234" s="8">
        <v>233</v>
      </c>
      <c r="E234" s="8">
        <v>5.46449518203735</v>
      </c>
      <c r="F234" s="8">
        <v>29.5924358367919</v>
      </c>
      <c r="G234" s="8"/>
      <c r="H234" s="8">
        <v>233</v>
      </c>
      <c r="I234" s="8">
        <v>6.5205602645873997</v>
      </c>
      <c r="J234" s="8">
        <v>30.067548751831001</v>
      </c>
      <c r="K234" s="8"/>
      <c r="L234" s="8">
        <v>233</v>
      </c>
      <c r="M234" s="8">
        <v>4.8267416954040501</v>
      </c>
      <c r="N234" s="8">
        <v>29.687160491943299</v>
      </c>
      <c r="P234" s="8">
        <f t="shared" si="15"/>
        <v>380.83205795287984</v>
      </c>
      <c r="Q234">
        <v>233</v>
      </c>
      <c r="R234">
        <v>54.609523773193303</v>
      </c>
      <c r="S234">
        <v>47.993366241455</v>
      </c>
      <c r="U234">
        <v>233</v>
      </c>
      <c r="V234">
        <v>248.98677062988199</v>
      </c>
      <c r="W234">
        <v>48.068275451660099</v>
      </c>
      <c r="Y234">
        <v>233</v>
      </c>
      <c r="Z234">
        <v>77.235763549804602</v>
      </c>
      <c r="AA234">
        <v>48.567234039306598</v>
      </c>
    </row>
    <row r="235" spans="1:27" x14ac:dyDescent="0.25">
      <c r="A235" s="8">
        <f t="shared" si="12"/>
        <v>234</v>
      </c>
      <c r="B235" s="8">
        <f t="shared" si="13"/>
        <v>1</v>
      </c>
      <c r="C235" s="8">
        <f t="shared" si="14"/>
        <v>520.76016235351403</v>
      </c>
      <c r="D235" s="8">
        <v>234</v>
      </c>
      <c r="E235" s="8">
        <v>173.00906372070301</v>
      </c>
      <c r="F235" s="8">
        <v>32.252445220947202</v>
      </c>
      <c r="G235" s="8"/>
      <c r="H235" s="8">
        <v>234</v>
      </c>
      <c r="I235" s="8">
        <v>187.27163696289</v>
      </c>
      <c r="J235" s="8">
        <v>32.335147857666001</v>
      </c>
      <c r="K235" s="8"/>
      <c r="L235" s="8">
        <v>234</v>
      </c>
      <c r="M235" s="8">
        <v>160.47946166992099</v>
      </c>
      <c r="N235" s="8">
        <v>32.279949188232401</v>
      </c>
      <c r="P235" s="8">
        <f t="shared" si="15"/>
        <v>350.56333923339764</v>
      </c>
      <c r="Q235">
        <v>234</v>
      </c>
      <c r="R235">
        <v>57.338115692138601</v>
      </c>
      <c r="S235">
        <v>43.686859130859297</v>
      </c>
      <c r="U235">
        <v>234</v>
      </c>
      <c r="V235">
        <v>235.22113037109301</v>
      </c>
      <c r="W235">
        <v>44.433528900146399</v>
      </c>
      <c r="Y235">
        <v>234</v>
      </c>
      <c r="Z235">
        <v>58.004093170166001</v>
      </c>
      <c r="AA235">
        <v>44.672161102294901</v>
      </c>
    </row>
    <row r="236" spans="1:27" x14ac:dyDescent="0.25">
      <c r="A236" s="8">
        <f t="shared" si="12"/>
        <v>235</v>
      </c>
      <c r="B236" s="8">
        <f t="shared" si="13"/>
        <v>1</v>
      </c>
      <c r="C236" s="8">
        <f t="shared" si="14"/>
        <v>277.57321929931561</v>
      </c>
      <c r="D236" s="8">
        <v>235</v>
      </c>
      <c r="E236" s="8">
        <v>98.122261047363196</v>
      </c>
      <c r="F236" s="8">
        <v>29.807224273681602</v>
      </c>
      <c r="G236" s="8"/>
      <c r="H236" s="8">
        <v>235</v>
      </c>
      <c r="I236" s="8">
        <v>100.949501037597</v>
      </c>
      <c r="J236" s="8">
        <v>30.013259887695298</v>
      </c>
      <c r="K236" s="8"/>
      <c r="L236" s="8">
        <v>235</v>
      </c>
      <c r="M236" s="8">
        <v>78.501457214355398</v>
      </c>
      <c r="N236" s="8">
        <v>29.919111251831001</v>
      </c>
      <c r="P236" s="8">
        <f t="shared" si="15"/>
        <v>150.74359321594162</v>
      </c>
      <c r="Q236">
        <v>235</v>
      </c>
      <c r="R236">
        <v>24.821178436279201</v>
      </c>
      <c r="S236">
        <v>33.364166259765597</v>
      </c>
      <c r="U236">
        <v>235</v>
      </c>
      <c r="V236">
        <v>105.27017211914</v>
      </c>
      <c r="W236">
        <v>33.257335662841797</v>
      </c>
      <c r="Y236">
        <v>235</v>
      </c>
      <c r="Z236">
        <v>20.652242660522401</v>
      </c>
      <c r="AA236">
        <v>33.056297302246001</v>
      </c>
    </row>
    <row r="237" spans="1:27" x14ac:dyDescent="0.25">
      <c r="A237" s="8">
        <f t="shared" si="12"/>
        <v>236</v>
      </c>
      <c r="B237" s="8">
        <f t="shared" si="13"/>
        <v>1</v>
      </c>
      <c r="C237" s="8">
        <f t="shared" si="14"/>
        <v>341.05108642578028</v>
      </c>
      <c r="D237" s="8">
        <v>236</v>
      </c>
      <c r="E237" s="8">
        <v>120.65642547607401</v>
      </c>
      <c r="F237" s="8">
        <v>31.697467803955</v>
      </c>
      <c r="G237" s="8"/>
      <c r="H237" s="8">
        <v>236</v>
      </c>
      <c r="I237" s="8">
        <v>126.63188934326099</v>
      </c>
      <c r="J237" s="8">
        <v>31.922775268554599</v>
      </c>
      <c r="K237" s="8"/>
      <c r="L237" s="8">
        <v>236</v>
      </c>
      <c r="M237" s="8">
        <v>93.762771606445298</v>
      </c>
      <c r="N237" s="8">
        <v>31.812301635742099</v>
      </c>
      <c r="P237" s="8">
        <f t="shared" si="15"/>
        <v>137.36827754974351</v>
      </c>
      <c r="Q237">
        <v>236</v>
      </c>
      <c r="R237">
        <v>7.9848699569702104</v>
      </c>
      <c r="S237">
        <v>29.598119735717699</v>
      </c>
      <c r="U237">
        <v>236</v>
      </c>
      <c r="V237">
        <v>92.091270446777301</v>
      </c>
      <c r="W237">
        <v>30.3216533660888</v>
      </c>
      <c r="Y237">
        <v>236</v>
      </c>
      <c r="Z237">
        <v>37.292137145996001</v>
      </c>
      <c r="AA237">
        <v>30.935070037841701</v>
      </c>
    </row>
    <row r="238" spans="1:27" x14ac:dyDescent="0.25">
      <c r="A238" s="8">
        <f t="shared" si="12"/>
        <v>237</v>
      </c>
      <c r="B238" s="8">
        <f t="shared" si="13"/>
        <v>1</v>
      </c>
      <c r="C238" s="8">
        <f t="shared" si="14"/>
        <v>79.783159255981289</v>
      </c>
      <c r="D238" s="8">
        <v>237</v>
      </c>
      <c r="E238" s="8">
        <v>25.793024063110298</v>
      </c>
      <c r="F238" s="8">
        <v>44.985515594482401</v>
      </c>
      <c r="G238" s="8"/>
      <c r="H238" s="8">
        <v>237</v>
      </c>
      <c r="I238" s="8">
        <v>29.366460800170898</v>
      </c>
      <c r="J238" s="8">
        <v>46.108871459960902</v>
      </c>
      <c r="K238" s="8"/>
      <c r="L238" s="8">
        <v>237</v>
      </c>
      <c r="M238" s="8">
        <v>24.623674392700099</v>
      </c>
      <c r="N238" s="8">
        <v>45.329055786132798</v>
      </c>
      <c r="P238" s="8">
        <f t="shared" si="15"/>
        <v>13.018370717763897</v>
      </c>
      <c r="Q238">
        <v>237</v>
      </c>
      <c r="R238">
        <v>0.42044743895530701</v>
      </c>
      <c r="S238">
        <v>43.346706390380803</v>
      </c>
      <c r="U238">
        <v>237</v>
      </c>
      <c r="V238">
        <v>7.7312564849853498</v>
      </c>
      <c r="W238">
        <v>44.531394958496001</v>
      </c>
      <c r="Y238">
        <v>237</v>
      </c>
      <c r="Z238">
        <v>4.8666667938232404</v>
      </c>
      <c r="AA238">
        <v>46.930706024169901</v>
      </c>
    </row>
    <row r="239" spans="1:27" x14ac:dyDescent="0.25">
      <c r="A239" s="8">
        <f t="shared" si="12"/>
        <v>238</v>
      </c>
      <c r="B239" s="8">
        <f t="shared" si="13"/>
        <v>1</v>
      </c>
      <c r="C239" s="8">
        <f t="shared" si="14"/>
        <v>455.27380371093602</v>
      </c>
      <c r="D239" s="8">
        <v>238</v>
      </c>
      <c r="E239" s="8">
        <v>154.48695373535099</v>
      </c>
      <c r="F239" s="8">
        <v>44.068534851074197</v>
      </c>
      <c r="G239" s="8"/>
      <c r="H239" s="8">
        <v>238</v>
      </c>
      <c r="I239" s="8">
        <v>176.417388916015</v>
      </c>
      <c r="J239" s="8">
        <v>44.448123931884702</v>
      </c>
      <c r="K239" s="8"/>
      <c r="L239" s="8">
        <v>238</v>
      </c>
      <c r="M239" s="8">
        <v>124.36946105957</v>
      </c>
      <c r="N239" s="8">
        <v>44.026912689208899</v>
      </c>
      <c r="P239" s="8">
        <f t="shared" si="15"/>
        <v>7.7368162870406998</v>
      </c>
      <c r="Q239">
        <v>238</v>
      </c>
      <c r="R239">
        <v>1.1499999761581401</v>
      </c>
      <c r="S239">
        <v>45.159286499023402</v>
      </c>
      <c r="U239">
        <v>238</v>
      </c>
      <c r="V239">
        <v>3.2618165016174299</v>
      </c>
      <c r="W239">
        <v>43.255653381347599</v>
      </c>
      <c r="Y239">
        <v>238</v>
      </c>
      <c r="Z239">
        <v>3.3249998092651301</v>
      </c>
      <c r="AA239">
        <v>42.857341766357401</v>
      </c>
    </row>
    <row r="240" spans="1:27" x14ac:dyDescent="0.25">
      <c r="A240" s="8">
        <f t="shared" si="12"/>
        <v>239</v>
      </c>
      <c r="B240" s="8">
        <f t="shared" si="13"/>
        <v>1</v>
      </c>
      <c r="C240" s="8">
        <f t="shared" si="14"/>
        <v>159.56631851196281</v>
      </c>
      <c r="D240" s="8">
        <v>239</v>
      </c>
      <c r="E240" s="8">
        <v>51.586048126220703</v>
      </c>
      <c r="F240" s="8">
        <v>44.985515594482401</v>
      </c>
      <c r="G240" s="8"/>
      <c r="H240" s="8">
        <v>239</v>
      </c>
      <c r="I240" s="8">
        <v>58.732921600341797</v>
      </c>
      <c r="J240" s="8">
        <v>46.108871459960902</v>
      </c>
      <c r="K240" s="8"/>
      <c r="L240" s="8">
        <v>239</v>
      </c>
      <c r="M240" s="8">
        <v>49.247348785400298</v>
      </c>
      <c r="N240" s="8">
        <v>45.329055786132798</v>
      </c>
      <c r="P240" s="8">
        <f t="shared" si="15"/>
        <v>169.78563308715761</v>
      </c>
      <c r="Q240">
        <v>239</v>
      </c>
      <c r="R240">
        <v>35.842891693115199</v>
      </c>
      <c r="S240">
        <v>56.725784301757798</v>
      </c>
      <c r="U240">
        <v>239</v>
      </c>
      <c r="V240">
        <v>108.52894592285099</v>
      </c>
      <c r="W240">
        <v>56.655311584472599</v>
      </c>
      <c r="Y240">
        <v>239</v>
      </c>
      <c r="Z240">
        <v>25.413795471191399</v>
      </c>
      <c r="AA240">
        <v>57.3375854492187</v>
      </c>
    </row>
    <row r="241" spans="1:27" x14ac:dyDescent="0.25">
      <c r="A241" s="8">
        <f t="shared" si="12"/>
        <v>240</v>
      </c>
      <c r="B241" s="8">
        <f t="shared" si="13"/>
        <v>1</v>
      </c>
      <c r="C241" s="8">
        <f t="shared" si="14"/>
        <v>395.83312225341706</v>
      </c>
      <c r="D241" s="8">
        <v>240</v>
      </c>
      <c r="E241" s="8">
        <v>128.74792480468699</v>
      </c>
      <c r="F241" s="8">
        <v>43.812149047851499</v>
      </c>
      <c r="G241" s="8"/>
      <c r="H241" s="8">
        <v>240</v>
      </c>
      <c r="I241" s="8">
        <v>149.28623962402301</v>
      </c>
      <c r="J241" s="8">
        <v>44.702144622802699</v>
      </c>
      <c r="K241" s="8"/>
      <c r="L241" s="8">
        <v>240</v>
      </c>
      <c r="M241" s="8">
        <v>117.798957824707</v>
      </c>
      <c r="N241" s="8">
        <v>43.732135772705</v>
      </c>
      <c r="P241" s="8">
        <f t="shared" si="15"/>
        <v>1910.088592529293</v>
      </c>
      <c r="Q241">
        <v>240</v>
      </c>
      <c r="R241">
        <v>403.23254394531199</v>
      </c>
      <c r="S241">
        <v>56.725784301757798</v>
      </c>
      <c r="U241">
        <v>240</v>
      </c>
      <c r="V241">
        <v>1220.95080566406</v>
      </c>
      <c r="W241">
        <v>56.655311584472599</v>
      </c>
      <c r="Y241">
        <v>240</v>
      </c>
      <c r="Z241">
        <v>285.90524291992102</v>
      </c>
      <c r="AA241">
        <v>57.3375854492187</v>
      </c>
    </row>
    <row r="242" spans="1:27" x14ac:dyDescent="0.25">
      <c r="A242" s="8">
        <f t="shared" si="12"/>
        <v>241</v>
      </c>
      <c r="B242" s="8">
        <f t="shared" si="13"/>
        <v>1</v>
      </c>
      <c r="C242" s="8">
        <f t="shared" si="14"/>
        <v>175.7958412170409</v>
      </c>
      <c r="D242" s="8">
        <v>241</v>
      </c>
      <c r="E242" s="8">
        <v>57.307003021240199</v>
      </c>
      <c r="F242" s="8">
        <v>44.8175659179687</v>
      </c>
      <c r="G242" s="8"/>
      <c r="H242" s="8">
        <v>241</v>
      </c>
      <c r="I242" s="8">
        <v>66.406768798828097</v>
      </c>
      <c r="J242" s="8">
        <v>46.064735412597599</v>
      </c>
      <c r="K242" s="8"/>
      <c r="L242" s="8">
        <v>241</v>
      </c>
      <c r="M242" s="8">
        <v>52.082069396972599</v>
      </c>
      <c r="N242" s="8">
        <v>45.218093872070298</v>
      </c>
      <c r="P242" s="8">
        <f t="shared" si="15"/>
        <v>109.2015056610106</v>
      </c>
      <c r="Q242">
        <v>241</v>
      </c>
      <c r="R242">
        <v>10.083477020263601</v>
      </c>
      <c r="S242">
        <v>58.856395721435497</v>
      </c>
      <c r="U242">
        <v>241</v>
      </c>
      <c r="V242">
        <v>70.763160705566406</v>
      </c>
      <c r="W242">
        <v>59.586208343505803</v>
      </c>
      <c r="Y242">
        <v>241</v>
      </c>
      <c r="Z242">
        <v>28.3548679351806</v>
      </c>
      <c r="AA242">
        <v>60.388397216796797</v>
      </c>
    </row>
    <row r="243" spans="1:27" x14ac:dyDescent="0.25">
      <c r="A243" s="8">
        <f t="shared" si="12"/>
        <v>242</v>
      </c>
      <c r="B243" s="8">
        <f t="shared" si="13"/>
        <v>1</v>
      </c>
      <c r="C243" s="8">
        <f t="shared" si="14"/>
        <v>87.897920608520394</v>
      </c>
      <c r="D243" s="8">
        <v>242</v>
      </c>
      <c r="E243" s="8">
        <v>28.653501510620099</v>
      </c>
      <c r="F243" s="8">
        <v>44.8175659179687</v>
      </c>
      <c r="G243" s="8"/>
      <c r="H243" s="8">
        <v>242</v>
      </c>
      <c r="I243" s="8">
        <v>33.203384399413999</v>
      </c>
      <c r="J243" s="8">
        <v>46.064735412597599</v>
      </c>
      <c r="K243" s="8"/>
      <c r="L243" s="8">
        <v>242</v>
      </c>
      <c r="M243" s="8">
        <v>26.0410346984863</v>
      </c>
      <c r="N243" s="8">
        <v>45.218093872070298</v>
      </c>
      <c r="P243" s="8">
        <f t="shared" si="15"/>
        <v>1250.456687927245</v>
      </c>
      <c r="Q243">
        <v>242</v>
      </c>
      <c r="R243">
        <v>114.819297790527</v>
      </c>
      <c r="S243">
        <v>54.492725372314403</v>
      </c>
      <c r="U243">
        <v>242</v>
      </c>
      <c r="V243">
        <v>812.12445068359295</v>
      </c>
      <c r="W243">
        <v>55.242877960205</v>
      </c>
      <c r="Y243">
        <v>242</v>
      </c>
      <c r="Z243">
        <v>323.512939453125</v>
      </c>
      <c r="AA243">
        <v>56.005962371826101</v>
      </c>
    </row>
    <row r="244" spans="1:27" x14ac:dyDescent="0.25">
      <c r="A244" s="8">
        <f t="shared" si="12"/>
        <v>243</v>
      </c>
      <c r="B244" s="8">
        <f t="shared" si="13"/>
        <v>1</v>
      </c>
      <c r="C244" s="8">
        <f t="shared" si="14"/>
        <v>30.182587623596163</v>
      </c>
      <c r="D244" s="8">
        <v>243</v>
      </c>
      <c r="E244" s="8">
        <v>9.8704805374145508</v>
      </c>
      <c r="F244" s="8">
        <v>28.8382568359375</v>
      </c>
      <c r="G244" s="8"/>
      <c r="H244" s="8">
        <v>243</v>
      </c>
      <c r="I244" s="8">
        <v>11.063734054565399</v>
      </c>
      <c r="J244" s="8">
        <v>29.887620925903299</v>
      </c>
      <c r="K244" s="8"/>
      <c r="L244" s="8">
        <v>243</v>
      </c>
      <c r="M244" s="8">
        <v>9.2483730316162092</v>
      </c>
      <c r="N244" s="8">
        <v>29.1245212554931</v>
      </c>
      <c r="P244" s="8">
        <f t="shared" si="15"/>
        <v>27.492127895355189</v>
      </c>
      <c r="Q244">
        <v>243</v>
      </c>
      <c r="R244">
        <v>2.4092984199523899</v>
      </c>
      <c r="S244">
        <v>31.7896518707275</v>
      </c>
      <c r="U244">
        <v>243</v>
      </c>
      <c r="V244">
        <v>15.152194023132299</v>
      </c>
      <c r="W244">
        <v>32.328006744384702</v>
      </c>
      <c r="Y244">
        <v>243</v>
      </c>
      <c r="Z244">
        <v>9.9306354522705007</v>
      </c>
      <c r="AA244">
        <v>32.985244750976499</v>
      </c>
    </row>
    <row r="245" spans="1:27" x14ac:dyDescent="0.25">
      <c r="A245" s="8">
        <f t="shared" si="12"/>
        <v>244</v>
      </c>
      <c r="B245" s="8">
        <f t="shared" si="13"/>
        <v>1</v>
      </c>
      <c r="C245" s="8">
        <f t="shared" si="14"/>
        <v>60.843883514404098</v>
      </c>
      <c r="D245" s="8">
        <v>244</v>
      </c>
      <c r="E245" s="8">
        <v>19.953350067138601</v>
      </c>
      <c r="F245" s="8">
        <v>28.502996444702099</v>
      </c>
      <c r="G245" s="8"/>
      <c r="H245" s="8">
        <v>244</v>
      </c>
      <c r="I245" s="8">
        <v>22.2451152801513</v>
      </c>
      <c r="J245" s="8">
        <v>29.558946609496999</v>
      </c>
      <c r="K245" s="8"/>
      <c r="L245" s="8">
        <v>244</v>
      </c>
      <c r="M245" s="8">
        <v>18.645418167114201</v>
      </c>
      <c r="N245" s="8">
        <v>28.801698684692301</v>
      </c>
      <c r="P245" s="8">
        <f t="shared" si="15"/>
        <v>28.488673448562558</v>
      </c>
      <c r="Q245">
        <v>244</v>
      </c>
      <c r="R245">
        <v>2.2459270954132</v>
      </c>
      <c r="S245">
        <v>34.596397399902301</v>
      </c>
      <c r="U245">
        <v>244</v>
      </c>
      <c r="V245">
        <v>16.972478866577099</v>
      </c>
      <c r="W245">
        <v>34.571567535400298</v>
      </c>
      <c r="Y245">
        <v>244</v>
      </c>
      <c r="Z245">
        <v>9.2702674865722603</v>
      </c>
      <c r="AA245">
        <v>34.704002380371001</v>
      </c>
    </row>
    <row r="246" spans="1:27" x14ac:dyDescent="0.25">
      <c r="A246" s="8">
        <f t="shared" si="12"/>
        <v>245</v>
      </c>
      <c r="B246" s="8">
        <f t="shared" si="13"/>
        <v>1</v>
      </c>
      <c r="C246" s="8">
        <f t="shared" si="14"/>
        <v>77.45938873291</v>
      </c>
      <c r="D246" s="8">
        <v>245</v>
      </c>
      <c r="E246" s="8">
        <v>24.866237640380799</v>
      </c>
      <c r="F246" s="8">
        <v>56.682018280029297</v>
      </c>
      <c r="G246" s="8"/>
      <c r="H246" s="8">
        <v>245</v>
      </c>
      <c r="I246" s="8">
        <v>29.6082248687744</v>
      </c>
      <c r="J246" s="8">
        <v>57.2522583007812</v>
      </c>
      <c r="K246" s="8"/>
      <c r="L246" s="8">
        <v>245</v>
      </c>
      <c r="M246" s="8">
        <v>22.984926223754801</v>
      </c>
      <c r="N246" s="8">
        <v>56.812026977538999</v>
      </c>
      <c r="P246" s="8">
        <f t="shared" si="15"/>
        <v>6.5252050161361606</v>
      </c>
      <c r="Q246">
        <v>245</v>
      </c>
      <c r="R246">
        <v>0.739918112754821</v>
      </c>
      <c r="S246">
        <v>34.065010070800703</v>
      </c>
      <c r="U246">
        <v>245</v>
      </c>
      <c r="V246">
        <v>4.27740383148193</v>
      </c>
      <c r="W246">
        <v>34.112941741943303</v>
      </c>
      <c r="Y246">
        <v>245</v>
      </c>
      <c r="Z246">
        <v>1.5078830718994101</v>
      </c>
      <c r="AA246">
        <v>34.483718872070298</v>
      </c>
    </row>
    <row r="247" spans="1:27" x14ac:dyDescent="0.25">
      <c r="A247" s="8">
        <f t="shared" si="12"/>
        <v>246</v>
      </c>
      <c r="B247" s="8">
        <f t="shared" si="13"/>
        <v>1</v>
      </c>
      <c r="C247" s="8">
        <f t="shared" si="14"/>
        <v>511.39758300781102</v>
      </c>
      <c r="D247" s="8">
        <v>246</v>
      </c>
      <c r="E247" s="8">
        <v>160.93852233886699</v>
      </c>
      <c r="F247" s="8">
        <v>45.697170257568303</v>
      </c>
      <c r="G247" s="8"/>
      <c r="H247" s="8">
        <v>246</v>
      </c>
      <c r="I247" s="8">
        <v>204.65930175781199</v>
      </c>
      <c r="J247" s="8">
        <v>46.347682952880803</v>
      </c>
      <c r="K247" s="8"/>
      <c r="L247" s="8">
        <v>246</v>
      </c>
      <c r="M247" s="8">
        <v>145.79975891113199</v>
      </c>
      <c r="N247" s="8">
        <v>45.695259094238203</v>
      </c>
      <c r="P247" s="8">
        <f t="shared" si="15"/>
        <v>34.494247674941846</v>
      </c>
      <c r="Q247">
        <v>246</v>
      </c>
      <c r="R247">
        <v>3.6820747852325399</v>
      </c>
      <c r="S247">
        <v>49.064002990722599</v>
      </c>
      <c r="U247">
        <v>246</v>
      </c>
      <c r="V247">
        <v>19.297315597534102</v>
      </c>
      <c r="W247">
        <v>51.091827392578097</v>
      </c>
      <c r="Y247">
        <v>246</v>
      </c>
      <c r="Z247">
        <v>11.514857292175201</v>
      </c>
      <c r="AA247">
        <v>51.530380249023402</v>
      </c>
    </row>
    <row r="248" spans="1:27" x14ac:dyDescent="0.25">
      <c r="A248" s="8">
        <f t="shared" si="12"/>
        <v>247</v>
      </c>
      <c r="B248" s="8">
        <f t="shared" si="13"/>
        <v>1</v>
      </c>
      <c r="C248" s="8">
        <f t="shared" si="14"/>
        <v>155.66434097290031</v>
      </c>
      <c r="D248" s="8">
        <v>247</v>
      </c>
      <c r="E248" s="8">
        <v>49.702014923095703</v>
      </c>
      <c r="F248" s="8">
        <v>47.091896057128899</v>
      </c>
      <c r="G248" s="8"/>
      <c r="H248" s="8">
        <v>247</v>
      </c>
      <c r="I248" s="8">
        <v>56.386177062988203</v>
      </c>
      <c r="J248" s="8">
        <v>48.422767639160099</v>
      </c>
      <c r="K248" s="8"/>
      <c r="L248" s="8">
        <v>247</v>
      </c>
      <c r="M248" s="8">
        <v>49.576148986816399</v>
      </c>
      <c r="N248" s="8">
        <v>47.567779541015597</v>
      </c>
      <c r="P248" s="8">
        <f t="shared" si="15"/>
        <v>53.975605964660552</v>
      </c>
      <c r="Q248">
        <v>247</v>
      </c>
      <c r="R248">
        <v>9.6645193099975497</v>
      </c>
      <c r="S248">
        <v>53.108428955078097</v>
      </c>
      <c r="U248">
        <v>247</v>
      </c>
      <c r="V248">
        <v>33.532375335693303</v>
      </c>
      <c r="W248">
        <v>54.743328094482401</v>
      </c>
      <c r="Y248">
        <v>247</v>
      </c>
      <c r="Z248">
        <v>10.7787113189697</v>
      </c>
      <c r="AA248">
        <v>54.278846740722599</v>
      </c>
    </row>
    <row r="249" spans="1:27" x14ac:dyDescent="0.25">
      <c r="A249" s="8">
        <f t="shared" si="12"/>
        <v>248</v>
      </c>
      <c r="B249" s="8">
        <f t="shared" si="13"/>
        <v>1</v>
      </c>
      <c r="C249" s="8">
        <f t="shared" si="14"/>
        <v>154.56069183349592</v>
      </c>
      <c r="D249" s="8">
        <v>248</v>
      </c>
      <c r="E249" s="8">
        <v>49.050098419189403</v>
      </c>
      <c r="F249" s="8">
        <v>47.216045379638601</v>
      </c>
      <c r="G249" s="8"/>
      <c r="H249" s="8">
        <v>248</v>
      </c>
      <c r="I249" s="8">
        <v>56.209709167480398</v>
      </c>
      <c r="J249" s="8">
        <v>48.540328979492102</v>
      </c>
      <c r="K249" s="8"/>
      <c r="L249" s="8">
        <v>248</v>
      </c>
      <c r="M249" s="8">
        <v>49.300884246826101</v>
      </c>
      <c r="N249" s="8">
        <v>47.679489135742102</v>
      </c>
      <c r="P249" s="8">
        <f t="shared" si="15"/>
        <v>20.135934114456131</v>
      </c>
      <c r="Q249">
        <v>248</v>
      </c>
      <c r="R249">
        <v>3.9703795909881499</v>
      </c>
      <c r="S249">
        <v>33.2240180969238</v>
      </c>
      <c r="U249">
        <v>248</v>
      </c>
      <c r="V249">
        <v>12.3003997802734</v>
      </c>
      <c r="W249">
        <v>33.599147796630803</v>
      </c>
      <c r="Y249">
        <v>248</v>
      </c>
      <c r="Z249">
        <v>3.8651547431945801</v>
      </c>
      <c r="AA249">
        <v>33.273193359375</v>
      </c>
    </row>
    <row r="250" spans="1:27" x14ac:dyDescent="0.25">
      <c r="A250" s="8">
        <f t="shared" si="12"/>
        <v>249</v>
      </c>
      <c r="B250" s="8">
        <f t="shared" si="13"/>
        <v>1</v>
      </c>
      <c r="C250" s="8">
        <f t="shared" si="14"/>
        <v>380.83226776122899</v>
      </c>
      <c r="D250" s="8">
        <v>249</v>
      </c>
      <c r="E250" s="8">
        <v>125.23715209960901</v>
      </c>
      <c r="F250" s="8">
        <v>36.434806823730398</v>
      </c>
      <c r="G250" s="8"/>
      <c r="H250" s="8">
        <v>249</v>
      </c>
      <c r="I250" s="8">
        <v>145.32295227050699</v>
      </c>
      <c r="J250" s="8">
        <v>36.986255645751903</v>
      </c>
      <c r="K250" s="8"/>
      <c r="L250" s="8">
        <v>249</v>
      </c>
      <c r="M250" s="8">
        <v>110.272163391113</v>
      </c>
      <c r="N250" s="8">
        <v>36.407135009765597</v>
      </c>
      <c r="P250" s="8">
        <f t="shared" si="15"/>
        <v>20.460567474365178</v>
      </c>
      <c r="Q250">
        <v>249</v>
      </c>
      <c r="R250">
        <v>4.4799995422363201</v>
      </c>
      <c r="S250">
        <v>21.6737670898437</v>
      </c>
      <c r="U250">
        <v>249</v>
      </c>
      <c r="V250">
        <v>12.9184303283691</v>
      </c>
      <c r="W250">
        <v>21.434938430786101</v>
      </c>
      <c r="Y250">
        <v>249</v>
      </c>
      <c r="Z250">
        <v>3.0621376037597599</v>
      </c>
      <c r="AA250">
        <v>21.492677688598601</v>
      </c>
    </row>
    <row r="251" spans="1:27" x14ac:dyDescent="0.25">
      <c r="A251" s="8">
        <f t="shared" si="12"/>
        <v>250</v>
      </c>
      <c r="B251" s="8">
        <f t="shared" si="13"/>
        <v>1</v>
      </c>
      <c r="C251" s="8">
        <f t="shared" si="14"/>
        <v>465.64698791503804</v>
      </c>
      <c r="D251" s="8">
        <v>250</v>
      </c>
      <c r="E251" s="8">
        <v>150.41798400878901</v>
      </c>
      <c r="F251" s="8">
        <v>74.121536254882798</v>
      </c>
      <c r="G251" s="8"/>
      <c r="H251" s="8">
        <v>250</v>
      </c>
      <c r="I251" s="8">
        <v>182.68307495117099</v>
      </c>
      <c r="J251" s="8">
        <v>75.840873718261705</v>
      </c>
      <c r="K251" s="8"/>
      <c r="L251" s="8">
        <v>250</v>
      </c>
      <c r="M251" s="8">
        <v>132.54592895507801</v>
      </c>
      <c r="N251" s="8">
        <v>74.726646423339801</v>
      </c>
      <c r="P251" s="8">
        <f t="shared" si="15"/>
        <v>16.19905614852901</v>
      </c>
      <c r="Q251">
        <v>250</v>
      </c>
      <c r="R251">
        <v>2.60013723373413</v>
      </c>
      <c r="S251">
        <v>22.879835128784102</v>
      </c>
      <c r="U251">
        <v>250</v>
      </c>
      <c r="V251">
        <v>10.959643363952599</v>
      </c>
      <c r="W251">
        <v>23.1156501770019</v>
      </c>
      <c r="Y251">
        <v>250</v>
      </c>
      <c r="Z251">
        <v>2.6392755508422798</v>
      </c>
      <c r="AA251">
        <v>23.295326232910099</v>
      </c>
    </row>
    <row r="252" spans="1:27" x14ac:dyDescent="0.25">
      <c r="A252" s="8">
        <f t="shared" si="12"/>
        <v>251</v>
      </c>
      <c r="B252" s="8">
        <f t="shared" si="13"/>
        <v>1</v>
      </c>
      <c r="C252" s="8">
        <f t="shared" si="14"/>
        <v>51.9405708312987</v>
      </c>
      <c r="D252" s="8">
        <v>251</v>
      </c>
      <c r="E252" s="8">
        <v>17.6866760253906</v>
      </c>
      <c r="F252" s="8">
        <v>43.707302093505803</v>
      </c>
      <c r="G252" s="8"/>
      <c r="H252" s="8">
        <v>251</v>
      </c>
      <c r="I252" s="8">
        <v>19.9565410614013</v>
      </c>
      <c r="J252" s="8">
        <v>44.634689331054602</v>
      </c>
      <c r="K252" s="8"/>
      <c r="L252" s="8">
        <v>251</v>
      </c>
      <c r="M252" s="8">
        <v>14.2973537445068</v>
      </c>
      <c r="N252" s="8">
        <v>43.981128692626903</v>
      </c>
      <c r="P252" s="8">
        <f t="shared" si="15"/>
        <v>16.19905614852901</v>
      </c>
      <c r="Q252">
        <v>251</v>
      </c>
      <c r="R252">
        <v>2.60013723373413</v>
      </c>
      <c r="S252">
        <v>21.110132217407202</v>
      </c>
      <c r="U252">
        <v>251</v>
      </c>
      <c r="V252">
        <v>10.959643363952599</v>
      </c>
      <c r="W252">
        <v>21.3497714996337</v>
      </c>
      <c r="Y252">
        <v>251</v>
      </c>
      <c r="Z252">
        <v>2.6392755508422798</v>
      </c>
      <c r="AA252">
        <v>21.530858993530199</v>
      </c>
    </row>
    <row r="253" spans="1:27" x14ac:dyDescent="0.25">
      <c r="A253" s="8">
        <f t="shared" si="12"/>
        <v>252</v>
      </c>
      <c r="B253" s="8">
        <f t="shared" si="13"/>
        <v>1</v>
      </c>
      <c r="C253" s="8">
        <f t="shared" si="14"/>
        <v>120.6206893920897</v>
      </c>
      <c r="D253" s="8">
        <v>252</v>
      </c>
      <c r="E253" s="8">
        <v>40.485759735107401</v>
      </c>
      <c r="F253" s="8">
        <v>33.467353820800703</v>
      </c>
      <c r="G253" s="8"/>
      <c r="H253" s="8">
        <v>252</v>
      </c>
      <c r="I253" s="8">
        <v>47.7884712219238</v>
      </c>
      <c r="J253" s="8">
        <v>34.34419631958</v>
      </c>
      <c r="K253" s="8"/>
      <c r="L253" s="8">
        <v>252</v>
      </c>
      <c r="M253" s="8">
        <v>32.346458435058501</v>
      </c>
      <c r="N253" s="8">
        <v>33.633937835693303</v>
      </c>
      <c r="P253" s="8">
        <f t="shared" si="15"/>
        <v>21.46056771278375</v>
      </c>
      <c r="Q253">
        <v>252</v>
      </c>
      <c r="R253">
        <v>4.4799995422363201</v>
      </c>
      <c r="S253">
        <v>26.562971115112301</v>
      </c>
      <c r="U253">
        <v>252</v>
      </c>
      <c r="V253">
        <v>13.5850973129272</v>
      </c>
      <c r="W253">
        <v>26.343795776367099</v>
      </c>
      <c r="Y253">
        <v>252</v>
      </c>
      <c r="Z253">
        <v>3.3954708576202299</v>
      </c>
      <c r="AA253">
        <v>26.401613235473601</v>
      </c>
    </row>
    <row r="254" spans="1:27" x14ac:dyDescent="0.25">
      <c r="A254" s="8">
        <f t="shared" si="12"/>
        <v>253</v>
      </c>
      <c r="B254" s="8">
        <f t="shared" si="13"/>
        <v>1</v>
      </c>
      <c r="C254" s="8">
        <f t="shared" si="14"/>
        <v>120.6206893920897</v>
      </c>
      <c r="D254" s="8">
        <v>253</v>
      </c>
      <c r="E254" s="8">
        <v>40.485759735107401</v>
      </c>
      <c r="F254" s="8">
        <v>31.397006988525298</v>
      </c>
      <c r="G254" s="8"/>
      <c r="H254" s="8">
        <v>253</v>
      </c>
      <c r="I254" s="8">
        <v>47.7884712219238</v>
      </c>
      <c r="J254" s="8">
        <v>32.171409606933501</v>
      </c>
      <c r="K254" s="8"/>
      <c r="L254" s="8">
        <v>253</v>
      </c>
      <c r="M254" s="8">
        <v>32.346458435058501</v>
      </c>
      <c r="N254" s="8">
        <v>31.564651489257798</v>
      </c>
      <c r="P254" s="8">
        <f t="shared" si="15"/>
        <v>76.098675251006995</v>
      </c>
      <c r="Q254">
        <v>253</v>
      </c>
      <c r="R254">
        <v>6.0728325843811</v>
      </c>
      <c r="S254">
        <v>33.998485565185497</v>
      </c>
      <c r="U254">
        <v>253</v>
      </c>
      <c r="V254">
        <v>46.791900634765597</v>
      </c>
      <c r="W254">
        <v>34.954383850097599</v>
      </c>
      <c r="Y254">
        <v>253</v>
      </c>
      <c r="Z254">
        <v>23.233942031860298</v>
      </c>
      <c r="AA254">
        <v>35.671272277832003</v>
      </c>
    </row>
    <row r="255" spans="1:27" x14ac:dyDescent="0.25">
      <c r="A255" s="8">
        <f t="shared" si="12"/>
        <v>254</v>
      </c>
      <c r="B255" s="8">
        <f t="shared" si="13"/>
        <v>1</v>
      </c>
      <c r="C255" s="8">
        <f t="shared" si="14"/>
        <v>326.7165985107406</v>
      </c>
      <c r="D255" s="8">
        <v>254</v>
      </c>
      <c r="E255" s="8">
        <v>121.56768035888599</v>
      </c>
      <c r="F255" s="8">
        <v>74.724708557128906</v>
      </c>
      <c r="G255" s="8"/>
      <c r="H255" s="8">
        <v>254</v>
      </c>
      <c r="I255" s="8">
        <v>112.64510345458901</v>
      </c>
      <c r="J255" s="8">
        <v>76.627189636230398</v>
      </c>
      <c r="K255" s="8"/>
      <c r="L255" s="8">
        <v>254</v>
      </c>
      <c r="M255" s="8">
        <v>92.503814697265597</v>
      </c>
      <c r="N255" s="8">
        <v>75.422393798828097</v>
      </c>
      <c r="P255" s="8">
        <f t="shared" si="15"/>
        <v>70.788758277892896</v>
      </c>
      <c r="Q255">
        <v>254</v>
      </c>
      <c r="R255">
        <v>12.937618255615201</v>
      </c>
      <c r="S255">
        <v>33.740749359130803</v>
      </c>
      <c r="U255">
        <v>254</v>
      </c>
      <c r="V255">
        <v>43.551006317138601</v>
      </c>
      <c r="W255">
        <v>33.717067718505803</v>
      </c>
      <c r="Y255">
        <v>254</v>
      </c>
      <c r="Z255">
        <v>14.3001337051391</v>
      </c>
      <c r="AA255">
        <v>33.681144714355398</v>
      </c>
    </row>
    <row r="256" spans="1:27" x14ac:dyDescent="0.25">
      <c r="A256" s="8">
        <f t="shared" si="12"/>
        <v>255</v>
      </c>
      <c r="B256" s="8">
        <f t="shared" si="13"/>
        <v>1</v>
      </c>
      <c r="C256" s="8">
        <f t="shared" si="14"/>
        <v>121.38613128662101</v>
      </c>
      <c r="D256" s="8">
        <v>255</v>
      </c>
      <c r="E256" s="8">
        <v>44.274681091308501</v>
      </c>
      <c r="F256" s="8">
        <v>32.217952728271399</v>
      </c>
      <c r="G256" s="8"/>
      <c r="H256" s="8">
        <v>255</v>
      </c>
      <c r="I256" s="8">
        <v>43.9093017578125</v>
      </c>
      <c r="J256" s="8">
        <v>32.560691833496001</v>
      </c>
      <c r="K256" s="8"/>
      <c r="L256" s="8">
        <v>255</v>
      </c>
      <c r="M256" s="8">
        <v>33.2021484375</v>
      </c>
      <c r="N256" s="8">
        <v>32.442554473876903</v>
      </c>
      <c r="P256" s="8">
        <f t="shared" si="15"/>
        <v>187.45460891723562</v>
      </c>
      <c r="Q256">
        <v>255</v>
      </c>
      <c r="R256">
        <v>32.244571685791001</v>
      </c>
      <c r="S256">
        <v>37.874080657958899</v>
      </c>
      <c r="U256">
        <v>255</v>
      </c>
      <c r="V256">
        <v>111.639556884765</v>
      </c>
      <c r="W256">
        <v>38.457424163818303</v>
      </c>
      <c r="Y256">
        <v>255</v>
      </c>
      <c r="Z256">
        <v>43.570480346679602</v>
      </c>
      <c r="AA256">
        <v>38.587802886962798</v>
      </c>
    </row>
    <row r="257" spans="1:27" x14ac:dyDescent="0.25">
      <c r="A257" s="8">
        <f t="shared" si="12"/>
        <v>256</v>
      </c>
      <c r="B257" s="8">
        <f t="shared" si="13"/>
        <v>1</v>
      </c>
      <c r="C257" s="8">
        <f t="shared" si="14"/>
        <v>641.89031982421807</v>
      </c>
      <c r="D257" s="8">
        <v>256</v>
      </c>
      <c r="E257" s="8">
        <v>220.87062072753901</v>
      </c>
      <c r="F257" s="8">
        <v>38.038722991943303</v>
      </c>
      <c r="G257" s="8"/>
      <c r="H257" s="8">
        <v>256</v>
      </c>
      <c r="I257" s="8">
        <v>250.987380981445</v>
      </c>
      <c r="J257" s="8">
        <v>38.533004760742102</v>
      </c>
      <c r="K257" s="8"/>
      <c r="L257" s="8">
        <v>256</v>
      </c>
      <c r="M257" s="8">
        <v>170.03231811523401</v>
      </c>
      <c r="N257" s="8">
        <v>37.990711212158203</v>
      </c>
      <c r="P257" s="8">
        <f t="shared" si="15"/>
        <v>180.47284889221092</v>
      </c>
      <c r="Q257">
        <v>256</v>
      </c>
      <c r="R257">
        <v>17.0543918609619</v>
      </c>
      <c r="S257">
        <v>36.723663330078097</v>
      </c>
      <c r="U257">
        <v>256</v>
      </c>
      <c r="V257">
        <v>111.013282775878</v>
      </c>
      <c r="W257">
        <v>37.014621734619098</v>
      </c>
      <c r="Y257">
        <v>256</v>
      </c>
      <c r="Z257">
        <v>52.405174255371001</v>
      </c>
      <c r="AA257">
        <v>37.103794097900298</v>
      </c>
    </row>
    <row r="258" spans="1:27" x14ac:dyDescent="0.25">
      <c r="A258" s="8">
        <f t="shared" si="12"/>
        <v>257</v>
      </c>
      <c r="B258" s="8">
        <f t="shared" si="13"/>
        <v>1</v>
      </c>
      <c r="C258" s="8">
        <f t="shared" si="14"/>
        <v>342.13757324218699</v>
      </c>
      <c r="D258" s="8">
        <v>257</v>
      </c>
      <c r="E258" s="8">
        <v>124.15364074707</v>
      </c>
      <c r="F258" s="8">
        <v>39.811763763427699</v>
      </c>
      <c r="G258" s="8"/>
      <c r="H258" s="8">
        <v>257</v>
      </c>
      <c r="I258" s="8">
        <v>129.41532897949199</v>
      </c>
      <c r="J258" s="8">
        <v>41.634029388427699</v>
      </c>
      <c r="K258" s="8"/>
      <c r="L258" s="8">
        <v>257</v>
      </c>
      <c r="M258" s="8">
        <v>88.568603515625</v>
      </c>
      <c r="N258" s="8">
        <v>39.819374084472599</v>
      </c>
      <c r="P258" s="8">
        <f t="shared" si="15"/>
        <v>26.973771333694401</v>
      </c>
      <c r="Q258">
        <v>257</v>
      </c>
      <c r="R258">
        <v>3.8096578121185298</v>
      </c>
      <c r="S258">
        <v>47.928913116455</v>
      </c>
      <c r="U258">
        <v>257</v>
      </c>
      <c r="V258">
        <v>17.4478034973144</v>
      </c>
      <c r="W258">
        <v>49.085475921630803</v>
      </c>
      <c r="Y258">
        <v>257</v>
      </c>
      <c r="Z258">
        <v>5.7163100242614702</v>
      </c>
      <c r="AA258">
        <v>52.082057952880803</v>
      </c>
    </row>
    <row r="259" spans="1:27" x14ac:dyDescent="0.25">
      <c r="A259" s="8">
        <f t="shared" ref="A259:A322" si="16">IF(D259="","",D259)</f>
        <v>258</v>
      </c>
      <c r="B259" s="8">
        <f t="shared" ref="B259:B322" si="17">IF(OR(D259&lt;&gt;H259,H259&lt;&gt;L259,D259&lt;&gt;L259),0,1)</f>
        <v>1</v>
      </c>
      <c r="C259" s="8">
        <f t="shared" ref="C259:C322" si="18">SUM(E259,I259,M259)</f>
        <v>238.49534606933582</v>
      </c>
      <c r="D259" s="8">
        <v>258</v>
      </c>
      <c r="E259" s="8">
        <v>73.884361267089801</v>
      </c>
      <c r="F259" s="8">
        <v>42.840602874755803</v>
      </c>
      <c r="G259" s="8"/>
      <c r="H259" s="8">
        <v>258</v>
      </c>
      <c r="I259" s="8">
        <v>95.762870788574205</v>
      </c>
      <c r="J259" s="8">
        <v>43.631576538085902</v>
      </c>
      <c r="K259" s="8"/>
      <c r="L259" s="8">
        <v>258</v>
      </c>
      <c r="M259" s="8">
        <v>68.848114013671804</v>
      </c>
      <c r="N259" s="8">
        <v>42.892158508300703</v>
      </c>
      <c r="P259" s="8">
        <f t="shared" ref="P259:P322" si="19">R259+V259+Z259</f>
        <v>97.145611286163202</v>
      </c>
      <c r="Q259">
        <v>258</v>
      </c>
      <c r="R259">
        <v>6.5014042854309002</v>
      </c>
      <c r="S259">
        <v>48.053207397460902</v>
      </c>
      <c r="U259">
        <v>258</v>
      </c>
      <c r="V259">
        <v>57.830928802490199</v>
      </c>
      <c r="W259">
        <v>50.056285858154297</v>
      </c>
      <c r="Y259">
        <v>258</v>
      </c>
      <c r="Z259">
        <v>32.813278198242102</v>
      </c>
      <c r="AA259">
        <v>51.559776306152301</v>
      </c>
    </row>
    <row r="260" spans="1:27" x14ac:dyDescent="0.25">
      <c r="A260" s="8">
        <f t="shared" si="16"/>
        <v>259</v>
      </c>
      <c r="B260" s="8">
        <f t="shared" si="17"/>
        <v>1</v>
      </c>
      <c r="C260" s="8">
        <f t="shared" si="18"/>
        <v>0</v>
      </c>
      <c r="D260" s="8">
        <v>259</v>
      </c>
      <c r="E260" s="8">
        <v>0</v>
      </c>
      <c r="F260" s="8">
        <v>11.5009288787841</v>
      </c>
      <c r="G260" s="8"/>
      <c r="H260" s="8">
        <v>259</v>
      </c>
      <c r="I260" s="8">
        <v>0</v>
      </c>
      <c r="J260" s="8">
        <v>11.513148307800201</v>
      </c>
      <c r="K260" s="8"/>
      <c r="L260" s="8">
        <v>259</v>
      </c>
      <c r="M260" s="8">
        <v>0</v>
      </c>
      <c r="N260" s="8">
        <v>11.5160684585571</v>
      </c>
      <c r="P260" s="8">
        <f t="shared" si="19"/>
        <v>104.5675411224364</v>
      </c>
      <c r="Q260">
        <v>259</v>
      </c>
      <c r="R260">
        <v>17.420951843261701</v>
      </c>
      <c r="S260">
        <v>51.815315246582003</v>
      </c>
      <c r="U260">
        <v>259</v>
      </c>
      <c r="V260">
        <v>66.921455383300696</v>
      </c>
      <c r="W260">
        <v>51.882038116455</v>
      </c>
      <c r="Y260">
        <v>259</v>
      </c>
      <c r="Z260">
        <v>20.225133895873999</v>
      </c>
      <c r="AA260">
        <v>51.593025207519503</v>
      </c>
    </row>
    <row r="261" spans="1:27" x14ac:dyDescent="0.25">
      <c r="A261" s="8">
        <f t="shared" si="16"/>
        <v>260</v>
      </c>
      <c r="B261" s="8">
        <f t="shared" si="17"/>
        <v>1</v>
      </c>
      <c r="C261" s="8">
        <f t="shared" si="18"/>
        <v>0</v>
      </c>
      <c r="D261" s="8">
        <v>260</v>
      </c>
      <c r="E261" s="8">
        <v>0</v>
      </c>
      <c r="F261" s="8">
        <v>14.5046730041503</v>
      </c>
      <c r="G261" s="8"/>
      <c r="H261" s="8">
        <v>260</v>
      </c>
      <c r="I261" s="8">
        <v>0</v>
      </c>
      <c r="J261" s="8">
        <v>14.618498802185</v>
      </c>
      <c r="K261" s="8"/>
      <c r="L261" s="8">
        <v>260</v>
      </c>
      <c r="M261" s="8">
        <v>0</v>
      </c>
      <c r="N261" s="8">
        <v>14.570528030395501</v>
      </c>
      <c r="P261" s="8">
        <f t="shared" si="19"/>
        <v>340.67628860473599</v>
      </c>
      <c r="Q261">
        <v>260</v>
      </c>
      <c r="R261">
        <v>52.992740631103501</v>
      </c>
      <c r="S261">
        <v>50.995323181152301</v>
      </c>
      <c r="U261">
        <v>260</v>
      </c>
      <c r="V261">
        <v>215.30207824707</v>
      </c>
      <c r="W261">
        <v>51.325141906738203</v>
      </c>
      <c r="Y261">
        <v>260</v>
      </c>
      <c r="Z261">
        <v>72.3814697265625</v>
      </c>
      <c r="AA261">
        <v>51.834716796875</v>
      </c>
    </row>
    <row r="262" spans="1:27" x14ac:dyDescent="0.25">
      <c r="A262" s="8">
        <f t="shared" si="16"/>
        <v>261</v>
      </c>
      <c r="B262" s="8">
        <f t="shared" si="17"/>
        <v>1</v>
      </c>
      <c r="C262" s="8">
        <f t="shared" si="18"/>
        <v>36.019054412841626</v>
      </c>
      <c r="D262" s="8">
        <v>261</v>
      </c>
      <c r="E262" s="8">
        <v>10.1380491256713</v>
      </c>
      <c r="F262" s="8">
        <v>11.911669731140099</v>
      </c>
      <c r="G262" s="8"/>
      <c r="H262" s="8">
        <v>261</v>
      </c>
      <c r="I262" s="8">
        <v>17.407800674438398</v>
      </c>
      <c r="J262" s="8">
        <v>12.0748987197875</v>
      </c>
      <c r="K262" s="8"/>
      <c r="L262" s="8">
        <v>261</v>
      </c>
      <c r="M262" s="8">
        <v>8.47320461273193</v>
      </c>
      <c r="N262" s="8">
        <v>11.9491062164306</v>
      </c>
      <c r="P262" s="8">
        <f t="shared" si="19"/>
        <v>374.29446792602482</v>
      </c>
      <c r="Q262">
        <v>261</v>
      </c>
      <c r="R262">
        <v>52.085842132568303</v>
      </c>
      <c r="S262">
        <v>47.376491546630803</v>
      </c>
      <c r="U262">
        <v>261</v>
      </c>
      <c r="V262">
        <v>228.66833496093699</v>
      </c>
      <c r="W262">
        <v>49.057041168212798</v>
      </c>
      <c r="Y262">
        <v>261</v>
      </c>
      <c r="Z262">
        <v>93.540290832519503</v>
      </c>
      <c r="AA262">
        <v>50.051712036132798</v>
      </c>
    </row>
    <row r="263" spans="1:27" x14ac:dyDescent="0.25">
      <c r="A263" s="8">
        <f t="shared" si="16"/>
        <v>262</v>
      </c>
      <c r="B263" s="8">
        <f t="shared" si="17"/>
        <v>1</v>
      </c>
      <c r="C263" s="8">
        <f t="shared" si="18"/>
        <v>0.20000000298023199</v>
      </c>
      <c r="D263" s="8">
        <v>262</v>
      </c>
      <c r="E263" s="8">
        <v>0</v>
      </c>
      <c r="F263" s="8">
        <v>12.0586814880371</v>
      </c>
      <c r="G263" s="8"/>
      <c r="H263" s="8">
        <v>262</v>
      </c>
      <c r="I263" s="8">
        <v>0.10000000149011599</v>
      </c>
      <c r="J263" s="8">
        <v>12.087174415588301</v>
      </c>
      <c r="K263" s="8"/>
      <c r="L263" s="8">
        <v>262</v>
      </c>
      <c r="M263" s="8">
        <v>0.10000000149011599</v>
      </c>
      <c r="N263" s="8">
        <v>12.0673313140869</v>
      </c>
      <c r="P263" s="8">
        <f t="shared" si="19"/>
        <v>528.34831237792889</v>
      </c>
      <c r="Q263">
        <v>262</v>
      </c>
      <c r="R263">
        <v>105.02683258056599</v>
      </c>
      <c r="S263">
        <v>35.9950141906738</v>
      </c>
      <c r="U263">
        <v>262</v>
      </c>
      <c r="V263">
        <v>329.52670288085898</v>
      </c>
      <c r="W263">
        <v>35.132472991943303</v>
      </c>
      <c r="Y263">
        <v>262</v>
      </c>
      <c r="Z263">
        <v>93.794776916503906</v>
      </c>
      <c r="AA263">
        <v>35.1443672180175</v>
      </c>
    </row>
    <row r="264" spans="1:27" x14ac:dyDescent="0.25">
      <c r="A264" s="8">
        <f t="shared" si="16"/>
        <v>263</v>
      </c>
      <c r="B264" s="8">
        <f t="shared" si="17"/>
        <v>1</v>
      </c>
      <c r="C264" s="8">
        <f t="shared" si="18"/>
        <v>305.32268524169774</v>
      </c>
      <c r="D264" s="8">
        <v>263</v>
      </c>
      <c r="E264" s="8">
        <v>117.675407409667</v>
      </c>
      <c r="F264" s="8">
        <v>39.1796264648437</v>
      </c>
      <c r="G264" s="8"/>
      <c r="H264" s="8">
        <v>263</v>
      </c>
      <c r="I264" s="8">
        <v>119.117668151855</v>
      </c>
      <c r="J264" s="8">
        <v>42.230865478515597</v>
      </c>
      <c r="K264" s="8"/>
      <c r="L264" s="8">
        <v>263</v>
      </c>
      <c r="M264" s="8">
        <v>68.529609680175696</v>
      </c>
      <c r="N264" s="8">
        <v>39.897544860839801</v>
      </c>
      <c r="P264" s="8">
        <f t="shared" si="19"/>
        <v>206.21035003662101</v>
      </c>
      <c r="Q264">
        <v>263</v>
      </c>
      <c r="R264">
        <v>25.1443977355957</v>
      </c>
      <c r="S264">
        <v>27.279220581054599</v>
      </c>
      <c r="U264">
        <v>263</v>
      </c>
      <c r="V264">
        <v>130.9052734375</v>
      </c>
      <c r="W264">
        <v>27.493583679199201</v>
      </c>
      <c r="Y264">
        <v>263</v>
      </c>
      <c r="Z264">
        <v>50.160678863525298</v>
      </c>
      <c r="AA264">
        <v>27.6892986297607</v>
      </c>
    </row>
    <row r="265" spans="1:27" x14ac:dyDescent="0.25">
      <c r="A265" s="8">
        <f t="shared" si="16"/>
        <v>264</v>
      </c>
      <c r="B265" s="8">
        <f t="shared" si="17"/>
        <v>1</v>
      </c>
      <c r="C265" s="8">
        <f t="shared" si="18"/>
        <v>49.885542869567701</v>
      </c>
      <c r="D265" s="8">
        <v>264</v>
      </c>
      <c r="E265" s="8">
        <v>19.301424026489201</v>
      </c>
      <c r="F265" s="8">
        <v>33.666454315185497</v>
      </c>
      <c r="G265" s="8"/>
      <c r="H265" s="8">
        <v>264</v>
      </c>
      <c r="I265" s="8">
        <v>19.432334899902301</v>
      </c>
      <c r="J265" s="8">
        <v>36.437614440917898</v>
      </c>
      <c r="K265" s="8"/>
      <c r="L265" s="8">
        <v>264</v>
      </c>
      <c r="M265" s="8">
        <v>11.1517839431762</v>
      </c>
      <c r="N265" s="8">
        <v>34.287197113037102</v>
      </c>
      <c r="P265" s="8">
        <f t="shared" si="19"/>
        <v>41.24206781387317</v>
      </c>
      <c r="Q265">
        <v>264</v>
      </c>
      <c r="R265">
        <v>5.0288796424865696</v>
      </c>
      <c r="S265">
        <v>27.029220581054599</v>
      </c>
      <c r="U265">
        <v>264</v>
      </c>
      <c r="V265">
        <v>26.181051254272401</v>
      </c>
      <c r="W265">
        <v>27.243583679199201</v>
      </c>
      <c r="Y265">
        <v>264</v>
      </c>
      <c r="Z265">
        <v>10.032136917114199</v>
      </c>
      <c r="AA265">
        <v>27.4392986297607</v>
      </c>
    </row>
    <row r="266" spans="1:27" x14ac:dyDescent="0.25">
      <c r="A266" s="8">
        <f t="shared" si="16"/>
        <v>265</v>
      </c>
      <c r="B266" s="8">
        <f t="shared" si="17"/>
        <v>1</v>
      </c>
      <c r="C266" s="8">
        <f t="shared" si="18"/>
        <v>152.66134262084941</v>
      </c>
      <c r="D266" s="8">
        <v>265</v>
      </c>
      <c r="E266" s="8">
        <v>58.837703704833899</v>
      </c>
      <c r="F266" s="8">
        <v>39.1796264648437</v>
      </c>
      <c r="G266" s="8"/>
      <c r="H266" s="8">
        <v>265</v>
      </c>
      <c r="I266" s="8">
        <v>59.558834075927699</v>
      </c>
      <c r="J266" s="8">
        <v>42.230865478515597</v>
      </c>
      <c r="K266" s="8"/>
      <c r="L266" s="8">
        <v>265</v>
      </c>
      <c r="M266" s="8">
        <v>34.264804840087798</v>
      </c>
      <c r="N266" s="8">
        <v>39.897544860839801</v>
      </c>
      <c r="P266" s="8">
        <f t="shared" si="19"/>
        <v>363.71424102783169</v>
      </c>
      <c r="Q266">
        <v>265</v>
      </c>
      <c r="R266">
        <v>69.829658508300696</v>
      </c>
      <c r="S266">
        <v>92.929916381835895</v>
      </c>
      <c r="U266">
        <v>265</v>
      </c>
      <c r="V266">
        <v>213.17340087890599</v>
      </c>
      <c r="W266">
        <v>92.51904296875</v>
      </c>
      <c r="Y266">
        <v>265</v>
      </c>
      <c r="Z266">
        <v>80.711181640625</v>
      </c>
      <c r="AA266">
        <v>92.826751708984304</v>
      </c>
    </row>
    <row r="267" spans="1:27" x14ac:dyDescent="0.25">
      <c r="A267" s="8">
        <f t="shared" si="16"/>
        <v>266</v>
      </c>
      <c r="B267" s="8">
        <f t="shared" si="17"/>
        <v>1</v>
      </c>
      <c r="C267" s="8">
        <f t="shared" si="18"/>
        <v>345.05825805663949</v>
      </c>
      <c r="D267" s="8">
        <v>266</v>
      </c>
      <c r="E267" s="8">
        <v>124.755332946777</v>
      </c>
      <c r="F267" s="8">
        <v>37.595188140869098</v>
      </c>
      <c r="G267" s="8"/>
      <c r="H267" s="8">
        <v>266</v>
      </c>
      <c r="I267" s="8">
        <v>129.76287841796801</v>
      </c>
      <c r="J267" s="8">
        <v>38.540271759033203</v>
      </c>
      <c r="K267" s="8"/>
      <c r="L267" s="8">
        <v>266</v>
      </c>
      <c r="M267" s="8">
        <v>90.540046691894503</v>
      </c>
      <c r="N267" s="8">
        <v>37.989498138427699</v>
      </c>
      <c r="P267" s="8">
        <f t="shared" si="19"/>
        <v>54.892884254455453</v>
      </c>
      <c r="Q267">
        <v>266</v>
      </c>
      <c r="R267">
        <v>5.4989051818847603</v>
      </c>
      <c r="S267">
        <v>86.525390625</v>
      </c>
      <c r="U267">
        <v>266</v>
      </c>
      <c r="V267">
        <v>38.200634002685497</v>
      </c>
      <c r="W267">
        <v>87.394668579101506</v>
      </c>
      <c r="Y267">
        <v>266</v>
      </c>
      <c r="Z267">
        <v>11.193345069885201</v>
      </c>
      <c r="AA267">
        <v>88.252166748046804</v>
      </c>
    </row>
    <row r="268" spans="1:27" x14ac:dyDescent="0.25">
      <c r="A268" s="8">
        <f t="shared" si="16"/>
        <v>267</v>
      </c>
      <c r="B268" s="8">
        <f t="shared" si="17"/>
        <v>1</v>
      </c>
      <c r="C268" s="8">
        <f t="shared" si="18"/>
        <v>199.54217147827129</v>
      </c>
      <c r="D268" s="8">
        <v>267</v>
      </c>
      <c r="E268" s="8">
        <v>77.205696105957003</v>
      </c>
      <c r="F268" s="8">
        <v>33.666454315185497</v>
      </c>
      <c r="G268" s="8"/>
      <c r="H268" s="8">
        <v>267</v>
      </c>
      <c r="I268" s="8">
        <v>77.729339599609304</v>
      </c>
      <c r="J268" s="8">
        <v>36.437614440917898</v>
      </c>
      <c r="K268" s="8"/>
      <c r="L268" s="8">
        <v>267</v>
      </c>
      <c r="M268" s="8">
        <v>44.607135772705</v>
      </c>
      <c r="N268" s="8">
        <v>34.287197113037102</v>
      </c>
      <c r="P268" s="8">
        <f t="shared" si="19"/>
        <v>299.4157562255852</v>
      </c>
      <c r="Q268">
        <v>267</v>
      </c>
      <c r="R268">
        <v>29.994026184081999</v>
      </c>
      <c r="S268">
        <v>86.275390625</v>
      </c>
      <c r="U268">
        <v>267</v>
      </c>
      <c r="V268">
        <v>208.36711120605401</v>
      </c>
      <c r="W268">
        <v>87.1446533203125</v>
      </c>
      <c r="Y268">
        <v>267</v>
      </c>
      <c r="Z268">
        <v>61.054618835449197</v>
      </c>
      <c r="AA268">
        <v>88.002166748046804</v>
      </c>
    </row>
    <row r="269" spans="1:27" x14ac:dyDescent="0.25">
      <c r="A269" s="8">
        <f t="shared" si="16"/>
        <v>268</v>
      </c>
      <c r="B269" s="8">
        <f t="shared" si="17"/>
        <v>1</v>
      </c>
      <c r="C269" s="8">
        <f t="shared" si="18"/>
        <v>259.08279037475518</v>
      </c>
      <c r="D269" s="8">
        <v>268</v>
      </c>
      <c r="E269" s="8">
        <v>106.65210723876901</v>
      </c>
      <c r="F269" s="8">
        <v>72.512161254882798</v>
      </c>
      <c r="G269" s="8"/>
      <c r="H269" s="8">
        <v>268</v>
      </c>
      <c r="I269" s="8">
        <v>96.213935852050696</v>
      </c>
      <c r="J269" s="8">
        <v>77.427536010742102</v>
      </c>
      <c r="K269" s="8"/>
      <c r="L269" s="8">
        <v>268</v>
      </c>
      <c r="M269" s="8">
        <v>56.216747283935497</v>
      </c>
      <c r="N269" s="8">
        <v>73.781661987304602</v>
      </c>
      <c r="P269" s="8">
        <f t="shared" si="19"/>
        <v>316.81608200073202</v>
      </c>
      <c r="Q269">
        <v>268</v>
      </c>
      <c r="R269">
        <v>44.059543609619098</v>
      </c>
      <c r="S269">
        <v>59.652347564697202</v>
      </c>
      <c r="U269">
        <v>268</v>
      </c>
      <c r="V269">
        <v>196.88803100585901</v>
      </c>
      <c r="W269">
        <v>60.423881530761697</v>
      </c>
      <c r="Y269">
        <v>268</v>
      </c>
      <c r="Z269">
        <v>75.868507385253906</v>
      </c>
      <c r="AA269">
        <v>60.967235565185497</v>
      </c>
    </row>
    <row r="270" spans="1:27" x14ac:dyDescent="0.25">
      <c r="A270" s="8">
        <f t="shared" si="16"/>
        <v>269</v>
      </c>
      <c r="B270" s="8">
        <f t="shared" si="17"/>
        <v>1</v>
      </c>
      <c r="C270" s="8">
        <f t="shared" si="18"/>
        <v>70.547719955444109</v>
      </c>
      <c r="D270" s="8">
        <v>269</v>
      </c>
      <c r="E270" s="8">
        <v>24.242040634155199</v>
      </c>
      <c r="F270" s="8">
        <v>24.5265388488769</v>
      </c>
      <c r="G270" s="8"/>
      <c r="H270" s="8">
        <v>269</v>
      </c>
      <c r="I270" s="8">
        <v>30.516780853271399</v>
      </c>
      <c r="J270" s="8">
        <v>25.114458084106399</v>
      </c>
      <c r="K270" s="8"/>
      <c r="L270" s="8">
        <v>269</v>
      </c>
      <c r="M270" s="8">
        <v>15.7888984680175</v>
      </c>
      <c r="N270" s="8">
        <v>24.6397590637207</v>
      </c>
      <c r="P270" s="8">
        <f t="shared" si="19"/>
        <v>331.64871978759732</v>
      </c>
      <c r="Q270">
        <v>269</v>
      </c>
      <c r="R270">
        <v>50.8402709960937</v>
      </c>
      <c r="S270">
        <v>55.772891998291001</v>
      </c>
      <c r="U270">
        <v>269</v>
      </c>
      <c r="V270">
        <v>210.50764465332</v>
      </c>
      <c r="W270">
        <v>56.635356903076101</v>
      </c>
      <c r="Y270">
        <v>269</v>
      </c>
      <c r="Z270">
        <v>70.300804138183594</v>
      </c>
      <c r="AA270">
        <v>57.528484344482401</v>
      </c>
    </row>
    <row r="271" spans="1:27" x14ac:dyDescent="0.25">
      <c r="A271" s="8">
        <f t="shared" si="16"/>
        <v>270</v>
      </c>
      <c r="B271" s="8">
        <f t="shared" si="17"/>
        <v>1</v>
      </c>
      <c r="C271" s="8">
        <f t="shared" si="18"/>
        <v>77.864019393920799</v>
      </c>
      <c r="D271" s="8">
        <v>270</v>
      </c>
      <c r="E271" s="8">
        <v>29.045625686645501</v>
      </c>
      <c r="F271" s="8">
        <v>23.615451812744102</v>
      </c>
      <c r="G271" s="8"/>
      <c r="H271" s="8">
        <v>270</v>
      </c>
      <c r="I271" s="8">
        <v>26.735704421996999</v>
      </c>
      <c r="J271" s="8">
        <v>24.072994232177699</v>
      </c>
      <c r="K271" s="8"/>
      <c r="L271" s="8">
        <v>270</v>
      </c>
      <c r="M271" s="8">
        <v>22.082689285278299</v>
      </c>
      <c r="N271" s="8">
        <v>23.7944641113281</v>
      </c>
      <c r="P271" s="8">
        <f t="shared" si="19"/>
        <v>37.495378017425523</v>
      </c>
      <c r="Q271">
        <v>270</v>
      </c>
      <c r="R271">
        <v>4.4987063407897896</v>
      </c>
      <c r="S271">
        <v>27.649490356445298</v>
      </c>
      <c r="U271">
        <v>270</v>
      </c>
      <c r="V271">
        <v>23.309780120849599</v>
      </c>
      <c r="W271">
        <v>28.2978610992431</v>
      </c>
      <c r="Y271">
        <v>270</v>
      </c>
      <c r="Z271">
        <v>9.6868915557861293</v>
      </c>
      <c r="AA271">
        <v>28.557693481445298</v>
      </c>
    </row>
    <row r="272" spans="1:27" x14ac:dyDescent="0.25">
      <c r="A272" s="8">
        <f t="shared" si="16"/>
        <v>271</v>
      </c>
      <c r="B272" s="8">
        <f t="shared" si="17"/>
        <v>1</v>
      </c>
      <c r="C272" s="8">
        <f t="shared" si="18"/>
        <v>151.46728134155262</v>
      </c>
      <c r="D272" s="8">
        <v>271</v>
      </c>
      <c r="E272" s="8">
        <v>56.236190795898402</v>
      </c>
      <c r="F272" s="8">
        <v>56.805572509765597</v>
      </c>
      <c r="G272" s="8"/>
      <c r="H272" s="8">
        <v>271</v>
      </c>
      <c r="I272" s="8">
        <v>56.186428070068303</v>
      </c>
      <c r="J272" s="8">
        <v>57.8594360351562</v>
      </c>
      <c r="K272" s="8"/>
      <c r="L272" s="8">
        <v>271</v>
      </c>
      <c r="M272" s="8">
        <v>39.044662475585902</v>
      </c>
      <c r="N272" s="8">
        <v>57.413932800292898</v>
      </c>
      <c r="P272" s="8">
        <f t="shared" si="19"/>
        <v>26.221174597740109</v>
      </c>
      <c r="Q272">
        <v>271</v>
      </c>
      <c r="R272">
        <v>1.9690755605697601</v>
      </c>
      <c r="S272">
        <v>34.5184936523437</v>
      </c>
      <c r="U272">
        <v>271</v>
      </c>
      <c r="V272">
        <v>17.597932815551701</v>
      </c>
      <c r="W272">
        <v>35.082790374755803</v>
      </c>
      <c r="Y272">
        <v>271</v>
      </c>
      <c r="Z272">
        <v>6.6541662216186497</v>
      </c>
      <c r="AA272">
        <v>34.969512939453097</v>
      </c>
    </row>
    <row r="273" spans="1:27" x14ac:dyDescent="0.25">
      <c r="A273" s="8">
        <f t="shared" si="16"/>
        <v>272</v>
      </c>
      <c r="B273" s="8">
        <f t="shared" si="17"/>
        <v>1</v>
      </c>
      <c r="C273" s="8">
        <f t="shared" si="18"/>
        <v>252.44548797607411</v>
      </c>
      <c r="D273" s="8">
        <v>272</v>
      </c>
      <c r="E273" s="8">
        <v>93.726989746093693</v>
      </c>
      <c r="F273" s="8">
        <v>56.805572509765597</v>
      </c>
      <c r="G273" s="8"/>
      <c r="H273" s="8">
        <v>272</v>
      </c>
      <c r="I273" s="8">
        <v>93.64404296875</v>
      </c>
      <c r="J273" s="8">
        <v>57.8594360351562</v>
      </c>
      <c r="K273" s="8"/>
      <c r="L273" s="8">
        <v>272</v>
      </c>
      <c r="M273" s="8">
        <v>65.074455261230398</v>
      </c>
      <c r="N273" s="8">
        <v>57.413932800292898</v>
      </c>
      <c r="P273" s="8">
        <f t="shared" si="19"/>
        <v>72.929208755492994</v>
      </c>
      <c r="Q273">
        <v>272</v>
      </c>
      <c r="R273">
        <v>10.9179944992065</v>
      </c>
      <c r="S273">
        <v>43.077491760253899</v>
      </c>
      <c r="U273">
        <v>272</v>
      </c>
      <c r="V273">
        <v>48.5130195617675</v>
      </c>
      <c r="W273">
        <v>42.858169555663999</v>
      </c>
      <c r="Y273">
        <v>272</v>
      </c>
      <c r="Z273">
        <v>13.498194694519</v>
      </c>
      <c r="AA273">
        <v>42.953559875488203</v>
      </c>
    </row>
    <row r="274" spans="1:27" x14ac:dyDescent="0.25">
      <c r="A274" s="8">
        <f t="shared" si="16"/>
        <v>273</v>
      </c>
      <c r="B274" s="8">
        <f t="shared" si="17"/>
        <v>1</v>
      </c>
      <c r="C274" s="8">
        <f t="shared" si="18"/>
        <v>100.9781856536865</v>
      </c>
      <c r="D274" s="8">
        <v>273</v>
      </c>
      <c r="E274" s="8">
        <v>37.490787506103501</v>
      </c>
      <c r="F274" s="8">
        <v>56.805572509765597</v>
      </c>
      <c r="G274" s="8"/>
      <c r="H274" s="8">
        <v>273</v>
      </c>
      <c r="I274" s="8">
        <v>37.457618713378899</v>
      </c>
      <c r="J274" s="8">
        <v>57.8594360351562</v>
      </c>
      <c r="K274" s="8"/>
      <c r="L274" s="8">
        <v>273</v>
      </c>
      <c r="M274" s="8">
        <v>26.029779434204102</v>
      </c>
      <c r="N274" s="8">
        <v>57.413932800292898</v>
      </c>
      <c r="P274" s="8">
        <f t="shared" si="19"/>
        <v>52.918550968170052</v>
      </c>
      <c r="Q274">
        <v>273</v>
      </c>
      <c r="R274">
        <v>6.7352414131164497</v>
      </c>
      <c r="S274">
        <v>43.199028015136697</v>
      </c>
      <c r="U274">
        <v>273</v>
      </c>
      <c r="V274">
        <v>33.5198554992675</v>
      </c>
      <c r="W274">
        <v>43.9718017578125</v>
      </c>
      <c r="Y274">
        <v>273</v>
      </c>
      <c r="Z274">
        <v>12.663454055786101</v>
      </c>
      <c r="AA274">
        <v>44.180511474609297</v>
      </c>
    </row>
    <row r="275" spans="1:27" x14ac:dyDescent="0.25">
      <c r="A275" s="8">
        <f t="shared" si="16"/>
        <v>274</v>
      </c>
      <c r="B275" s="8">
        <f t="shared" si="17"/>
        <v>1</v>
      </c>
      <c r="C275" s="8">
        <f t="shared" si="18"/>
        <v>100.9781856536865</v>
      </c>
      <c r="D275" s="8">
        <v>274</v>
      </c>
      <c r="E275" s="8">
        <v>37.490787506103501</v>
      </c>
      <c r="F275" s="8">
        <v>56.805572509765597</v>
      </c>
      <c r="G275" s="8"/>
      <c r="H275" s="8">
        <v>274</v>
      </c>
      <c r="I275" s="8">
        <v>37.457618713378899</v>
      </c>
      <c r="J275" s="8">
        <v>57.8594360351562</v>
      </c>
      <c r="K275" s="8"/>
      <c r="L275" s="8">
        <v>274</v>
      </c>
      <c r="M275" s="8">
        <v>26.029779434204102</v>
      </c>
      <c r="N275" s="8">
        <v>57.413932800292898</v>
      </c>
      <c r="P275" s="8">
        <f t="shared" si="19"/>
        <v>45.051781177520667</v>
      </c>
      <c r="Q275">
        <v>274</v>
      </c>
      <c r="R275">
        <v>9.3465213775634695</v>
      </c>
      <c r="S275">
        <v>32.8972778320312</v>
      </c>
      <c r="U275">
        <v>274</v>
      </c>
      <c r="V275">
        <v>28.015489578246999</v>
      </c>
      <c r="W275">
        <v>33.493198394775298</v>
      </c>
      <c r="Y275">
        <v>274</v>
      </c>
      <c r="Z275">
        <v>7.6897702217101997</v>
      </c>
      <c r="AA275">
        <v>33.425395965576101</v>
      </c>
    </row>
    <row r="276" spans="1:27" x14ac:dyDescent="0.25">
      <c r="A276" s="8">
        <f t="shared" si="16"/>
        <v>275</v>
      </c>
      <c r="B276" s="8">
        <f t="shared" si="17"/>
        <v>1</v>
      </c>
      <c r="C276" s="8">
        <f t="shared" si="18"/>
        <v>166.95927047729481</v>
      </c>
      <c r="D276" s="8">
        <v>275</v>
      </c>
      <c r="E276" s="8">
        <v>64.959915161132798</v>
      </c>
      <c r="F276" s="8">
        <v>57.974250793457003</v>
      </c>
      <c r="G276" s="8"/>
      <c r="H276" s="8">
        <v>275</v>
      </c>
      <c r="I276" s="8">
        <v>59.370540618896399</v>
      </c>
      <c r="J276" s="8">
        <v>58.518081665038999</v>
      </c>
      <c r="K276" s="8"/>
      <c r="L276" s="8">
        <v>275</v>
      </c>
      <c r="M276" s="8">
        <v>42.628814697265597</v>
      </c>
      <c r="N276" s="8">
        <v>58.347965240478501</v>
      </c>
      <c r="P276" s="8">
        <f t="shared" si="19"/>
        <v>24.108201265334991</v>
      </c>
      <c r="Q276">
        <v>275</v>
      </c>
      <c r="R276">
        <v>3.85368800163269</v>
      </c>
      <c r="S276">
        <v>11.94775390625</v>
      </c>
      <c r="U276">
        <v>275</v>
      </c>
      <c r="V276">
        <v>16.136886596679599</v>
      </c>
      <c r="W276">
        <v>12.3376502990722</v>
      </c>
      <c r="Y276">
        <v>275</v>
      </c>
      <c r="Z276">
        <v>4.1176266670226997</v>
      </c>
      <c r="AA276">
        <v>12.563605308532701</v>
      </c>
    </row>
    <row r="277" spans="1:27" x14ac:dyDescent="0.25">
      <c r="A277" s="8">
        <f t="shared" si="16"/>
        <v>276</v>
      </c>
      <c r="B277" s="8">
        <f t="shared" si="17"/>
        <v>1</v>
      </c>
      <c r="C277" s="8">
        <f t="shared" si="18"/>
        <v>77.079483032226392</v>
      </c>
      <c r="D277" s="8">
        <v>276</v>
      </c>
      <c r="E277" s="8">
        <v>29.667514801025298</v>
      </c>
      <c r="F277" s="8">
        <v>56.347499847412102</v>
      </c>
      <c r="G277" s="8"/>
      <c r="H277" s="8">
        <v>276</v>
      </c>
      <c r="I277" s="8">
        <v>28.077516555786101</v>
      </c>
      <c r="J277" s="8">
        <v>56.852512359619098</v>
      </c>
      <c r="K277" s="8"/>
      <c r="L277" s="8">
        <v>276</v>
      </c>
      <c r="M277" s="8">
        <v>19.334451675415</v>
      </c>
      <c r="N277" s="8">
        <v>56.696311950683501</v>
      </c>
      <c r="P277" s="8">
        <f t="shared" si="19"/>
        <v>25.607895612716579</v>
      </c>
      <c r="Q277">
        <v>276</v>
      </c>
      <c r="R277">
        <v>3.1283094882964999</v>
      </c>
      <c r="S277">
        <v>60.427383422851499</v>
      </c>
      <c r="U277">
        <v>276</v>
      </c>
      <c r="V277">
        <v>16.4418411254882</v>
      </c>
      <c r="W277">
        <v>62.132850646972599</v>
      </c>
      <c r="Y277">
        <v>276</v>
      </c>
      <c r="Z277">
        <v>6.0377449989318803</v>
      </c>
      <c r="AA277">
        <v>64.478492736816406</v>
      </c>
    </row>
    <row r="278" spans="1:27" x14ac:dyDescent="0.25">
      <c r="A278" s="8">
        <f t="shared" si="16"/>
        <v>277</v>
      </c>
      <c r="B278" s="8">
        <f t="shared" si="17"/>
        <v>1</v>
      </c>
      <c r="C278" s="8">
        <f t="shared" si="18"/>
        <v>94.457532882690202</v>
      </c>
      <c r="D278" s="8">
        <v>277</v>
      </c>
      <c r="E278" s="8">
        <v>35.5227661132812</v>
      </c>
      <c r="F278" s="8">
        <v>39.591018676757798</v>
      </c>
      <c r="G278" s="8"/>
      <c r="H278" s="8">
        <v>277</v>
      </c>
      <c r="I278" s="8">
        <v>34.944503784179602</v>
      </c>
      <c r="J278" s="8">
        <v>40.075588226318303</v>
      </c>
      <c r="K278" s="8"/>
      <c r="L278" s="8">
        <v>277</v>
      </c>
      <c r="M278" s="8">
        <v>23.9902629852294</v>
      </c>
      <c r="N278" s="8">
        <v>39.836616516113203</v>
      </c>
      <c r="P278" s="8">
        <f t="shared" si="19"/>
        <v>56.481029987335155</v>
      </c>
      <c r="Q278">
        <v>277</v>
      </c>
      <c r="R278">
        <v>5.80043268203735</v>
      </c>
      <c r="S278">
        <v>27.515159606933501</v>
      </c>
      <c r="U278">
        <v>277</v>
      </c>
      <c r="V278">
        <v>37.609317779541001</v>
      </c>
      <c r="W278">
        <v>27.714551925659102</v>
      </c>
      <c r="Y278">
        <v>277</v>
      </c>
      <c r="Z278">
        <v>13.0712795257568</v>
      </c>
      <c r="AA278">
        <v>27.9339694976806</v>
      </c>
    </row>
    <row r="279" spans="1:27" x14ac:dyDescent="0.25">
      <c r="A279" s="8">
        <f t="shared" si="16"/>
        <v>278</v>
      </c>
      <c r="B279" s="8">
        <f t="shared" si="17"/>
        <v>1</v>
      </c>
      <c r="C279" s="8">
        <f t="shared" si="18"/>
        <v>108.79652404785141</v>
      </c>
      <c r="D279" s="8">
        <v>278</v>
      </c>
      <c r="E279" s="8">
        <v>34.67915725708</v>
      </c>
      <c r="F279" s="8">
        <v>35.392467498779297</v>
      </c>
      <c r="G279" s="8"/>
      <c r="H279" s="8">
        <v>278</v>
      </c>
      <c r="I279" s="8">
        <v>41.445728302001903</v>
      </c>
      <c r="J279" s="8">
        <v>35.8635864257812</v>
      </c>
      <c r="K279" s="8"/>
      <c r="L279" s="8">
        <v>278</v>
      </c>
      <c r="M279" s="8">
        <v>32.671638488769503</v>
      </c>
      <c r="N279" s="8">
        <v>35.702953338622997</v>
      </c>
      <c r="P279" s="8">
        <f t="shared" si="19"/>
        <v>37.707518815994149</v>
      </c>
      <c r="Q279">
        <v>278</v>
      </c>
      <c r="R279">
        <v>3.08243680000305</v>
      </c>
      <c r="S279">
        <v>32.4338569641113</v>
      </c>
      <c r="U279">
        <v>278</v>
      </c>
      <c r="V279">
        <v>23.953025817871001</v>
      </c>
      <c r="W279">
        <v>32.273502349853501</v>
      </c>
      <c r="Y279">
        <v>278</v>
      </c>
      <c r="Z279">
        <v>10.672056198120099</v>
      </c>
      <c r="AA279">
        <v>32.740318298339801</v>
      </c>
    </row>
    <row r="280" spans="1:27" x14ac:dyDescent="0.25">
      <c r="A280" s="8">
        <f t="shared" si="16"/>
        <v>279</v>
      </c>
      <c r="B280" s="8">
        <f t="shared" si="17"/>
        <v>1</v>
      </c>
      <c r="C280" s="8">
        <f t="shared" si="18"/>
        <v>11.234988927841171</v>
      </c>
      <c r="D280" s="8">
        <v>279</v>
      </c>
      <c r="E280" s="8">
        <v>4.7004032135009703</v>
      </c>
      <c r="F280" s="8">
        <v>25.536140441894499</v>
      </c>
      <c r="G280" s="8"/>
      <c r="H280" s="8">
        <v>279</v>
      </c>
      <c r="I280" s="8">
        <v>3.58981728553771</v>
      </c>
      <c r="J280" s="8">
        <v>25.9270935058593</v>
      </c>
      <c r="K280" s="8"/>
      <c r="L280" s="8">
        <v>279</v>
      </c>
      <c r="M280" s="8">
        <v>2.9447684288024898</v>
      </c>
      <c r="N280" s="8">
        <v>25.7161445617675</v>
      </c>
      <c r="P280" s="8">
        <f t="shared" si="19"/>
        <v>48.784746170043924</v>
      </c>
      <c r="Q280">
        <v>279</v>
      </c>
      <c r="R280">
        <v>6.6838798522949201</v>
      </c>
      <c r="S280">
        <v>15.2253808975219</v>
      </c>
      <c r="U280">
        <v>279</v>
      </c>
      <c r="V280">
        <v>33.284000396728501</v>
      </c>
      <c r="W280">
        <v>16.164484024047798</v>
      </c>
      <c r="Y280">
        <v>279</v>
      </c>
      <c r="Z280">
        <v>8.8168659210205007</v>
      </c>
      <c r="AA280">
        <v>16.2697734832763</v>
      </c>
    </row>
    <row r="281" spans="1:27" x14ac:dyDescent="0.25">
      <c r="A281" s="8">
        <f t="shared" si="16"/>
        <v>280</v>
      </c>
      <c r="B281" s="8">
        <f t="shared" si="17"/>
        <v>1</v>
      </c>
      <c r="C281" s="8">
        <f t="shared" si="18"/>
        <v>30.380913734435978</v>
      </c>
      <c r="D281" s="8">
        <v>280</v>
      </c>
      <c r="E281" s="8">
        <v>11.934329032897899</v>
      </c>
      <c r="F281" s="8">
        <v>25.721061706542901</v>
      </c>
      <c r="G281" s="8"/>
      <c r="H281" s="8">
        <v>280</v>
      </c>
      <c r="I281" s="8">
        <v>9.8046512603759695</v>
      </c>
      <c r="J281" s="8">
        <v>26.127273559570298</v>
      </c>
      <c r="K281" s="8"/>
      <c r="L281" s="8">
        <v>280</v>
      </c>
      <c r="M281" s="8">
        <v>8.6419334411621094</v>
      </c>
      <c r="N281" s="8">
        <v>26.026453018188398</v>
      </c>
      <c r="P281" s="8">
        <f t="shared" si="19"/>
        <v>0</v>
      </c>
      <c r="Q281">
        <v>280</v>
      </c>
      <c r="R281">
        <v>0</v>
      </c>
      <c r="S281">
        <v>5.9894728660583496</v>
      </c>
      <c r="U281">
        <v>280</v>
      </c>
      <c r="V281">
        <v>0</v>
      </c>
      <c r="W281">
        <v>5.9904088973998997</v>
      </c>
      <c r="Y281">
        <v>280</v>
      </c>
      <c r="Z281">
        <v>0</v>
      </c>
      <c r="AA281">
        <v>5.99220848083496</v>
      </c>
    </row>
    <row r="282" spans="1:27" x14ac:dyDescent="0.25">
      <c r="A282" s="8">
        <f t="shared" si="16"/>
        <v>281</v>
      </c>
      <c r="B282" s="8">
        <f t="shared" si="17"/>
        <v>1</v>
      </c>
      <c r="C282" s="8">
        <f t="shared" si="18"/>
        <v>18.91221618652343</v>
      </c>
      <c r="D282" s="8">
        <v>281</v>
      </c>
      <c r="E282" s="8">
        <v>6.98439216613769</v>
      </c>
      <c r="F282" s="8">
        <v>24.2537517547607</v>
      </c>
      <c r="G282" s="8"/>
      <c r="H282" s="8">
        <v>281</v>
      </c>
      <c r="I282" s="8">
        <v>5.1052532196044904</v>
      </c>
      <c r="J282" s="8">
        <v>24.609636306762599</v>
      </c>
      <c r="K282" s="8"/>
      <c r="L282" s="8">
        <v>281</v>
      </c>
      <c r="M282" s="8">
        <v>6.82257080078125</v>
      </c>
      <c r="N282" s="8">
        <v>24.4316387176513</v>
      </c>
      <c r="P282" s="8">
        <f t="shared" si="19"/>
        <v>109.29748153686511</v>
      </c>
      <c r="Q282">
        <v>281</v>
      </c>
      <c r="R282">
        <v>13.7310028076171</v>
      </c>
      <c r="S282">
        <v>24.976909637451101</v>
      </c>
      <c r="U282">
        <v>281</v>
      </c>
      <c r="V282">
        <v>72.015846252441406</v>
      </c>
      <c r="W282">
        <v>25.954187393188398</v>
      </c>
      <c r="Y282">
        <v>281</v>
      </c>
      <c r="Z282">
        <v>23.550632476806602</v>
      </c>
      <c r="AA282">
        <v>25.926643371581999</v>
      </c>
    </row>
    <row r="283" spans="1:27" x14ac:dyDescent="0.25">
      <c r="A283" s="8">
        <f t="shared" si="16"/>
        <v>282</v>
      </c>
      <c r="B283" s="8">
        <f t="shared" si="17"/>
        <v>1</v>
      </c>
      <c r="C283" s="8">
        <f t="shared" si="18"/>
        <v>386.44814300536973</v>
      </c>
      <c r="D283" s="8">
        <v>282</v>
      </c>
      <c r="E283" s="8">
        <v>164.31977844238199</v>
      </c>
      <c r="F283" s="8">
        <v>72.825180053710895</v>
      </c>
      <c r="G283" s="8"/>
      <c r="H283" s="8">
        <v>282</v>
      </c>
      <c r="I283" s="8">
        <v>128.98793029785099</v>
      </c>
      <c r="J283" s="8">
        <v>75.418609619140597</v>
      </c>
      <c r="K283" s="8"/>
      <c r="L283" s="8">
        <v>282</v>
      </c>
      <c r="M283" s="8">
        <v>93.140434265136705</v>
      </c>
      <c r="N283" s="8">
        <v>73.424346923828097</v>
      </c>
      <c r="P283" s="8">
        <f t="shared" si="19"/>
        <v>194.34173202514631</v>
      </c>
      <c r="Q283">
        <v>282</v>
      </c>
      <c r="R283">
        <v>33.400001525878899</v>
      </c>
      <c r="S283">
        <v>18.647096633911101</v>
      </c>
      <c r="U283">
        <v>282</v>
      </c>
      <c r="V283">
        <v>130.74172973632801</v>
      </c>
      <c r="W283">
        <v>18.9111728668212</v>
      </c>
      <c r="Y283">
        <v>282</v>
      </c>
      <c r="Z283">
        <v>30.2000007629394</v>
      </c>
      <c r="AA283">
        <v>18.760206222534102</v>
      </c>
    </row>
    <row r="284" spans="1:27" x14ac:dyDescent="0.25">
      <c r="A284" s="8">
        <f t="shared" si="16"/>
        <v>283</v>
      </c>
      <c r="B284" s="8">
        <f t="shared" si="17"/>
        <v>1</v>
      </c>
      <c r="C284" s="8">
        <f t="shared" si="18"/>
        <v>43.992895126342603</v>
      </c>
      <c r="D284" s="8">
        <v>283</v>
      </c>
      <c r="E284" s="8">
        <v>18.4849243164062</v>
      </c>
      <c r="F284" s="8">
        <v>41.191387176513601</v>
      </c>
      <c r="G284" s="8"/>
      <c r="H284" s="8">
        <v>283</v>
      </c>
      <c r="I284" s="8">
        <v>14.631665229797299</v>
      </c>
      <c r="J284" s="8">
        <v>42.920768737792898</v>
      </c>
      <c r="K284" s="8"/>
      <c r="L284" s="8">
        <v>283</v>
      </c>
      <c r="M284" s="8">
        <v>10.8763055801391</v>
      </c>
      <c r="N284" s="8">
        <v>41.640941619872997</v>
      </c>
      <c r="P284" s="8">
        <f t="shared" si="19"/>
        <v>4.3515851497650111</v>
      </c>
      <c r="Q284">
        <v>283</v>
      </c>
      <c r="R284">
        <v>0.93606954813003496</v>
      </c>
      <c r="S284">
        <v>60.338348388671797</v>
      </c>
      <c r="U284">
        <v>283</v>
      </c>
      <c r="V284">
        <v>2.66850662231445</v>
      </c>
      <c r="W284">
        <v>59.517162322997997</v>
      </c>
      <c r="Y284">
        <v>283</v>
      </c>
      <c r="Z284">
        <v>0.74700897932052601</v>
      </c>
      <c r="AA284">
        <v>60.488948822021399</v>
      </c>
    </row>
    <row r="285" spans="1:27" x14ac:dyDescent="0.25">
      <c r="A285" s="8">
        <f t="shared" si="16"/>
        <v>284</v>
      </c>
      <c r="B285" s="8">
        <f t="shared" si="17"/>
        <v>1</v>
      </c>
      <c r="C285" s="8">
        <f t="shared" si="18"/>
        <v>69.215881347656108</v>
      </c>
      <c r="D285" s="8">
        <v>284</v>
      </c>
      <c r="E285" s="8">
        <v>26.8374118804931</v>
      </c>
      <c r="F285" s="8">
        <v>31.6851387023925</v>
      </c>
      <c r="G285" s="8"/>
      <c r="H285" s="8">
        <v>284</v>
      </c>
      <c r="I285" s="8">
        <v>22.731410980224599</v>
      </c>
      <c r="J285" s="8">
        <v>34.838134765625</v>
      </c>
      <c r="K285" s="8"/>
      <c r="L285" s="8">
        <v>284</v>
      </c>
      <c r="M285" s="8">
        <v>19.647058486938398</v>
      </c>
      <c r="N285" s="8">
        <v>32.131103515625</v>
      </c>
      <c r="P285" s="8">
        <f t="shared" si="19"/>
        <v>6.4610263109207082</v>
      </c>
      <c r="Q285">
        <v>284</v>
      </c>
      <c r="R285">
        <v>0.63253188133239702</v>
      </c>
      <c r="S285">
        <v>33.051937103271399</v>
      </c>
      <c r="U285">
        <v>284</v>
      </c>
      <c r="V285">
        <v>4.1439428329467702</v>
      </c>
      <c r="W285">
        <v>33.661647796630803</v>
      </c>
      <c r="Y285">
        <v>284</v>
      </c>
      <c r="Z285">
        <v>1.6845515966415401</v>
      </c>
      <c r="AA285">
        <v>33.9446411132812</v>
      </c>
    </row>
    <row r="286" spans="1:27" x14ac:dyDescent="0.25">
      <c r="A286" s="8">
        <f t="shared" si="16"/>
        <v>285</v>
      </c>
      <c r="B286" s="8">
        <f t="shared" si="17"/>
        <v>1</v>
      </c>
      <c r="C286" s="8">
        <f t="shared" si="18"/>
        <v>159.35672378540019</v>
      </c>
      <c r="D286" s="8">
        <v>285</v>
      </c>
      <c r="E286" s="8">
        <v>69.578994750976506</v>
      </c>
      <c r="F286" s="8">
        <v>55.855972290038999</v>
      </c>
      <c r="G286" s="8"/>
      <c r="H286" s="8">
        <v>285</v>
      </c>
      <c r="I286" s="8">
        <v>56.121284484863203</v>
      </c>
      <c r="J286" s="8">
        <v>57.875785827636697</v>
      </c>
      <c r="K286" s="8"/>
      <c r="L286" s="8">
        <v>285</v>
      </c>
      <c r="M286" s="8">
        <v>33.656444549560497</v>
      </c>
      <c r="N286" s="8">
        <v>56.238822937011697</v>
      </c>
      <c r="P286" s="8">
        <f t="shared" si="19"/>
        <v>15.218395233154281</v>
      </c>
      <c r="Q286">
        <v>285</v>
      </c>
      <c r="R286">
        <v>2.4527997970581001</v>
      </c>
      <c r="S286">
        <v>40.752750396728501</v>
      </c>
      <c r="U286">
        <v>285</v>
      </c>
      <c r="V286">
        <v>9.2559614181518501</v>
      </c>
      <c r="W286">
        <v>41.8385620117187</v>
      </c>
      <c r="Y286">
        <v>285</v>
      </c>
      <c r="Z286">
        <v>3.5096340179443302</v>
      </c>
      <c r="AA286">
        <v>42.222770690917898</v>
      </c>
    </row>
    <row r="287" spans="1:27" x14ac:dyDescent="0.25">
      <c r="A287" s="8">
        <f t="shared" si="16"/>
        <v>286</v>
      </c>
      <c r="B287" s="8">
        <f t="shared" si="17"/>
        <v>1</v>
      </c>
      <c r="C287" s="8">
        <f t="shared" si="18"/>
        <v>105.4516410827635</v>
      </c>
      <c r="D287" s="8">
        <v>286</v>
      </c>
      <c r="E287" s="8">
        <v>39.063327789306598</v>
      </c>
      <c r="F287" s="8">
        <v>43.750225067138601</v>
      </c>
      <c r="G287" s="8"/>
      <c r="H287" s="8">
        <v>286</v>
      </c>
      <c r="I287" s="8">
        <v>33.649497985839801</v>
      </c>
      <c r="J287" s="8">
        <v>44.902359008788999</v>
      </c>
      <c r="K287" s="8"/>
      <c r="L287" s="8">
        <v>286</v>
      </c>
      <c r="M287" s="8">
        <v>32.738815307617102</v>
      </c>
      <c r="N287" s="8">
        <v>43.770370483398402</v>
      </c>
      <c r="P287" s="8">
        <f t="shared" si="19"/>
        <v>12.139511227607709</v>
      </c>
      <c r="Q287">
        <v>286</v>
      </c>
      <c r="R287">
        <v>1.5281070470809901</v>
      </c>
      <c r="S287">
        <v>42.691909790038999</v>
      </c>
      <c r="U287">
        <v>286</v>
      </c>
      <c r="V287">
        <v>7.7072896957397399</v>
      </c>
      <c r="W287">
        <v>43.773727416992102</v>
      </c>
      <c r="Y287">
        <v>286</v>
      </c>
      <c r="Z287">
        <v>2.9041144847869802</v>
      </c>
      <c r="AA287">
        <v>44.275123596191399</v>
      </c>
    </row>
    <row r="288" spans="1:27" x14ac:dyDescent="0.25">
      <c r="A288" s="8">
        <f t="shared" si="16"/>
        <v>287</v>
      </c>
      <c r="B288" s="8">
        <f t="shared" si="17"/>
        <v>1</v>
      </c>
      <c r="C288" s="8">
        <f t="shared" si="18"/>
        <v>14.399669647216781</v>
      </c>
      <c r="D288" s="8">
        <v>287</v>
      </c>
      <c r="E288" s="8">
        <v>5.6398873329162598</v>
      </c>
      <c r="F288" s="8">
        <v>25.949569702148398</v>
      </c>
      <c r="G288" s="8"/>
      <c r="H288" s="8">
        <v>287</v>
      </c>
      <c r="I288" s="8">
        <v>5.4243354797363201</v>
      </c>
      <c r="J288" s="8">
        <v>26.151401519775298</v>
      </c>
      <c r="K288" s="8"/>
      <c r="L288" s="8">
        <v>287</v>
      </c>
      <c r="M288" s="8">
        <v>3.3354468345642001</v>
      </c>
      <c r="N288" s="8">
        <v>25.5524501800537</v>
      </c>
      <c r="P288" s="8">
        <f t="shared" si="19"/>
        <v>43.933331489562875</v>
      </c>
      <c r="Q288">
        <v>287</v>
      </c>
      <c r="R288">
        <v>7.56666660308837</v>
      </c>
      <c r="S288">
        <v>51.930583953857401</v>
      </c>
      <c r="U288">
        <v>287</v>
      </c>
      <c r="V288">
        <v>24.8333320617675</v>
      </c>
      <c r="W288">
        <v>50.9137153625488</v>
      </c>
      <c r="Y288">
        <v>287</v>
      </c>
      <c r="Z288">
        <v>11.533332824706999</v>
      </c>
      <c r="AA288">
        <v>51.553661346435497</v>
      </c>
    </row>
    <row r="289" spans="1:27" x14ac:dyDescent="0.25">
      <c r="A289" s="8">
        <f t="shared" si="16"/>
        <v>288</v>
      </c>
      <c r="B289" s="8">
        <f t="shared" si="17"/>
        <v>1</v>
      </c>
      <c r="C289" s="8">
        <f t="shared" si="18"/>
        <v>14.299669265747061</v>
      </c>
      <c r="D289" s="8">
        <v>288</v>
      </c>
      <c r="E289" s="8">
        <v>5.6398873329162598</v>
      </c>
      <c r="F289" s="8">
        <v>18.844860076904201</v>
      </c>
      <c r="G289" s="8"/>
      <c r="H289" s="8">
        <v>288</v>
      </c>
      <c r="I289" s="8">
        <v>5.3743352890014604</v>
      </c>
      <c r="J289" s="8">
        <v>19.0282688140869</v>
      </c>
      <c r="K289" s="8"/>
      <c r="L289" s="8">
        <v>288</v>
      </c>
      <c r="M289" s="8">
        <v>3.2854466438293399</v>
      </c>
      <c r="N289" s="8">
        <v>18.469547271728501</v>
      </c>
      <c r="P289" s="8">
        <f t="shared" si="19"/>
        <v>61.939172744750898</v>
      </c>
      <c r="Q289">
        <v>288</v>
      </c>
      <c r="R289">
        <v>10.2826948165893</v>
      </c>
      <c r="S289">
        <v>51.056377410888601</v>
      </c>
      <c r="U289">
        <v>288</v>
      </c>
      <c r="V289">
        <v>37.22314453125</v>
      </c>
      <c r="W289">
        <v>50.103908538818303</v>
      </c>
      <c r="Y289">
        <v>288</v>
      </c>
      <c r="Z289">
        <v>14.4333333969116</v>
      </c>
      <c r="AA289">
        <v>50.392337799072202</v>
      </c>
    </row>
    <row r="290" spans="1:27" x14ac:dyDescent="0.25">
      <c r="A290" s="8">
        <f t="shared" si="16"/>
        <v>289</v>
      </c>
      <c r="B290" s="8">
        <f t="shared" si="17"/>
        <v>1</v>
      </c>
      <c r="C290" s="8">
        <f t="shared" si="18"/>
        <v>77.107093811035</v>
      </c>
      <c r="D290" s="8">
        <v>289</v>
      </c>
      <c r="E290" s="8">
        <v>31.360385894775298</v>
      </c>
      <c r="F290" s="8">
        <v>122.093742370605</v>
      </c>
      <c r="G290" s="8"/>
      <c r="H290" s="8">
        <v>289</v>
      </c>
      <c r="I290" s="8">
        <v>25.998134613037099</v>
      </c>
      <c r="J290" s="8">
        <v>123.460388183593</v>
      </c>
      <c r="K290" s="8"/>
      <c r="L290" s="8">
        <v>289</v>
      </c>
      <c r="M290" s="8">
        <v>19.748573303222599</v>
      </c>
      <c r="N290" s="8">
        <v>111.97185516357401</v>
      </c>
      <c r="P290" s="8">
        <f t="shared" si="19"/>
        <v>146.99020957946769</v>
      </c>
      <c r="Q290">
        <v>289</v>
      </c>
      <c r="R290">
        <v>29.458562850952099</v>
      </c>
      <c r="S290">
        <v>19.487195968627901</v>
      </c>
      <c r="U290">
        <v>289</v>
      </c>
      <c r="V290">
        <v>96.235260009765597</v>
      </c>
      <c r="W290">
        <v>19.4881267547607</v>
      </c>
      <c r="Y290">
        <v>289</v>
      </c>
      <c r="Z290">
        <v>21.29638671875</v>
      </c>
      <c r="AA290">
        <v>19.715875625610298</v>
      </c>
    </row>
    <row r="291" spans="1:27" x14ac:dyDescent="0.25">
      <c r="A291" s="8">
        <f t="shared" si="16"/>
        <v>290</v>
      </c>
      <c r="B291" s="8">
        <f t="shared" si="17"/>
        <v>1</v>
      </c>
      <c r="C291" s="8">
        <f t="shared" si="18"/>
        <v>8.000000119209286</v>
      </c>
      <c r="D291" s="8">
        <v>290</v>
      </c>
      <c r="E291" s="8">
        <v>2.4000000953674299</v>
      </c>
      <c r="F291" s="8">
        <v>24.30832862854</v>
      </c>
      <c r="G291" s="8"/>
      <c r="H291" s="8">
        <v>290</v>
      </c>
      <c r="I291" s="8">
        <v>5</v>
      </c>
      <c r="J291" s="8">
        <v>24.397161483764599</v>
      </c>
      <c r="K291" s="8"/>
      <c r="L291" s="8">
        <v>290</v>
      </c>
      <c r="M291" s="8">
        <v>0.60000002384185702</v>
      </c>
      <c r="N291" s="8">
        <v>24.2411193847656</v>
      </c>
      <c r="P291" s="8">
        <f t="shared" si="19"/>
        <v>6.6622642278671202</v>
      </c>
      <c r="Q291">
        <v>290</v>
      </c>
      <c r="R291">
        <v>0.83018869161605802</v>
      </c>
      <c r="S291">
        <v>16.290359497070298</v>
      </c>
      <c r="U291">
        <v>290</v>
      </c>
      <c r="V291">
        <v>5.2094340324401802</v>
      </c>
      <c r="W291">
        <v>17.552137374877901</v>
      </c>
      <c r="Y291">
        <v>290</v>
      </c>
      <c r="Z291">
        <v>0.62264150381088201</v>
      </c>
      <c r="AA291">
        <v>17.4947814941406</v>
      </c>
    </row>
    <row r="292" spans="1:27" x14ac:dyDescent="0.25">
      <c r="A292" s="8">
        <f t="shared" si="16"/>
        <v>291</v>
      </c>
      <c r="B292" s="8">
        <f t="shared" si="17"/>
        <v>1</v>
      </c>
      <c r="C292" s="8">
        <f t="shared" si="18"/>
        <v>13.55315208435057</v>
      </c>
      <c r="D292" s="8">
        <v>291</v>
      </c>
      <c r="E292" s="8">
        <v>5.2859320640563903</v>
      </c>
      <c r="F292" s="8">
        <v>25.035381317138601</v>
      </c>
      <c r="G292" s="8"/>
      <c r="H292" s="8">
        <v>291</v>
      </c>
      <c r="I292" s="8">
        <v>5.0113878250121999</v>
      </c>
      <c r="J292" s="8">
        <v>25.160514831542901</v>
      </c>
      <c r="K292" s="8"/>
      <c r="L292" s="8">
        <v>291</v>
      </c>
      <c r="M292" s="8">
        <v>3.2558321952819802</v>
      </c>
      <c r="N292" s="8">
        <v>24.6624851226806</v>
      </c>
      <c r="P292" s="8">
        <f t="shared" si="19"/>
        <v>0</v>
      </c>
      <c r="Q292">
        <v>291</v>
      </c>
      <c r="R292">
        <v>0</v>
      </c>
      <c r="S292">
        <v>8.0524721145629794</v>
      </c>
      <c r="U292">
        <v>291</v>
      </c>
      <c r="V292">
        <v>0</v>
      </c>
      <c r="W292">
        <v>8.0547294616699201</v>
      </c>
      <c r="Y292">
        <v>291</v>
      </c>
      <c r="Z292">
        <v>0</v>
      </c>
      <c r="AA292">
        <v>8.0568885803222603</v>
      </c>
    </row>
    <row r="293" spans="1:27" x14ac:dyDescent="0.25">
      <c r="A293" s="8">
        <f t="shared" si="16"/>
        <v>292</v>
      </c>
      <c r="B293" s="8">
        <f t="shared" si="17"/>
        <v>1</v>
      </c>
      <c r="C293" s="8">
        <f t="shared" si="18"/>
        <v>38.130288124084409</v>
      </c>
      <c r="D293" s="8">
        <v>292</v>
      </c>
      <c r="E293" s="8">
        <v>15.503215789794901</v>
      </c>
      <c r="F293" s="8">
        <v>121.179557800292</v>
      </c>
      <c r="G293" s="8"/>
      <c r="H293" s="8">
        <v>292</v>
      </c>
      <c r="I293" s="8">
        <v>12.7925930023193</v>
      </c>
      <c r="J293" s="8">
        <v>122.46949768066401</v>
      </c>
      <c r="K293" s="8"/>
      <c r="L293" s="8">
        <v>292</v>
      </c>
      <c r="M293" s="8">
        <v>9.8344793319702095</v>
      </c>
      <c r="N293" s="8">
        <v>111.081886291503</v>
      </c>
      <c r="P293" s="8">
        <f t="shared" si="19"/>
        <v>4.214353442192067</v>
      </c>
      <c r="Q293">
        <v>292</v>
      </c>
      <c r="R293">
        <v>0.43564307689666698</v>
      </c>
      <c r="S293">
        <v>30.499681472778299</v>
      </c>
      <c r="U293">
        <v>292</v>
      </c>
      <c r="V293">
        <v>2.4510631561279199</v>
      </c>
      <c r="W293">
        <v>31.422628402709901</v>
      </c>
      <c r="Y293">
        <v>292</v>
      </c>
      <c r="Z293">
        <v>1.32764720916748</v>
      </c>
      <c r="AA293">
        <v>31.8782558441162</v>
      </c>
    </row>
    <row r="294" spans="1:27" x14ac:dyDescent="0.25">
      <c r="A294" s="8">
        <f t="shared" si="16"/>
        <v>293</v>
      </c>
      <c r="B294" s="8">
        <f t="shared" si="17"/>
        <v>1</v>
      </c>
      <c r="C294" s="8">
        <f t="shared" si="18"/>
        <v>4.0000000298023135</v>
      </c>
      <c r="D294" s="8">
        <v>293</v>
      </c>
      <c r="E294" s="8">
        <v>1.6000000238418499</v>
      </c>
      <c r="F294" s="8">
        <v>23.412185668945298</v>
      </c>
      <c r="G294" s="8"/>
      <c r="H294" s="8">
        <v>293</v>
      </c>
      <c r="I294" s="8">
        <v>2</v>
      </c>
      <c r="J294" s="8">
        <v>23.504610061645501</v>
      </c>
      <c r="K294" s="8"/>
      <c r="L294" s="8">
        <v>293</v>
      </c>
      <c r="M294" s="8">
        <v>0.40000000596046398</v>
      </c>
      <c r="N294" s="8">
        <v>23.373823165893501</v>
      </c>
      <c r="P294" s="8">
        <f t="shared" si="19"/>
        <v>148.1633872985839</v>
      </c>
      <c r="Q294">
        <v>293</v>
      </c>
      <c r="R294">
        <v>23.0096435546875</v>
      </c>
      <c r="S294">
        <v>71.732879638671804</v>
      </c>
      <c r="U294">
        <v>293</v>
      </c>
      <c r="V294">
        <v>90.708320617675696</v>
      </c>
      <c r="W294">
        <v>72.674224853515597</v>
      </c>
      <c r="Y294">
        <v>293</v>
      </c>
      <c r="Z294">
        <v>34.445423126220703</v>
      </c>
      <c r="AA294">
        <v>73.423820495605398</v>
      </c>
    </row>
    <row r="295" spans="1:27" x14ac:dyDescent="0.25">
      <c r="A295" s="8">
        <f t="shared" si="16"/>
        <v>294</v>
      </c>
      <c r="B295" s="8">
        <f t="shared" si="17"/>
        <v>1</v>
      </c>
      <c r="C295" s="8">
        <f t="shared" si="18"/>
        <v>1021.812377929687</v>
      </c>
      <c r="D295" s="8">
        <v>294</v>
      </c>
      <c r="E295" s="8">
        <v>354.77618408203102</v>
      </c>
      <c r="F295" s="8">
        <v>49.764469146728501</v>
      </c>
      <c r="G295" s="8"/>
      <c r="H295" s="8">
        <v>294</v>
      </c>
      <c r="I295" s="8">
        <v>401.162109375</v>
      </c>
      <c r="J295" s="8">
        <v>52.561714172363203</v>
      </c>
      <c r="K295" s="8"/>
      <c r="L295" s="8">
        <v>294</v>
      </c>
      <c r="M295" s="8">
        <v>265.87408447265602</v>
      </c>
      <c r="N295" s="8">
        <v>50.224956512451101</v>
      </c>
      <c r="P295" s="8">
        <f t="shared" si="19"/>
        <v>72.8983278274534</v>
      </c>
      <c r="Q295">
        <v>294</v>
      </c>
      <c r="R295">
        <v>11.930669784545801</v>
      </c>
      <c r="S295">
        <v>43.526035308837798</v>
      </c>
      <c r="U295">
        <v>294</v>
      </c>
      <c r="V295">
        <v>45.823326110839801</v>
      </c>
      <c r="W295">
        <v>44.095527648925703</v>
      </c>
      <c r="Y295">
        <v>294</v>
      </c>
      <c r="Z295">
        <v>15.1443319320678</v>
      </c>
      <c r="AA295">
        <v>44.717453002929602</v>
      </c>
    </row>
    <row r="296" spans="1:27" x14ac:dyDescent="0.25">
      <c r="A296" s="8">
        <f t="shared" si="16"/>
        <v>295</v>
      </c>
      <c r="B296" s="8">
        <f t="shared" si="17"/>
        <v>1</v>
      </c>
      <c r="C296" s="8">
        <f t="shared" si="18"/>
        <v>65.380352020263601</v>
      </c>
      <c r="D296" s="8">
        <v>295</v>
      </c>
      <c r="E296" s="8">
        <v>22.3958740234375</v>
      </c>
      <c r="F296" s="8">
        <v>48.950469970703097</v>
      </c>
      <c r="G296" s="8"/>
      <c r="H296" s="8">
        <v>295</v>
      </c>
      <c r="I296" s="8">
        <v>25.919061660766602</v>
      </c>
      <c r="J296" s="8">
        <v>51.747711181640597</v>
      </c>
      <c r="K296" s="8"/>
      <c r="L296" s="8">
        <v>295</v>
      </c>
      <c r="M296" s="8">
        <v>17.065416336059499</v>
      </c>
      <c r="N296" s="8">
        <v>49.410953521728501</v>
      </c>
      <c r="P296" s="8">
        <f t="shared" si="19"/>
        <v>116.5736484527586</v>
      </c>
      <c r="Q296">
        <v>295</v>
      </c>
      <c r="R296">
        <v>17.724294662475501</v>
      </c>
      <c r="S296">
        <v>70.463943481445298</v>
      </c>
      <c r="U296">
        <v>295</v>
      </c>
      <c r="V296">
        <v>72.330177307128906</v>
      </c>
      <c r="W296">
        <v>71.201217651367102</v>
      </c>
      <c r="Y296">
        <v>295</v>
      </c>
      <c r="Z296">
        <v>26.519176483154201</v>
      </c>
      <c r="AA296">
        <v>71.642669677734304</v>
      </c>
    </row>
    <row r="297" spans="1:27" x14ac:dyDescent="0.25">
      <c r="A297" s="8">
        <f t="shared" si="16"/>
        <v>296</v>
      </c>
      <c r="B297" s="8">
        <f t="shared" si="17"/>
        <v>1</v>
      </c>
      <c r="C297" s="8">
        <f t="shared" si="18"/>
        <v>371.19782257079999</v>
      </c>
      <c r="D297" s="8">
        <v>296</v>
      </c>
      <c r="E297" s="8">
        <v>134.15585327148401</v>
      </c>
      <c r="F297" s="8">
        <v>46.938907623291001</v>
      </c>
      <c r="G297" s="8"/>
      <c r="H297" s="8">
        <v>296</v>
      </c>
      <c r="I297" s="8">
        <v>136.82450866699199</v>
      </c>
      <c r="J297" s="8">
        <v>48.568962097167898</v>
      </c>
      <c r="K297" s="8"/>
      <c r="L297" s="8">
        <v>296</v>
      </c>
      <c r="M297" s="8">
        <v>100.21746063232401</v>
      </c>
      <c r="N297" s="8">
        <v>47.381256103515597</v>
      </c>
      <c r="P297" s="8">
        <f t="shared" si="19"/>
        <v>91.013869285583397</v>
      </c>
      <c r="Q297">
        <v>296</v>
      </c>
      <c r="R297">
        <v>11.753415107726999</v>
      </c>
      <c r="S297">
        <v>42.075313568115199</v>
      </c>
      <c r="U297">
        <v>296</v>
      </c>
      <c r="V297">
        <v>59.420482635497997</v>
      </c>
      <c r="W297">
        <v>42.434246063232401</v>
      </c>
      <c r="Y297">
        <v>296</v>
      </c>
      <c r="Z297">
        <v>19.839971542358398</v>
      </c>
      <c r="AA297">
        <v>42.744205474853501</v>
      </c>
    </row>
    <row r="298" spans="1:27" x14ac:dyDescent="0.25">
      <c r="A298" s="8">
        <f t="shared" si="16"/>
        <v>297</v>
      </c>
      <c r="B298" s="8">
        <f t="shared" si="17"/>
        <v>1</v>
      </c>
      <c r="C298" s="8">
        <f t="shared" si="18"/>
        <v>478.14009857177598</v>
      </c>
      <c r="D298" s="8">
        <v>297</v>
      </c>
      <c r="E298" s="8">
        <v>205.15995788574199</v>
      </c>
      <c r="F298" s="8">
        <v>53.227989196777301</v>
      </c>
      <c r="G298" s="8"/>
      <c r="H298" s="8">
        <v>297</v>
      </c>
      <c r="I298" s="8">
        <v>164.22813415527301</v>
      </c>
      <c r="J298" s="8">
        <v>57.716270446777301</v>
      </c>
      <c r="K298" s="8"/>
      <c r="L298" s="8">
        <v>297</v>
      </c>
      <c r="M298" s="8">
        <v>108.75200653076099</v>
      </c>
      <c r="N298" s="8">
        <v>53.777591705322202</v>
      </c>
      <c r="P298" s="8">
        <f t="shared" si="19"/>
        <v>238.03358459472616</v>
      </c>
      <c r="Q298">
        <v>297</v>
      </c>
      <c r="R298">
        <v>34.952373504638601</v>
      </c>
      <c r="S298">
        <v>37.741119384765597</v>
      </c>
      <c r="U298">
        <v>297</v>
      </c>
      <c r="V298">
        <v>160.54815673828099</v>
      </c>
      <c r="W298">
        <v>38.470062255859297</v>
      </c>
      <c r="Y298">
        <v>297</v>
      </c>
      <c r="Z298">
        <v>42.533054351806598</v>
      </c>
      <c r="AA298">
        <v>38.7705879211425</v>
      </c>
    </row>
    <row r="299" spans="1:27" x14ac:dyDescent="0.25">
      <c r="A299" s="8">
        <f t="shared" si="16"/>
        <v>298</v>
      </c>
      <c r="B299" s="8">
        <f t="shared" si="17"/>
        <v>1</v>
      </c>
      <c r="C299" s="8">
        <f t="shared" si="18"/>
        <v>83.222784042358185</v>
      </c>
      <c r="D299" s="8">
        <v>298</v>
      </c>
      <c r="E299" s="8">
        <v>32.40571975708</v>
      </c>
      <c r="F299" s="8">
        <v>29.069841384887599</v>
      </c>
      <c r="G299" s="8"/>
      <c r="H299" s="8">
        <v>298</v>
      </c>
      <c r="I299" s="8">
        <v>32.393951416015597</v>
      </c>
      <c r="J299" s="8">
        <v>32.541267395019503</v>
      </c>
      <c r="K299" s="8"/>
      <c r="L299" s="8">
        <v>298</v>
      </c>
      <c r="M299" s="8">
        <v>18.423112869262599</v>
      </c>
      <c r="N299" s="8">
        <v>29.3647346496582</v>
      </c>
      <c r="P299" s="8">
        <f t="shared" si="19"/>
        <v>322.0601959228506</v>
      </c>
      <c r="Q299">
        <v>298</v>
      </c>
      <c r="R299">
        <v>60.879806518554602</v>
      </c>
      <c r="S299">
        <v>36.806983947753899</v>
      </c>
      <c r="U299">
        <v>298</v>
      </c>
      <c r="V299">
        <v>206.64912414550699</v>
      </c>
      <c r="W299">
        <v>37.466361999511697</v>
      </c>
      <c r="Y299">
        <v>298</v>
      </c>
      <c r="Z299">
        <v>54.531265258788999</v>
      </c>
      <c r="AA299">
        <v>37.797279357910099</v>
      </c>
    </row>
    <row r="300" spans="1:27" x14ac:dyDescent="0.25">
      <c r="A300" s="8">
        <f t="shared" si="16"/>
        <v>299</v>
      </c>
      <c r="B300" s="8">
        <f t="shared" si="17"/>
        <v>1</v>
      </c>
      <c r="C300" s="8">
        <f t="shared" si="18"/>
        <v>122.3903369903563</v>
      </c>
      <c r="D300" s="8">
        <v>299</v>
      </c>
      <c r="E300" s="8">
        <v>49.851776123046797</v>
      </c>
      <c r="F300" s="8">
        <v>21.723495483398398</v>
      </c>
      <c r="G300" s="8"/>
      <c r="H300" s="8">
        <v>299</v>
      </c>
      <c r="I300" s="8">
        <v>48.5023803710937</v>
      </c>
      <c r="J300" s="8">
        <v>23.544206619262599</v>
      </c>
      <c r="K300" s="8"/>
      <c r="L300" s="8">
        <v>299</v>
      </c>
      <c r="M300" s="8">
        <v>24.036180496215799</v>
      </c>
      <c r="N300" s="8">
        <v>21.954881668090799</v>
      </c>
      <c r="P300" s="8">
        <f t="shared" si="19"/>
        <v>483.38504028320267</v>
      </c>
      <c r="Q300">
        <v>299</v>
      </c>
      <c r="R300">
        <v>68.278709411621094</v>
      </c>
      <c r="S300">
        <v>46.6997871398925</v>
      </c>
      <c r="U300">
        <v>299</v>
      </c>
      <c r="V300">
        <v>316.13632202148398</v>
      </c>
      <c r="W300">
        <v>47.274517059326101</v>
      </c>
      <c r="Y300">
        <v>299</v>
      </c>
      <c r="Z300">
        <v>98.970008850097599</v>
      </c>
      <c r="AA300">
        <v>47.386898040771399</v>
      </c>
    </row>
    <row r="301" spans="1:27" x14ac:dyDescent="0.25">
      <c r="A301" s="8">
        <f t="shared" si="16"/>
        <v>300</v>
      </c>
      <c r="B301" s="8">
        <f t="shared" si="17"/>
        <v>1</v>
      </c>
      <c r="C301" s="8">
        <f t="shared" si="18"/>
        <v>60.867346763610605</v>
      </c>
      <c r="D301" s="8">
        <v>300</v>
      </c>
      <c r="E301" s="8">
        <v>24.794740676879801</v>
      </c>
      <c r="F301" s="8">
        <v>21.469978332519499</v>
      </c>
      <c r="G301" s="8"/>
      <c r="H301" s="8">
        <v>300</v>
      </c>
      <c r="I301" s="8">
        <v>24.067630767822202</v>
      </c>
      <c r="J301" s="8">
        <v>23.290681838989201</v>
      </c>
      <c r="K301" s="8"/>
      <c r="L301" s="8">
        <v>300</v>
      </c>
      <c r="M301" s="8">
        <v>12.004975318908601</v>
      </c>
      <c r="N301" s="8">
        <v>21.701358795166001</v>
      </c>
      <c r="P301" s="8">
        <f t="shared" si="19"/>
        <v>514.76741790771371</v>
      </c>
      <c r="Q301">
        <v>300</v>
      </c>
      <c r="R301">
        <v>84.972221374511705</v>
      </c>
      <c r="S301">
        <v>44.750762939453097</v>
      </c>
      <c r="U301">
        <v>300</v>
      </c>
      <c r="V301">
        <v>328.86813354492102</v>
      </c>
      <c r="W301">
        <v>45.0892944335937</v>
      </c>
      <c r="Y301">
        <v>300</v>
      </c>
      <c r="Z301">
        <v>100.92706298828099</v>
      </c>
      <c r="AA301">
        <v>45.226627349853501</v>
      </c>
    </row>
    <row r="302" spans="1:27" x14ac:dyDescent="0.25">
      <c r="A302" s="8">
        <f t="shared" si="16"/>
        <v>301</v>
      </c>
      <c r="B302" s="8">
        <f t="shared" si="17"/>
        <v>1</v>
      </c>
      <c r="C302" s="8">
        <f t="shared" si="18"/>
        <v>206.9763450622558</v>
      </c>
      <c r="D302" s="8">
        <v>301</v>
      </c>
      <c r="E302" s="8">
        <v>79.811653137207003</v>
      </c>
      <c r="F302" s="8">
        <v>69.5906982421875</v>
      </c>
      <c r="G302" s="8"/>
      <c r="H302" s="8">
        <v>301</v>
      </c>
      <c r="I302" s="8">
        <v>76.6822509765625</v>
      </c>
      <c r="J302" s="8">
        <v>74.144287109375</v>
      </c>
      <c r="K302" s="8"/>
      <c r="L302" s="8">
        <v>301</v>
      </c>
      <c r="M302" s="8">
        <v>50.4824409484863</v>
      </c>
      <c r="N302" s="8">
        <v>70.338165283203097</v>
      </c>
      <c r="P302" s="8">
        <f t="shared" si="19"/>
        <v>67.341841697692701</v>
      </c>
      <c r="Q302">
        <v>301</v>
      </c>
      <c r="R302">
        <v>12.2842483520507</v>
      </c>
      <c r="S302">
        <v>52.091419219970703</v>
      </c>
      <c r="U302">
        <v>301</v>
      </c>
      <c r="V302">
        <v>44.2804145812988</v>
      </c>
      <c r="W302">
        <v>52.570487976074197</v>
      </c>
      <c r="Y302">
        <v>301</v>
      </c>
      <c r="Z302">
        <v>10.7771787643432</v>
      </c>
      <c r="AA302">
        <v>52.733612060546797</v>
      </c>
    </row>
    <row r="303" spans="1:27" x14ac:dyDescent="0.25">
      <c r="A303" s="8">
        <f t="shared" si="16"/>
        <v>302</v>
      </c>
      <c r="B303" s="8">
        <f t="shared" si="17"/>
        <v>1</v>
      </c>
      <c r="C303" s="8">
        <f t="shared" si="18"/>
        <v>137.85743713378889</v>
      </c>
      <c r="D303" s="8">
        <v>302</v>
      </c>
      <c r="E303" s="8">
        <v>53.164840698242102</v>
      </c>
      <c r="F303" s="8">
        <v>62.929527282714801</v>
      </c>
      <c r="G303" s="8"/>
      <c r="H303" s="8">
        <v>302</v>
      </c>
      <c r="I303" s="8">
        <v>51.0526733398437</v>
      </c>
      <c r="J303" s="8">
        <v>67.479476928710895</v>
      </c>
      <c r="K303" s="8"/>
      <c r="L303" s="8">
        <v>302</v>
      </c>
      <c r="M303" s="8">
        <v>33.639923095703097</v>
      </c>
      <c r="N303" s="8">
        <v>63.672496795654297</v>
      </c>
      <c r="P303" s="8">
        <f t="shared" si="19"/>
        <v>394.5692253112785</v>
      </c>
      <c r="Q303">
        <v>302</v>
      </c>
      <c r="R303">
        <v>70.338333129882798</v>
      </c>
      <c r="S303">
        <v>49.435062408447202</v>
      </c>
      <c r="U303">
        <v>302</v>
      </c>
      <c r="V303">
        <v>262.02923583984301</v>
      </c>
      <c r="W303">
        <v>49.914802551269503</v>
      </c>
      <c r="Y303">
        <v>302</v>
      </c>
      <c r="Z303">
        <v>62.201656341552699</v>
      </c>
      <c r="AA303">
        <v>50.068531036376903</v>
      </c>
    </row>
    <row r="304" spans="1:27" x14ac:dyDescent="0.25">
      <c r="A304" s="8">
        <f t="shared" si="16"/>
        <v>303</v>
      </c>
      <c r="B304" s="8">
        <f t="shared" si="17"/>
        <v>1</v>
      </c>
      <c r="C304" s="8">
        <f t="shared" si="18"/>
        <v>156.79384994506819</v>
      </c>
      <c r="D304" s="8">
        <v>303</v>
      </c>
      <c r="E304" s="8">
        <v>60.340034484863203</v>
      </c>
      <c r="F304" s="8">
        <v>57.3606147766113</v>
      </c>
      <c r="G304" s="8"/>
      <c r="H304" s="8">
        <v>303</v>
      </c>
      <c r="I304" s="8">
        <v>59.294204711913999</v>
      </c>
      <c r="J304" s="8">
        <v>60.4221801757812</v>
      </c>
      <c r="K304" s="8"/>
      <c r="L304" s="8">
        <v>303</v>
      </c>
      <c r="M304" s="8">
        <v>37.159610748291001</v>
      </c>
      <c r="N304" s="8">
        <v>58.143875122070298</v>
      </c>
      <c r="P304" s="8">
        <f t="shared" si="19"/>
        <v>0.14864864945411679</v>
      </c>
      <c r="Q304">
        <v>303</v>
      </c>
      <c r="R304">
        <v>7.4324324727058397E-2</v>
      </c>
      <c r="S304">
        <v>16.271171569824201</v>
      </c>
      <c r="U304">
        <v>303</v>
      </c>
      <c r="V304">
        <v>7.4324324727058397E-2</v>
      </c>
      <c r="W304">
        <v>16.7732429504394</v>
      </c>
      <c r="Y304">
        <v>303</v>
      </c>
      <c r="Z304">
        <v>0</v>
      </c>
      <c r="AA304">
        <v>16.921928405761701</v>
      </c>
    </row>
    <row r="305" spans="1:27" x14ac:dyDescent="0.25">
      <c r="A305" s="8">
        <f t="shared" si="16"/>
        <v>304</v>
      </c>
      <c r="B305" s="8">
        <f t="shared" si="17"/>
        <v>1</v>
      </c>
      <c r="C305" s="8">
        <f t="shared" si="18"/>
        <v>260.88574218749909</v>
      </c>
      <c r="D305" s="8">
        <v>304</v>
      </c>
      <c r="E305" s="8">
        <v>83.0740966796875</v>
      </c>
      <c r="F305" s="8">
        <v>44.600494384765597</v>
      </c>
      <c r="G305" s="8"/>
      <c r="H305" s="8">
        <v>304</v>
      </c>
      <c r="I305" s="8">
        <v>104.16390228271401</v>
      </c>
      <c r="J305" s="8">
        <v>45.717575073242102</v>
      </c>
      <c r="K305" s="8"/>
      <c r="L305" s="8">
        <v>304</v>
      </c>
      <c r="M305" s="8">
        <v>73.647743225097599</v>
      </c>
      <c r="N305" s="8">
        <v>44.955188751220703</v>
      </c>
      <c r="P305" s="8">
        <f t="shared" si="19"/>
        <v>50.4946222305297</v>
      </c>
      <c r="Q305">
        <v>304</v>
      </c>
      <c r="R305">
        <v>6.400146484375</v>
      </c>
      <c r="S305">
        <v>50.8216133117675</v>
      </c>
      <c r="U305">
        <v>304</v>
      </c>
      <c r="V305">
        <v>32.286827087402301</v>
      </c>
      <c r="W305">
        <v>51.858791351318303</v>
      </c>
      <c r="Y305">
        <v>304</v>
      </c>
      <c r="Z305">
        <v>11.807648658752401</v>
      </c>
      <c r="AA305">
        <v>52.114665985107401</v>
      </c>
    </row>
    <row r="306" spans="1:27" x14ac:dyDescent="0.25">
      <c r="A306" s="8">
        <f t="shared" si="16"/>
        <v>305</v>
      </c>
      <c r="B306" s="8">
        <f t="shared" si="17"/>
        <v>1</v>
      </c>
      <c r="C306" s="8">
        <f t="shared" si="18"/>
        <v>304.69734954833899</v>
      </c>
      <c r="D306" s="8">
        <v>305</v>
      </c>
      <c r="E306" s="8">
        <v>124.24868774414</v>
      </c>
      <c r="F306" s="8">
        <v>43.214420318603501</v>
      </c>
      <c r="G306" s="8"/>
      <c r="H306" s="8">
        <v>305</v>
      </c>
      <c r="I306" s="8">
        <v>112.40520477294901</v>
      </c>
      <c r="J306" s="8">
        <v>43.768241882324197</v>
      </c>
      <c r="K306" s="8"/>
      <c r="L306" s="8">
        <v>305</v>
      </c>
      <c r="M306" s="8">
        <v>68.04345703125</v>
      </c>
      <c r="N306" s="8">
        <v>43.388595581054602</v>
      </c>
      <c r="P306" s="8">
        <f t="shared" si="19"/>
        <v>282.40186691284168</v>
      </c>
      <c r="Q306">
        <v>305</v>
      </c>
      <c r="R306">
        <v>36.073146820068303</v>
      </c>
      <c r="S306">
        <v>48.157958984375</v>
      </c>
      <c r="U306">
        <v>305</v>
      </c>
      <c r="V306">
        <v>179.17431640625</v>
      </c>
      <c r="W306">
        <v>49.109874725341797</v>
      </c>
      <c r="Y306">
        <v>305</v>
      </c>
      <c r="Z306">
        <v>67.154403686523395</v>
      </c>
      <c r="AA306">
        <v>49.377170562744098</v>
      </c>
    </row>
    <row r="307" spans="1:27" x14ac:dyDescent="0.25">
      <c r="A307" s="8">
        <f t="shared" si="16"/>
        <v>306</v>
      </c>
      <c r="B307" s="8">
        <f t="shared" si="17"/>
        <v>1</v>
      </c>
      <c r="C307" s="8">
        <f t="shared" si="18"/>
        <v>45.647706985473498</v>
      </c>
      <c r="D307" s="8">
        <v>306</v>
      </c>
      <c r="E307" s="8">
        <v>14.5715684890747</v>
      </c>
      <c r="F307" s="8">
        <v>47.3860054016113</v>
      </c>
      <c r="G307" s="8"/>
      <c r="H307" s="8">
        <v>306</v>
      </c>
      <c r="I307" s="8">
        <v>18.243831634521399</v>
      </c>
      <c r="J307" s="8">
        <v>48.5031929016113</v>
      </c>
      <c r="K307" s="8"/>
      <c r="L307" s="8">
        <v>306</v>
      </c>
      <c r="M307" s="8">
        <v>12.832306861877401</v>
      </c>
      <c r="N307" s="8">
        <v>47.740737915038999</v>
      </c>
      <c r="P307" s="8">
        <f t="shared" si="19"/>
        <v>6.5341061949729866</v>
      </c>
      <c r="Q307">
        <v>306</v>
      </c>
      <c r="R307">
        <v>0.72464317083358698</v>
      </c>
      <c r="S307">
        <v>20.016624450683501</v>
      </c>
      <c r="U307">
        <v>306</v>
      </c>
      <c r="V307">
        <v>4.3208932876586896</v>
      </c>
      <c r="W307">
        <v>20.476396560668899</v>
      </c>
      <c r="Y307">
        <v>306</v>
      </c>
      <c r="Z307">
        <v>1.48856973648071</v>
      </c>
      <c r="AA307">
        <v>20.561330795288001</v>
      </c>
    </row>
    <row r="308" spans="1:27" x14ac:dyDescent="0.25">
      <c r="A308" s="8">
        <f t="shared" si="16"/>
        <v>307</v>
      </c>
      <c r="B308" s="8">
        <f t="shared" si="17"/>
        <v>1</v>
      </c>
      <c r="C308" s="8">
        <f t="shared" si="18"/>
        <v>105.07084846496571</v>
      </c>
      <c r="D308" s="8">
        <v>307</v>
      </c>
      <c r="E308" s="8">
        <v>42.283054351806598</v>
      </c>
      <c r="F308" s="8">
        <v>50.911140441894503</v>
      </c>
      <c r="G308" s="8"/>
      <c r="H308" s="8">
        <v>307</v>
      </c>
      <c r="I308" s="8">
        <v>38.8335762023925</v>
      </c>
      <c r="J308" s="8">
        <v>51.467391967773402</v>
      </c>
      <c r="K308" s="8"/>
      <c r="L308" s="8">
        <v>307</v>
      </c>
      <c r="M308" s="8">
        <v>23.954217910766602</v>
      </c>
      <c r="N308" s="8">
        <v>51.090232849121001</v>
      </c>
      <c r="P308" s="8">
        <f t="shared" si="19"/>
        <v>240.1693878173827</v>
      </c>
      <c r="Q308">
        <v>307</v>
      </c>
      <c r="R308">
        <v>34.572761535644503</v>
      </c>
      <c r="S308">
        <v>37.743854522705</v>
      </c>
      <c r="U308">
        <v>307</v>
      </c>
      <c r="V308">
        <v>159.812255859375</v>
      </c>
      <c r="W308">
        <v>37.845802307128899</v>
      </c>
      <c r="Y308">
        <v>307</v>
      </c>
      <c r="Z308">
        <v>45.784370422363203</v>
      </c>
      <c r="AA308">
        <v>37.911174774169901</v>
      </c>
    </row>
    <row r="309" spans="1:27" x14ac:dyDescent="0.25">
      <c r="A309" s="8">
        <f t="shared" si="16"/>
        <v>308</v>
      </c>
      <c r="B309" s="8">
        <f t="shared" si="17"/>
        <v>1</v>
      </c>
      <c r="C309" s="8">
        <f t="shared" si="18"/>
        <v>50.782884597778192</v>
      </c>
      <c r="D309" s="8">
        <v>308</v>
      </c>
      <c r="E309" s="8">
        <v>20.708112716674801</v>
      </c>
      <c r="F309" s="8">
        <v>43.214420318603501</v>
      </c>
      <c r="G309" s="8"/>
      <c r="H309" s="8">
        <v>308</v>
      </c>
      <c r="I309" s="8">
        <v>18.734197616577099</v>
      </c>
      <c r="J309" s="8">
        <v>43.768241882324197</v>
      </c>
      <c r="K309" s="8"/>
      <c r="L309" s="8">
        <v>308</v>
      </c>
      <c r="M309" s="8">
        <v>11.3405742645263</v>
      </c>
      <c r="N309" s="8">
        <v>43.388595581054602</v>
      </c>
      <c r="P309" s="8">
        <f t="shared" si="19"/>
        <v>464.3495178222654</v>
      </c>
      <c r="Q309">
        <v>308</v>
      </c>
      <c r="R309">
        <v>63.453025817871001</v>
      </c>
      <c r="S309">
        <v>35.676692962646399</v>
      </c>
      <c r="U309">
        <v>308</v>
      </c>
      <c r="V309">
        <v>311.97171020507801</v>
      </c>
      <c r="W309">
        <v>35.863388061523402</v>
      </c>
      <c r="Y309">
        <v>308</v>
      </c>
      <c r="Z309">
        <v>88.924781799316406</v>
      </c>
      <c r="AA309">
        <v>36.046428680419901</v>
      </c>
    </row>
    <row r="310" spans="1:27" x14ac:dyDescent="0.25">
      <c r="A310" s="8">
        <f t="shared" si="16"/>
        <v>309</v>
      </c>
      <c r="B310" s="8">
        <f t="shared" si="17"/>
        <v>1</v>
      </c>
      <c r="C310" s="8">
        <f t="shared" si="18"/>
        <v>274.45745849609358</v>
      </c>
      <c r="D310" s="8">
        <v>309</v>
      </c>
      <c r="E310" s="8">
        <v>95.836021423339801</v>
      </c>
      <c r="F310" s="8">
        <v>30.451450347900298</v>
      </c>
      <c r="G310" s="8"/>
      <c r="H310" s="8">
        <v>309</v>
      </c>
      <c r="I310" s="8">
        <v>97.802017211914006</v>
      </c>
      <c r="J310" s="8">
        <v>32.836925506591797</v>
      </c>
      <c r="K310" s="8"/>
      <c r="L310" s="8">
        <v>309</v>
      </c>
      <c r="M310" s="8">
        <v>80.819419860839801</v>
      </c>
      <c r="N310" s="8">
        <v>30.8258743286132</v>
      </c>
      <c r="P310" s="8">
        <f t="shared" si="19"/>
        <v>525.35305786132778</v>
      </c>
      <c r="Q310">
        <v>309</v>
      </c>
      <c r="R310">
        <v>71.471893310546804</v>
      </c>
      <c r="S310">
        <v>69.267761230468693</v>
      </c>
      <c r="U310">
        <v>309</v>
      </c>
      <c r="V310">
        <v>334.11328125</v>
      </c>
      <c r="W310">
        <v>70.834640502929602</v>
      </c>
      <c r="Y310">
        <v>309</v>
      </c>
      <c r="Z310">
        <v>119.76788330078099</v>
      </c>
      <c r="AA310">
        <v>71.659515380859304</v>
      </c>
    </row>
    <row r="311" spans="1:27" x14ac:dyDescent="0.25">
      <c r="A311" s="8">
        <f t="shared" si="16"/>
        <v>310</v>
      </c>
      <c r="B311" s="8">
        <f t="shared" si="17"/>
        <v>1</v>
      </c>
      <c r="C311" s="8">
        <f t="shared" si="18"/>
        <v>26.350348949432362</v>
      </c>
      <c r="D311" s="8">
        <v>310</v>
      </c>
      <c r="E311" s="8">
        <v>9.1694116592407209</v>
      </c>
      <c r="F311" s="8">
        <v>35.360504150390597</v>
      </c>
      <c r="G311" s="8"/>
      <c r="H311" s="8">
        <v>310</v>
      </c>
      <c r="I311" s="8">
        <v>9.2349386215209908</v>
      </c>
      <c r="J311" s="8">
        <v>37.891040802001903</v>
      </c>
      <c r="K311" s="8"/>
      <c r="L311" s="8">
        <v>310</v>
      </c>
      <c r="M311" s="8">
        <v>7.9459986686706499</v>
      </c>
      <c r="N311" s="8">
        <v>35.8374824523925</v>
      </c>
      <c r="P311" s="8">
        <f t="shared" si="19"/>
        <v>725.53588867187295</v>
      </c>
      <c r="Q311">
        <v>310</v>
      </c>
      <c r="R311">
        <v>127.242141723632</v>
      </c>
      <c r="S311">
        <v>70.721107482910099</v>
      </c>
      <c r="U311">
        <v>310</v>
      </c>
      <c r="V311">
        <v>472.731842041015</v>
      </c>
      <c r="W311">
        <v>71.787109375</v>
      </c>
      <c r="Y311">
        <v>310</v>
      </c>
      <c r="Z311">
        <v>125.56190490722599</v>
      </c>
      <c r="AA311">
        <v>72.218879699707003</v>
      </c>
    </row>
    <row r="312" spans="1:27" x14ac:dyDescent="0.25">
      <c r="A312" s="8">
        <f t="shared" si="16"/>
        <v>311</v>
      </c>
      <c r="B312" s="8">
        <f t="shared" si="17"/>
        <v>1</v>
      </c>
      <c r="C312" s="8">
        <f t="shared" si="18"/>
        <v>100.32519149780259</v>
      </c>
      <c r="D312" s="8">
        <v>311</v>
      </c>
      <c r="E312" s="8">
        <v>38.632286071777301</v>
      </c>
      <c r="F312" s="8">
        <v>30.7478122711181</v>
      </c>
      <c r="G312" s="8"/>
      <c r="H312" s="8">
        <v>311</v>
      </c>
      <c r="I312" s="8">
        <v>35.962684631347599</v>
      </c>
      <c r="J312" s="8">
        <v>32.100063323974602</v>
      </c>
      <c r="K312" s="8"/>
      <c r="L312" s="8">
        <v>311</v>
      </c>
      <c r="M312" s="8">
        <v>25.730220794677699</v>
      </c>
      <c r="N312" s="8">
        <v>31.064325332641602</v>
      </c>
      <c r="P312" s="8">
        <f t="shared" si="19"/>
        <v>147.96254348754871</v>
      </c>
      <c r="Q312">
        <v>311</v>
      </c>
      <c r="R312">
        <v>23.3850784301757</v>
      </c>
      <c r="S312">
        <v>56.1491088867187</v>
      </c>
      <c r="U312">
        <v>311</v>
      </c>
      <c r="V312">
        <v>93.497779846191406</v>
      </c>
      <c r="W312">
        <v>58.230293273925703</v>
      </c>
      <c r="Y312">
        <v>311</v>
      </c>
      <c r="Z312">
        <v>31.079685211181602</v>
      </c>
      <c r="AA312">
        <v>59.036746978759702</v>
      </c>
    </row>
    <row r="313" spans="1:27" x14ac:dyDescent="0.25">
      <c r="A313" s="8">
        <f t="shared" si="16"/>
        <v>312</v>
      </c>
      <c r="B313" s="8">
        <f t="shared" si="17"/>
        <v>1</v>
      </c>
      <c r="C313" s="8">
        <f t="shared" si="18"/>
        <v>52.047639846801601</v>
      </c>
      <c r="D313" s="8">
        <v>312</v>
      </c>
      <c r="E313" s="8">
        <v>19.713975906371999</v>
      </c>
      <c r="F313" s="8">
        <v>36.600109100341797</v>
      </c>
      <c r="G313" s="8"/>
      <c r="H313" s="8">
        <v>312</v>
      </c>
      <c r="I313" s="8">
        <v>18.426912307739201</v>
      </c>
      <c r="J313" s="8">
        <v>37.952125549316399</v>
      </c>
      <c r="K313" s="8"/>
      <c r="L313" s="8">
        <v>312</v>
      </c>
      <c r="M313" s="8">
        <v>13.906751632690399</v>
      </c>
      <c r="N313" s="8">
        <v>36.935779571533203</v>
      </c>
      <c r="P313" s="8">
        <f t="shared" si="19"/>
        <v>2.0131478309631277</v>
      </c>
      <c r="Q313">
        <v>312</v>
      </c>
      <c r="R313">
        <v>0.45397514104843101</v>
      </c>
      <c r="S313">
        <v>12.372467994689901</v>
      </c>
      <c r="U313">
        <v>312</v>
      </c>
      <c r="V313">
        <v>1.2399197816848699</v>
      </c>
      <c r="W313">
        <v>12.6555624008178</v>
      </c>
      <c r="Y313">
        <v>312</v>
      </c>
      <c r="Z313">
        <v>0.31925290822982699</v>
      </c>
      <c r="AA313">
        <v>12.902462959289499</v>
      </c>
    </row>
    <row r="314" spans="1:27" x14ac:dyDescent="0.25">
      <c r="A314" s="8">
        <f t="shared" si="16"/>
        <v>313</v>
      </c>
      <c r="B314" s="8">
        <f t="shared" si="17"/>
        <v>1</v>
      </c>
      <c r="C314" s="8">
        <f t="shared" si="18"/>
        <v>15.654080867767311</v>
      </c>
      <c r="D314" s="8">
        <v>313</v>
      </c>
      <c r="E314" s="8">
        <v>6.0261530876159597</v>
      </c>
      <c r="F314" s="8">
        <v>28.392896652221602</v>
      </c>
      <c r="G314" s="8"/>
      <c r="H314" s="8">
        <v>313</v>
      </c>
      <c r="I314" s="8">
        <v>5.5758805274963299</v>
      </c>
      <c r="J314" s="8">
        <v>29.7437648773193</v>
      </c>
      <c r="K314" s="8"/>
      <c r="L314" s="8">
        <v>313</v>
      </c>
      <c r="M314" s="8">
        <v>4.0520472526550204</v>
      </c>
      <c r="N314" s="8">
        <v>28.70871925354</v>
      </c>
      <c r="P314" s="8">
        <f t="shared" si="19"/>
        <v>124.8775882720946</v>
      </c>
      <c r="Q314">
        <v>313</v>
      </c>
      <c r="R314">
        <v>18.421474456787099</v>
      </c>
      <c r="S314">
        <v>55.782951354980398</v>
      </c>
      <c r="U314">
        <v>313</v>
      </c>
      <c r="V314">
        <v>87.455703735351506</v>
      </c>
      <c r="W314">
        <v>56.446643829345703</v>
      </c>
      <c r="Y314">
        <v>313</v>
      </c>
      <c r="Z314">
        <v>19.000410079956001</v>
      </c>
      <c r="AA314">
        <v>56.857173919677699</v>
      </c>
    </row>
    <row r="315" spans="1:27" x14ac:dyDescent="0.25">
      <c r="A315" s="8">
        <f t="shared" si="16"/>
        <v>314</v>
      </c>
      <c r="B315" s="8">
        <f t="shared" si="17"/>
        <v>1</v>
      </c>
      <c r="C315" s="8">
        <f t="shared" si="18"/>
        <v>173.74442672729481</v>
      </c>
      <c r="D315" s="8">
        <v>314</v>
      </c>
      <c r="E315" s="8">
        <v>67.097450256347599</v>
      </c>
      <c r="F315" s="8">
        <v>83.270179748535099</v>
      </c>
      <c r="G315" s="8"/>
      <c r="H315" s="8">
        <v>314</v>
      </c>
      <c r="I315" s="8">
        <v>65.204162597656193</v>
      </c>
      <c r="J315" s="8">
        <v>84.640029907226506</v>
      </c>
      <c r="K315" s="8"/>
      <c r="L315" s="8">
        <v>314</v>
      </c>
      <c r="M315" s="8">
        <v>41.442813873291001</v>
      </c>
      <c r="N315" s="8">
        <v>84.182029724121094</v>
      </c>
      <c r="P315" s="8">
        <f t="shared" si="19"/>
        <v>211.9006347656246</v>
      </c>
      <c r="Q315">
        <v>314</v>
      </c>
      <c r="R315">
        <v>21.639980316162099</v>
      </c>
      <c r="S315">
        <v>66.646667480468693</v>
      </c>
      <c r="U315">
        <v>314</v>
      </c>
      <c r="V315">
        <v>137.31721496582</v>
      </c>
      <c r="W315">
        <v>68.253677368164006</v>
      </c>
      <c r="Y315">
        <v>314</v>
      </c>
      <c r="Z315">
        <v>52.9434394836425</v>
      </c>
      <c r="AA315">
        <v>68.577224731445298</v>
      </c>
    </row>
    <row r="316" spans="1:27" x14ac:dyDescent="0.25">
      <c r="A316" s="8">
        <f t="shared" si="16"/>
        <v>315</v>
      </c>
      <c r="B316" s="8">
        <f t="shared" si="17"/>
        <v>1</v>
      </c>
      <c r="C316" s="8">
        <f t="shared" si="18"/>
        <v>123.4872589111327</v>
      </c>
      <c r="D316" s="8">
        <v>315</v>
      </c>
      <c r="E316" s="8">
        <v>46.5736694335937</v>
      </c>
      <c r="F316" s="8">
        <v>88.006683349609304</v>
      </c>
      <c r="G316" s="8"/>
      <c r="H316" s="8">
        <v>315</v>
      </c>
      <c r="I316" s="8">
        <v>44.6755561828613</v>
      </c>
      <c r="J316" s="8">
        <v>90.068878173828097</v>
      </c>
      <c r="K316" s="8"/>
      <c r="L316" s="8">
        <v>315</v>
      </c>
      <c r="M316" s="8">
        <v>32.238033294677699</v>
      </c>
      <c r="N316" s="8">
        <v>89.447547912597599</v>
      </c>
      <c r="P316" s="8">
        <f t="shared" si="19"/>
        <v>216.83364105224564</v>
      </c>
      <c r="Q316">
        <v>315</v>
      </c>
      <c r="R316">
        <v>42.126060485839801</v>
      </c>
      <c r="S316">
        <v>73.288063049316406</v>
      </c>
      <c r="U316">
        <v>315</v>
      </c>
      <c r="V316">
        <v>141.57725524902301</v>
      </c>
      <c r="W316">
        <v>75.799583435058594</v>
      </c>
      <c r="Y316">
        <v>315</v>
      </c>
      <c r="Z316">
        <v>33.130325317382798</v>
      </c>
      <c r="AA316">
        <v>75.813140869140597</v>
      </c>
    </row>
    <row r="317" spans="1:27" x14ac:dyDescent="0.25">
      <c r="A317" s="8">
        <f t="shared" si="16"/>
        <v>316</v>
      </c>
      <c r="B317" s="8">
        <f t="shared" si="17"/>
        <v>1</v>
      </c>
      <c r="C317" s="8">
        <f t="shared" si="18"/>
        <v>3.4508858919143597</v>
      </c>
      <c r="D317" s="8">
        <v>316</v>
      </c>
      <c r="E317" s="8">
        <v>0.88974678516387895</v>
      </c>
      <c r="F317" s="8">
        <v>18.8360881805419</v>
      </c>
      <c r="G317" s="8"/>
      <c r="H317" s="8">
        <v>316</v>
      </c>
      <c r="I317" s="8">
        <v>1.7000529766082699</v>
      </c>
      <c r="J317" s="8">
        <v>19.1763801574707</v>
      </c>
      <c r="K317" s="8"/>
      <c r="L317" s="8">
        <v>316</v>
      </c>
      <c r="M317" s="8">
        <v>0.86108613014221103</v>
      </c>
      <c r="N317" s="8">
        <v>19.050792694091701</v>
      </c>
      <c r="P317" s="8">
        <f t="shared" si="19"/>
        <v>434.60728454589753</v>
      </c>
      <c r="Q317">
        <v>316</v>
      </c>
      <c r="R317">
        <v>42.312393188476499</v>
      </c>
      <c r="S317">
        <v>77.108436584472599</v>
      </c>
      <c r="U317">
        <v>316</v>
      </c>
      <c r="V317">
        <v>302.71725463867102</v>
      </c>
      <c r="W317">
        <v>78.191413879394503</v>
      </c>
      <c r="Y317">
        <v>316</v>
      </c>
      <c r="Z317">
        <v>89.57763671875</v>
      </c>
      <c r="AA317">
        <v>78.793190002441406</v>
      </c>
    </row>
    <row r="318" spans="1:27" x14ac:dyDescent="0.25">
      <c r="A318" s="8">
        <f t="shared" si="16"/>
        <v>317</v>
      </c>
      <c r="B318" s="8">
        <f t="shared" si="17"/>
        <v>1</v>
      </c>
      <c r="C318" s="8">
        <f t="shared" si="18"/>
        <v>0.10000000149011599</v>
      </c>
      <c r="D318" s="8">
        <v>317</v>
      </c>
      <c r="E318" s="8">
        <v>0</v>
      </c>
      <c r="F318" s="8">
        <v>12.4718761444091</v>
      </c>
      <c r="G318" s="8"/>
      <c r="H318" s="8">
        <v>317</v>
      </c>
      <c r="I318" s="8">
        <v>5.0000000745057997E-2</v>
      </c>
      <c r="J318" s="8">
        <v>12.6030158996582</v>
      </c>
      <c r="K318" s="8"/>
      <c r="L318" s="8">
        <v>317</v>
      </c>
      <c r="M318" s="8">
        <v>5.0000000745057997E-2</v>
      </c>
      <c r="N318" s="8">
        <v>12.5472249984741</v>
      </c>
      <c r="P318" s="8">
        <f t="shared" si="19"/>
        <v>850.45095825195199</v>
      </c>
      <c r="Q318">
        <v>317</v>
      </c>
      <c r="R318">
        <v>154.09223937988199</v>
      </c>
      <c r="S318">
        <v>78.178138732910099</v>
      </c>
      <c r="U318">
        <v>317</v>
      </c>
      <c r="V318">
        <v>541.83892822265602</v>
      </c>
      <c r="W318">
        <v>78.990089416503906</v>
      </c>
      <c r="Y318">
        <v>317</v>
      </c>
      <c r="Z318">
        <v>154.51979064941401</v>
      </c>
      <c r="AA318">
        <v>79.380973815917898</v>
      </c>
    </row>
    <row r="319" spans="1:27" x14ac:dyDescent="0.25">
      <c r="A319" s="8">
        <f t="shared" si="16"/>
        <v>318</v>
      </c>
      <c r="B319" s="8">
        <f t="shared" si="17"/>
        <v>1</v>
      </c>
      <c r="C319" s="8">
        <f t="shared" si="18"/>
        <v>106.08707046508781</v>
      </c>
      <c r="D319" s="8">
        <v>318</v>
      </c>
      <c r="E319" s="8">
        <v>36.998111724853501</v>
      </c>
      <c r="F319" s="8">
        <v>56.045066833496001</v>
      </c>
      <c r="G319" s="8"/>
      <c r="H319" s="8">
        <v>318</v>
      </c>
      <c r="I319" s="8">
        <v>36.677360534667898</v>
      </c>
      <c r="J319" s="8">
        <v>57.032814025878899</v>
      </c>
      <c r="K319" s="8"/>
      <c r="L319" s="8">
        <v>318</v>
      </c>
      <c r="M319" s="8">
        <v>32.411598205566399</v>
      </c>
      <c r="N319" s="8">
        <v>56.605861663818303</v>
      </c>
      <c r="P319" s="8">
        <f t="shared" si="19"/>
        <v>430.91968536376925</v>
      </c>
      <c r="Q319">
        <v>318</v>
      </c>
      <c r="R319">
        <v>68.786346435546804</v>
      </c>
      <c r="S319">
        <v>65.051689147949205</v>
      </c>
      <c r="U319">
        <v>318</v>
      </c>
      <c r="V319">
        <v>267.09112548828102</v>
      </c>
      <c r="W319">
        <v>67.368438720703097</v>
      </c>
      <c r="Y319">
        <v>318</v>
      </c>
      <c r="Z319">
        <v>95.042213439941406</v>
      </c>
      <c r="AA319">
        <v>67.537086486816406</v>
      </c>
    </row>
    <row r="320" spans="1:27" x14ac:dyDescent="0.25">
      <c r="A320" s="8">
        <f t="shared" si="16"/>
        <v>319</v>
      </c>
      <c r="B320" s="8">
        <f t="shared" si="17"/>
        <v>1</v>
      </c>
      <c r="C320" s="8">
        <f t="shared" si="18"/>
        <v>34.423080444335795</v>
      </c>
      <c r="D320" s="8">
        <v>319</v>
      </c>
      <c r="E320" s="8">
        <v>11.912670135498001</v>
      </c>
      <c r="F320" s="8">
        <v>55.007980346679602</v>
      </c>
      <c r="G320" s="8"/>
      <c r="H320" s="8">
        <v>319</v>
      </c>
      <c r="I320" s="8">
        <v>12.192816734313899</v>
      </c>
      <c r="J320" s="8">
        <v>55.9702339172363</v>
      </c>
      <c r="K320" s="8"/>
      <c r="L320" s="8">
        <v>319</v>
      </c>
      <c r="M320" s="8">
        <v>10.317593574523899</v>
      </c>
      <c r="N320" s="8">
        <v>55.559474945068303</v>
      </c>
      <c r="P320" s="8">
        <f t="shared" si="19"/>
        <v>78.698899269103805</v>
      </c>
      <c r="Q320">
        <v>319</v>
      </c>
      <c r="R320">
        <v>12.512274742126399</v>
      </c>
      <c r="S320">
        <v>64.145080566406193</v>
      </c>
      <c r="U320">
        <v>319</v>
      </c>
      <c r="V320">
        <v>48.762222290038999</v>
      </c>
      <c r="W320">
        <v>66.4610595703125</v>
      </c>
      <c r="Y320">
        <v>319</v>
      </c>
      <c r="Z320">
        <v>17.424402236938398</v>
      </c>
      <c r="AA320">
        <v>66.629547119140597</v>
      </c>
    </row>
    <row r="321" spans="1:27" x14ac:dyDescent="0.25">
      <c r="A321" s="8">
        <f t="shared" si="16"/>
        <v>320</v>
      </c>
      <c r="B321" s="8">
        <f t="shared" si="17"/>
        <v>1</v>
      </c>
      <c r="C321" s="8">
        <f t="shared" si="18"/>
        <v>43.079149246215799</v>
      </c>
      <c r="D321" s="8">
        <v>320</v>
      </c>
      <c r="E321" s="8">
        <v>16.8776741027832</v>
      </c>
      <c r="F321" s="8">
        <v>83.456863403320298</v>
      </c>
      <c r="G321" s="8"/>
      <c r="H321" s="8">
        <v>320</v>
      </c>
      <c r="I321" s="8">
        <v>14.003237724304199</v>
      </c>
      <c r="J321" s="8">
        <v>84.512397766113196</v>
      </c>
      <c r="K321" s="8"/>
      <c r="L321" s="8">
        <v>320</v>
      </c>
      <c r="M321" s="8">
        <v>12.1982374191284</v>
      </c>
      <c r="N321" s="8">
        <v>84.169731140136705</v>
      </c>
      <c r="P321" s="8">
        <f t="shared" si="19"/>
        <v>461.7073822021481</v>
      </c>
      <c r="Q321">
        <v>320</v>
      </c>
      <c r="R321">
        <v>65.701690673828097</v>
      </c>
      <c r="S321">
        <v>66.272361755371094</v>
      </c>
      <c r="U321">
        <v>320</v>
      </c>
      <c r="V321">
        <v>293.946044921875</v>
      </c>
      <c r="W321">
        <v>67.902732849121094</v>
      </c>
      <c r="Y321">
        <v>320</v>
      </c>
      <c r="Z321">
        <v>102.059646606445</v>
      </c>
      <c r="AA321">
        <v>68.248184204101506</v>
      </c>
    </row>
    <row r="322" spans="1:27" x14ac:dyDescent="0.25">
      <c r="A322" s="8">
        <f t="shared" si="16"/>
        <v>321</v>
      </c>
      <c r="B322" s="8">
        <f t="shared" si="17"/>
        <v>1</v>
      </c>
      <c r="C322" s="8">
        <f t="shared" si="18"/>
        <v>144.7702636718748</v>
      </c>
      <c r="D322" s="8">
        <v>321</v>
      </c>
      <c r="E322" s="8">
        <v>51.647087097167898</v>
      </c>
      <c r="F322" s="8">
        <v>56.104015350341797</v>
      </c>
      <c r="G322" s="8"/>
      <c r="H322" s="8">
        <v>321</v>
      </c>
      <c r="I322" s="8">
        <v>53.956268310546797</v>
      </c>
      <c r="J322" s="8">
        <v>58.085235595703097</v>
      </c>
      <c r="K322" s="8"/>
      <c r="L322" s="8">
        <v>321</v>
      </c>
      <c r="M322" s="8">
        <v>39.166908264160099</v>
      </c>
      <c r="N322" s="8">
        <v>56.436901092529297</v>
      </c>
      <c r="P322" s="8">
        <f t="shared" si="19"/>
        <v>73.573062896728402</v>
      </c>
      <c r="Q322">
        <v>321</v>
      </c>
      <c r="R322">
        <v>10.3659114837646</v>
      </c>
      <c r="S322">
        <v>70.459671020507798</v>
      </c>
      <c r="U322">
        <v>321</v>
      </c>
      <c r="V322">
        <v>47.292942047119098</v>
      </c>
      <c r="W322">
        <v>72.118194580078097</v>
      </c>
      <c r="Y322">
        <v>321</v>
      </c>
      <c r="Z322">
        <v>15.9142093658447</v>
      </c>
      <c r="AA322">
        <v>72.479209899902301</v>
      </c>
    </row>
    <row r="323" spans="1:27" x14ac:dyDescent="0.25">
      <c r="A323" s="8">
        <f t="shared" ref="A323:A386" si="20">IF(D323="","",D323)</f>
        <v>322</v>
      </c>
      <c r="B323" s="8">
        <f t="shared" ref="B323:B386" si="21">IF(OR(D323&lt;&gt;H323,H323&lt;&gt;L323,D323&lt;&gt;L323),0,1)</f>
        <v>1</v>
      </c>
      <c r="C323" s="8">
        <f t="shared" ref="C323:C386" si="22">SUM(E323,I323,M323)</f>
        <v>69.991321563720504</v>
      </c>
      <c r="D323" s="8">
        <v>322</v>
      </c>
      <c r="E323" s="8">
        <v>24.669445037841701</v>
      </c>
      <c r="F323" s="8">
        <v>53.956912994384702</v>
      </c>
      <c r="G323" s="8"/>
      <c r="H323" s="8">
        <v>322</v>
      </c>
      <c r="I323" s="8">
        <v>26.229373931884702</v>
      </c>
      <c r="J323" s="8">
        <v>55.937477111816399</v>
      </c>
      <c r="K323" s="8"/>
      <c r="L323" s="8">
        <v>322</v>
      </c>
      <c r="M323" s="8">
        <v>19.092502593994102</v>
      </c>
      <c r="N323" s="8">
        <v>54.289802551269503</v>
      </c>
      <c r="P323" s="8">
        <f t="shared" ref="P323:P386" si="23">R323+V323+Z323</f>
        <v>175.24759101867591</v>
      </c>
      <c r="Q323">
        <v>322</v>
      </c>
      <c r="R323">
        <v>20.028429031371999</v>
      </c>
      <c r="S323">
        <v>38.894927978515597</v>
      </c>
      <c r="U323">
        <v>322</v>
      </c>
      <c r="V323">
        <v>107.575508117675</v>
      </c>
      <c r="W323">
        <v>40.336189270019503</v>
      </c>
      <c r="Y323">
        <v>322</v>
      </c>
      <c r="Z323">
        <v>47.643653869628899</v>
      </c>
      <c r="AA323">
        <v>41.388217926025298</v>
      </c>
    </row>
    <row r="324" spans="1:27" x14ac:dyDescent="0.25">
      <c r="A324" s="8">
        <f t="shared" si="20"/>
        <v>323</v>
      </c>
      <c r="B324" s="8">
        <f t="shared" si="21"/>
        <v>1</v>
      </c>
      <c r="C324" s="8">
        <f t="shared" si="22"/>
        <v>86.059247970580898</v>
      </c>
      <c r="D324" s="8">
        <v>323</v>
      </c>
      <c r="E324" s="8">
        <v>34.369823455810497</v>
      </c>
      <c r="F324" s="8">
        <v>93.506118774414006</v>
      </c>
      <c r="G324" s="8"/>
      <c r="H324" s="8">
        <v>323</v>
      </c>
      <c r="I324" s="8">
        <v>27.827743530273398</v>
      </c>
      <c r="J324" s="8">
        <v>94.584526062011705</v>
      </c>
      <c r="K324" s="8"/>
      <c r="L324" s="8">
        <v>323</v>
      </c>
      <c r="M324" s="8">
        <v>23.861680984496999</v>
      </c>
      <c r="N324" s="8">
        <v>94.024299621582003</v>
      </c>
      <c r="P324" s="8">
        <f t="shared" si="23"/>
        <v>223.86644744873021</v>
      </c>
      <c r="Q324">
        <v>323</v>
      </c>
      <c r="R324">
        <v>41.559043884277301</v>
      </c>
      <c r="S324">
        <v>38.943977355957003</v>
      </c>
      <c r="U324">
        <v>323</v>
      </c>
      <c r="V324">
        <v>144.05863952636699</v>
      </c>
      <c r="W324">
        <v>39.213554382324197</v>
      </c>
      <c r="Y324">
        <v>323</v>
      </c>
      <c r="Z324">
        <v>38.248764038085902</v>
      </c>
      <c r="AA324">
        <v>39.252037048339801</v>
      </c>
    </row>
    <row r="325" spans="1:27" x14ac:dyDescent="0.25">
      <c r="A325" s="8">
        <f t="shared" si="20"/>
        <v>324</v>
      </c>
      <c r="B325" s="8">
        <f t="shared" si="21"/>
        <v>1</v>
      </c>
      <c r="C325" s="8">
        <f t="shared" si="22"/>
        <v>18.747955799102769</v>
      </c>
      <c r="D325" s="8">
        <v>324</v>
      </c>
      <c r="E325" s="8">
        <v>7.3652963638305602</v>
      </c>
      <c r="F325" s="8">
        <v>56.457305908203097</v>
      </c>
      <c r="G325" s="8"/>
      <c r="H325" s="8">
        <v>324</v>
      </c>
      <c r="I325" s="8">
        <v>5.8176150321960396</v>
      </c>
      <c r="J325" s="8">
        <v>57.277271270751903</v>
      </c>
      <c r="K325" s="8"/>
      <c r="L325" s="8">
        <v>324</v>
      </c>
      <c r="M325" s="8">
        <v>5.5650444030761701</v>
      </c>
      <c r="N325" s="8">
        <v>56.783840179443303</v>
      </c>
      <c r="P325" s="8">
        <f t="shared" si="23"/>
        <v>176.98798179626462</v>
      </c>
      <c r="Q325">
        <v>324</v>
      </c>
      <c r="R325">
        <v>29.8456630706787</v>
      </c>
      <c r="S325">
        <v>47.183864593505803</v>
      </c>
      <c r="U325">
        <v>324</v>
      </c>
      <c r="V325">
        <v>115.282600402832</v>
      </c>
      <c r="W325">
        <v>47.395217895507798</v>
      </c>
      <c r="Y325">
        <v>324</v>
      </c>
      <c r="Z325">
        <v>31.859718322753899</v>
      </c>
      <c r="AA325">
        <v>47.704753875732401</v>
      </c>
    </row>
    <row r="326" spans="1:27" x14ac:dyDescent="0.25">
      <c r="A326" s="8">
        <f t="shared" si="20"/>
        <v>325</v>
      </c>
      <c r="B326" s="8">
        <f t="shared" si="21"/>
        <v>1</v>
      </c>
      <c r="C326" s="8">
        <f t="shared" si="22"/>
        <v>73.984378814697109</v>
      </c>
      <c r="D326" s="8">
        <v>325</v>
      </c>
      <c r="E326" s="8">
        <v>27.142000198364201</v>
      </c>
      <c r="F326" s="8">
        <v>50.463085174560497</v>
      </c>
      <c r="G326" s="8"/>
      <c r="H326" s="8">
        <v>325</v>
      </c>
      <c r="I326" s="8">
        <v>27.856986999511701</v>
      </c>
      <c r="J326" s="8">
        <v>54.908805847167898</v>
      </c>
      <c r="K326" s="8"/>
      <c r="L326" s="8">
        <v>325</v>
      </c>
      <c r="M326" s="8">
        <v>18.9853916168212</v>
      </c>
      <c r="N326" s="8">
        <v>51.5247993469238</v>
      </c>
      <c r="P326" s="8">
        <f t="shared" si="23"/>
        <v>139.90482711791981</v>
      </c>
      <c r="Q326">
        <v>325</v>
      </c>
      <c r="R326">
        <v>27.343879699706999</v>
      </c>
      <c r="S326">
        <v>49.031665802001903</v>
      </c>
      <c r="U326">
        <v>325</v>
      </c>
      <c r="V326">
        <v>87.744201660156193</v>
      </c>
      <c r="W326">
        <v>49.264114379882798</v>
      </c>
      <c r="Y326">
        <v>325</v>
      </c>
      <c r="Z326">
        <v>24.816745758056602</v>
      </c>
      <c r="AA326">
        <v>49.496429443359297</v>
      </c>
    </row>
    <row r="327" spans="1:27" x14ac:dyDescent="0.25">
      <c r="A327" s="8">
        <f t="shared" si="20"/>
        <v>326</v>
      </c>
      <c r="B327" s="8">
        <f t="shared" si="21"/>
        <v>1</v>
      </c>
      <c r="C327" s="8">
        <f t="shared" si="22"/>
        <v>70.6337757110594</v>
      </c>
      <c r="D327" s="8">
        <v>326</v>
      </c>
      <c r="E327" s="8">
        <v>24.1714878082275</v>
      </c>
      <c r="F327" s="8">
        <v>54.965431213378899</v>
      </c>
      <c r="G327" s="8"/>
      <c r="H327" s="8">
        <v>326</v>
      </c>
      <c r="I327" s="8">
        <v>25.035518646240199</v>
      </c>
      <c r="J327" s="8">
        <v>55.863857269287102</v>
      </c>
      <c r="K327" s="8"/>
      <c r="L327" s="8">
        <v>326</v>
      </c>
      <c r="M327" s="8">
        <v>21.426769256591701</v>
      </c>
      <c r="N327" s="8">
        <v>55.458885192871001</v>
      </c>
      <c r="P327" s="8">
        <f t="shared" si="23"/>
        <v>102.2282667160033</v>
      </c>
      <c r="Q327">
        <v>326</v>
      </c>
      <c r="R327">
        <v>15.532855033874499</v>
      </c>
      <c r="S327">
        <v>54.246482849121001</v>
      </c>
      <c r="U327">
        <v>326</v>
      </c>
      <c r="V327">
        <v>66.467575073242102</v>
      </c>
      <c r="W327">
        <v>54.503082275390597</v>
      </c>
      <c r="Y327">
        <v>326</v>
      </c>
      <c r="Z327">
        <v>20.227836608886701</v>
      </c>
      <c r="AA327">
        <v>54.840587615966797</v>
      </c>
    </row>
    <row r="328" spans="1:27" x14ac:dyDescent="0.25">
      <c r="A328" s="8">
        <f t="shared" si="20"/>
        <v>327</v>
      </c>
      <c r="B328" s="8">
        <f t="shared" si="21"/>
        <v>1</v>
      </c>
      <c r="C328" s="8">
        <f t="shared" si="22"/>
        <v>70.6337757110594</v>
      </c>
      <c r="D328" s="8">
        <v>327</v>
      </c>
      <c r="E328" s="8">
        <v>24.1714878082275</v>
      </c>
      <c r="F328" s="8">
        <v>54.965431213378899</v>
      </c>
      <c r="G328" s="8"/>
      <c r="H328" s="8">
        <v>327</v>
      </c>
      <c r="I328" s="8">
        <v>25.035518646240199</v>
      </c>
      <c r="J328" s="8">
        <v>55.863857269287102</v>
      </c>
      <c r="K328" s="8"/>
      <c r="L328" s="8">
        <v>327</v>
      </c>
      <c r="M328" s="8">
        <v>21.426769256591701</v>
      </c>
      <c r="N328" s="8">
        <v>55.458885192871001</v>
      </c>
      <c r="P328" s="8">
        <f t="shared" si="23"/>
        <v>81.279711723327495</v>
      </c>
      <c r="Q328">
        <v>327</v>
      </c>
      <c r="R328">
        <v>11.859522819519</v>
      </c>
      <c r="S328">
        <v>59.487060546875</v>
      </c>
      <c r="U328">
        <v>327</v>
      </c>
      <c r="V328">
        <v>49.583877563476499</v>
      </c>
      <c r="W328">
        <v>60.925914764404297</v>
      </c>
      <c r="Y328">
        <v>327</v>
      </c>
      <c r="Z328">
        <v>19.836311340331999</v>
      </c>
      <c r="AA328">
        <v>61.889583587646399</v>
      </c>
    </row>
    <row r="329" spans="1:27" x14ac:dyDescent="0.25">
      <c r="A329" s="8">
        <f t="shared" si="20"/>
        <v>328</v>
      </c>
      <c r="B329" s="8">
        <f t="shared" si="21"/>
        <v>1</v>
      </c>
      <c r="C329" s="8">
        <f t="shared" si="22"/>
        <v>23.6593933105468</v>
      </c>
      <c r="D329" s="8">
        <v>328</v>
      </c>
      <c r="E329" s="8">
        <v>10.505874633789</v>
      </c>
      <c r="F329" s="8">
        <v>9.1186418533325195</v>
      </c>
      <c r="G329" s="8"/>
      <c r="H329" s="8">
        <v>328</v>
      </c>
      <c r="I329" s="8">
        <v>7.5142593383789</v>
      </c>
      <c r="J329" s="8">
        <v>9.2153568267822195</v>
      </c>
      <c r="K329" s="8"/>
      <c r="L329" s="8">
        <v>328</v>
      </c>
      <c r="M329" s="8">
        <v>5.6392593383789</v>
      </c>
      <c r="N329" s="8">
        <v>9.1698055267333896</v>
      </c>
      <c r="P329" s="8">
        <f t="shared" si="23"/>
        <v>37.419156074523862</v>
      </c>
      <c r="Q329">
        <v>328</v>
      </c>
      <c r="R329">
        <v>4.9578223228454501</v>
      </c>
      <c r="S329">
        <v>60.056533813476499</v>
      </c>
      <c r="U329">
        <v>328</v>
      </c>
      <c r="V329">
        <v>26.569990158081001</v>
      </c>
      <c r="W329">
        <v>60.032119750976499</v>
      </c>
      <c r="Y329">
        <v>328</v>
      </c>
      <c r="Z329">
        <v>5.8913435935974103</v>
      </c>
      <c r="AA329">
        <v>60.491008758544901</v>
      </c>
    </row>
    <row r="330" spans="1:27" x14ac:dyDescent="0.25">
      <c r="A330" s="8">
        <f t="shared" si="20"/>
        <v>329</v>
      </c>
      <c r="B330" s="8">
        <f t="shared" si="21"/>
        <v>1</v>
      </c>
      <c r="C330" s="8">
        <f t="shared" si="22"/>
        <v>9.2489285469055087</v>
      </c>
      <c r="D330" s="8">
        <v>329</v>
      </c>
      <c r="E330" s="8">
        <v>5.8463106155395499</v>
      </c>
      <c r="F330" s="8">
        <v>11.358922958374</v>
      </c>
      <c r="G330" s="8"/>
      <c r="H330" s="8">
        <v>329</v>
      </c>
      <c r="I330" s="8">
        <v>2.1487717628478999</v>
      </c>
      <c r="J330" s="8">
        <v>11.4283590316772</v>
      </c>
      <c r="K330" s="8"/>
      <c r="L330" s="8">
        <v>329</v>
      </c>
      <c r="M330" s="8">
        <v>1.25384616851806</v>
      </c>
      <c r="N330" s="8">
        <v>11.3961133956909</v>
      </c>
      <c r="P330" s="8">
        <f t="shared" si="23"/>
        <v>37.419156074523862</v>
      </c>
      <c r="Q330">
        <v>329</v>
      </c>
      <c r="R330">
        <v>4.9578223228454501</v>
      </c>
      <c r="S330">
        <v>60.056533813476499</v>
      </c>
      <c r="U330">
        <v>329</v>
      </c>
      <c r="V330">
        <v>26.569990158081001</v>
      </c>
      <c r="W330">
        <v>60.032119750976499</v>
      </c>
      <c r="Y330">
        <v>329</v>
      </c>
      <c r="Z330">
        <v>5.8913435935974103</v>
      </c>
      <c r="AA330">
        <v>60.491008758544901</v>
      </c>
    </row>
    <row r="331" spans="1:27" x14ac:dyDescent="0.25">
      <c r="A331" s="8">
        <f t="shared" si="20"/>
        <v>330</v>
      </c>
      <c r="B331" s="8">
        <f t="shared" si="21"/>
        <v>1</v>
      </c>
      <c r="C331" s="8">
        <f t="shared" si="22"/>
        <v>192.42653656005851</v>
      </c>
      <c r="D331" s="8">
        <v>330</v>
      </c>
      <c r="E331" s="8">
        <v>62.741588592529297</v>
      </c>
      <c r="F331" s="8">
        <v>45.987537384033203</v>
      </c>
      <c r="G331" s="8"/>
      <c r="H331" s="8">
        <v>330</v>
      </c>
      <c r="I331" s="8">
        <v>71.911979675292898</v>
      </c>
      <c r="J331" s="8">
        <v>47.6021118164062</v>
      </c>
      <c r="K331" s="8"/>
      <c r="L331" s="8">
        <v>330</v>
      </c>
      <c r="M331" s="8">
        <v>57.7729682922363</v>
      </c>
      <c r="N331" s="8">
        <v>47.048599243163999</v>
      </c>
      <c r="P331" s="8">
        <f t="shared" si="23"/>
        <v>449.64059066772393</v>
      </c>
      <c r="Q331">
        <v>330</v>
      </c>
      <c r="R331">
        <v>60.999660491943303</v>
      </c>
      <c r="S331">
        <v>55.533863067626903</v>
      </c>
      <c r="U331">
        <v>330</v>
      </c>
      <c r="V331">
        <v>296.49185180664</v>
      </c>
      <c r="W331">
        <v>56.286750793457003</v>
      </c>
      <c r="Y331">
        <v>330</v>
      </c>
      <c r="Z331">
        <v>92.149078369140597</v>
      </c>
      <c r="AA331">
        <v>56.6060791015625</v>
      </c>
    </row>
    <row r="332" spans="1:27" x14ac:dyDescent="0.25">
      <c r="A332" s="8">
        <f t="shared" si="20"/>
        <v>331</v>
      </c>
      <c r="B332" s="8">
        <f t="shared" si="21"/>
        <v>1</v>
      </c>
      <c r="C332" s="8">
        <f t="shared" si="22"/>
        <v>41.8596925735472</v>
      </c>
      <c r="D332" s="8">
        <v>331</v>
      </c>
      <c r="E332" s="8">
        <v>14.009691238403301</v>
      </c>
      <c r="F332" s="8">
        <v>44.802497863769503</v>
      </c>
      <c r="G332" s="8"/>
      <c r="H332" s="8">
        <v>331</v>
      </c>
      <c r="I332" s="8">
        <v>15.390071868896401</v>
      </c>
      <c r="J332" s="8">
        <v>46.619125366210902</v>
      </c>
      <c r="K332" s="8"/>
      <c r="L332" s="8">
        <v>331</v>
      </c>
      <c r="M332" s="8">
        <v>12.4599294662475</v>
      </c>
      <c r="N332" s="8">
        <v>45.878852844238203</v>
      </c>
      <c r="P332" s="8">
        <f t="shared" si="23"/>
        <v>109.0651702880858</v>
      </c>
      <c r="Q332">
        <v>331</v>
      </c>
      <c r="R332">
        <v>20.074226379394499</v>
      </c>
      <c r="S332">
        <v>54.379581451416001</v>
      </c>
      <c r="U332">
        <v>331</v>
      </c>
      <c r="V332">
        <v>69.237609863281193</v>
      </c>
      <c r="W332">
        <v>54.755813598632798</v>
      </c>
      <c r="Y332">
        <v>331</v>
      </c>
      <c r="Z332">
        <v>19.753334045410099</v>
      </c>
      <c r="AA332">
        <v>54.848312377929602</v>
      </c>
    </row>
    <row r="333" spans="1:27" x14ac:dyDescent="0.25">
      <c r="A333" s="8">
        <f t="shared" si="20"/>
        <v>332</v>
      </c>
      <c r="B333" s="8">
        <f t="shared" si="21"/>
        <v>1</v>
      </c>
      <c r="C333" s="8">
        <f t="shared" si="22"/>
        <v>360.81703948974609</v>
      </c>
      <c r="D333" s="8">
        <v>332</v>
      </c>
      <c r="E333" s="8">
        <v>140.055419921875</v>
      </c>
      <c r="F333" s="8">
        <v>42.2523193359375</v>
      </c>
      <c r="G333" s="8"/>
      <c r="H333" s="8">
        <v>332</v>
      </c>
      <c r="I333" s="8">
        <v>135.392822265625</v>
      </c>
      <c r="J333" s="8">
        <v>43.143112182617102</v>
      </c>
      <c r="K333" s="8"/>
      <c r="L333" s="8">
        <v>332</v>
      </c>
      <c r="M333" s="8">
        <v>85.368797302246094</v>
      </c>
      <c r="N333" s="8">
        <v>42.7330322265625</v>
      </c>
      <c r="P333" s="8">
        <f t="shared" si="23"/>
        <v>594.90088653564203</v>
      </c>
      <c r="Q333">
        <v>332</v>
      </c>
      <c r="R333">
        <v>109.495788574218</v>
      </c>
      <c r="S333">
        <v>54.379581451416001</v>
      </c>
      <c r="U333">
        <v>332</v>
      </c>
      <c r="V333">
        <v>377.65963745117102</v>
      </c>
      <c r="W333">
        <v>54.755813598632798</v>
      </c>
      <c r="Y333">
        <v>332</v>
      </c>
      <c r="Z333">
        <v>107.745460510253</v>
      </c>
      <c r="AA333">
        <v>54.848312377929602</v>
      </c>
    </row>
    <row r="334" spans="1:27" x14ac:dyDescent="0.25">
      <c r="A334" s="8">
        <f t="shared" si="20"/>
        <v>333</v>
      </c>
      <c r="B334" s="8">
        <f t="shared" si="21"/>
        <v>1</v>
      </c>
      <c r="C334" s="8">
        <f t="shared" si="22"/>
        <v>31.995155811309708</v>
      </c>
      <c r="D334" s="8">
        <v>333</v>
      </c>
      <c r="E334" s="8">
        <v>12.515302658081</v>
      </c>
      <c r="F334" s="8">
        <v>41.802577972412102</v>
      </c>
      <c r="G334" s="8"/>
      <c r="H334" s="8">
        <v>333</v>
      </c>
      <c r="I334" s="8">
        <v>11.9647417068481</v>
      </c>
      <c r="J334" s="8">
        <v>42.730979919433501</v>
      </c>
      <c r="K334" s="8"/>
      <c r="L334" s="8">
        <v>333</v>
      </c>
      <c r="M334" s="8">
        <v>7.5151114463806099</v>
      </c>
      <c r="N334" s="8">
        <v>42.312057495117102</v>
      </c>
      <c r="P334" s="8">
        <f t="shared" si="23"/>
        <v>537.7128372192376</v>
      </c>
      <c r="Q334">
        <v>333</v>
      </c>
      <c r="R334">
        <v>57.222091674804602</v>
      </c>
      <c r="S334">
        <v>73.41064453125</v>
      </c>
      <c r="U334">
        <v>333</v>
      </c>
      <c r="V334">
        <v>353.83892822265602</v>
      </c>
      <c r="W334">
        <v>75.358024597167898</v>
      </c>
      <c r="Y334">
        <v>333</v>
      </c>
      <c r="Z334">
        <v>126.651817321777</v>
      </c>
      <c r="AA334">
        <v>78.143630981445298</v>
      </c>
    </row>
    <row r="335" spans="1:27" x14ac:dyDescent="0.25">
      <c r="A335" s="8">
        <f t="shared" si="20"/>
        <v>334</v>
      </c>
      <c r="B335" s="8">
        <f t="shared" si="21"/>
        <v>1</v>
      </c>
      <c r="C335" s="8">
        <f t="shared" si="22"/>
        <v>106.1133594512939</v>
      </c>
      <c r="D335" s="8">
        <v>334</v>
      </c>
      <c r="E335" s="8">
        <v>50.355800628662102</v>
      </c>
      <c r="F335" s="8">
        <v>72.594932556152301</v>
      </c>
      <c r="G335" s="8"/>
      <c r="H335" s="8">
        <v>334</v>
      </c>
      <c r="I335" s="8">
        <v>33.522945404052699</v>
      </c>
      <c r="J335" s="8">
        <v>82.443168640136705</v>
      </c>
      <c r="K335" s="8"/>
      <c r="L335" s="8">
        <v>334</v>
      </c>
      <c r="M335" s="8">
        <v>22.234613418579102</v>
      </c>
      <c r="N335" s="8">
        <v>73.086509704589801</v>
      </c>
      <c r="P335" s="8">
        <f t="shared" si="23"/>
        <v>1137.7935180664049</v>
      </c>
      <c r="Q335">
        <v>334</v>
      </c>
      <c r="R335">
        <v>207.467361450195</v>
      </c>
      <c r="S335">
        <v>76.373718261718693</v>
      </c>
      <c r="U335">
        <v>334</v>
      </c>
      <c r="V335">
        <v>752.31109619140602</v>
      </c>
      <c r="W335">
        <v>76.151985168457003</v>
      </c>
      <c r="Y335">
        <v>334</v>
      </c>
      <c r="Z335">
        <v>178.01506042480401</v>
      </c>
      <c r="AA335">
        <v>77.412712097167898</v>
      </c>
    </row>
    <row r="336" spans="1:27" x14ac:dyDescent="0.25">
      <c r="A336" s="8">
        <f t="shared" si="20"/>
        <v>335</v>
      </c>
      <c r="B336" s="8">
        <f t="shared" si="21"/>
        <v>1</v>
      </c>
      <c r="C336" s="8">
        <f t="shared" si="22"/>
        <v>174.90991973876939</v>
      </c>
      <c r="D336" s="8">
        <v>335</v>
      </c>
      <c r="E336" s="8">
        <v>70.687927246093693</v>
      </c>
      <c r="F336" s="8">
        <v>29.759191513061499</v>
      </c>
      <c r="G336" s="8"/>
      <c r="H336" s="8">
        <v>335</v>
      </c>
      <c r="I336" s="8">
        <v>63.013469696044901</v>
      </c>
      <c r="J336" s="8">
        <v>31.856775283813398</v>
      </c>
      <c r="K336" s="8"/>
      <c r="L336" s="8">
        <v>335</v>
      </c>
      <c r="M336" s="8">
        <v>41.208522796630803</v>
      </c>
      <c r="N336" s="8">
        <v>30.231117248535099</v>
      </c>
      <c r="P336" s="8">
        <f t="shared" si="23"/>
        <v>44.927869319915715</v>
      </c>
      <c r="Q336">
        <v>335</v>
      </c>
      <c r="R336">
        <v>5.4307951927184996</v>
      </c>
      <c r="S336">
        <v>70.490486145019503</v>
      </c>
      <c r="U336">
        <v>335</v>
      </c>
      <c r="V336">
        <v>31.1613445281982</v>
      </c>
      <c r="W336">
        <v>71.742134094238196</v>
      </c>
      <c r="Y336">
        <v>335</v>
      </c>
      <c r="Z336">
        <v>8.3357295989990199</v>
      </c>
      <c r="AA336">
        <v>72.544265747070298</v>
      </c>
    </row>
    <row r="337" spans="1:27" x14ac:dyDescent="0.25">
      <c r="A337" s="8">
        <f t="shared" si="20"/>
        <v>336</v>
      </c>
      <c r="B337" s="8">
        <f t="shared" si="21"/>
        <v>1</v>
      </c>
      <c r="C337" s="8">
        <f t="shared" si="22"/>
        <v>60.727119445800597</v>
      </c>
      <c r="D337" s="8">
        <v>336</v>
      </c>
      <c r="E337" s="8">
        <v>28.455207824706999</v>
      </c>
      <c r="F337" s="8">
        <v>27.8996486663818</v>
      </c>
      <c r="G337" s="8"/>
      <c r="H337" s="8">
        <v>336</v>
      </c>
      <c r="I337" s="8">
        <v>14.2241649627685</v>
      </c>
      <c r="J337" s="8">
        <v>28.346002578735298</v>
      </c>
      <c r="K337" s="8"/>
      <c r="L337" s="8">
        <v>336</v>
      </c>
      <c r="M337" s="8">
        <v>18.047746658325099</v>
      </c>
      <c r="N337" s="8">
        <v>28.142381668090799</v>
      </c>
      <c r="P337" s="8">
        <f t="shared" si="23"/>
        <v>43.147278785705453</v>
      </c>
      <c r="Q337">
        <v>336</v>
      </c>
      <c r="R337">
        <v>4.2492532730102504</v>
      </c>
      <c r="S337">
        <v>66.560890197753906</v>
      </c>
      <c r="U337">
        <v>336</v>
      </c>
      <c r="V337">
        <v>28.511255264282202</v>
      </c>
      <c r="W337">
        <v>68.352714538574205</v>
      </c>
      <c r="Y337">
        <v>336</v>
      </c>
      <c r="Z337">
        <v>10.386770248413001</v>
      </c>
      <c r="AA337">
        <v>69.335876464843693</v>
      </c>
    </row>
    <row r="338" spans="1:27" x14ac:dyDescent="0.25">
      <c r="A338" s="8">
        <f t="shared" si="20"/>
        <v>337</v>
      </c>
      <c r="B338" s="8">
        <f t="shared" si="21"/>
        <v>1</v>
      </c>
      <c r="C338" s="8">
        <f t="shared" si="22"/>
        <v>8.3357254266738803</v>
      </c>
      <c r="D338" s="8">
        <v>337</v>
      </c>
      <c r="E338" s="8">
        <v>2.2092437744140598</v>
      </c>
      <c r="F338" s="8">
        <v>41.628978729247997</v>
      </c>
      <c r="G338" s="8"/>
      <c r="H338" s="8">
        <v>337</v>
      </c>
      <c r="I338" s="8">
        <v>0.88235294818878096</v>
      </c>
      <c r="J338" s="8">
        <v>42.395641326904297</v>
      </c>
      <c r="K338" s="8"/>
      <c r="L338" s="8">
        <v>337</v>
      </c>
      <c r="M338" s="8">
        <v>5.2441287040710396</v>
      </c>
      <c r="N338" s="8">
        <v>42.171401977538999</v>
      </c>
      <c r="P338" s="8">
        <f t="shared" si="23"/>
        <v>871.35142517089707</v>
      </c>
      <c r="Q338">
        <v>337</v>
      </c>
      <c r="R338">
        <v>142.15519714355401</v>
      </c>
      <c r="S338">
        <v>85.727638244628906</v>
      </c>
      <c r="U338">
        <v>337</v>
      </c>
      <c r="V338">
        <v>580.16833496093705</v>
      </c>
      <c r="W338">
        <v>86.369560241699205</v>
      </c>
      <c r="Y338">
        <v>337</v>
      </c>
      <c r="Z338">
        <v>149.02789306640599</v>
      </c>
      <c r="AA338">
        <v>87.403526306152301</v>
      </c>
    </row>
    <row r="339" spans="1:27" x14ac:dyDescent="0.25">
      <c r="A339" s="8">
        <f t="shared" si="20"/>
        <v>338</v>
      </c>
      <c r="B339" s="8">
        <f t="shared" si="21"/>
        <v>1</v>
      </c>
      <c r="C339" s="8">
        <f t="shared" si="22"/>
        <v>30.173372268676719</v>
      </c>
      <c r="D339" s="8">
        <v>338</v>
      </c>
      <c r="E339" s="8">
        <v>16.4317817687988</v>
      </c>
      <c r="F339" s="8">
        <v>44.986598968505803</v>
      </c>
      <c r="G339" s="8"/>
      <c r="H339" s="8">
        <v>338</v>
      </c>
      <c r="I339" s="8">
        <v>8.4972658157348597</v>
      </c>
      <c r="J339" s="8">
        <v>50.655044555663999</v>
      </c>
      <c r="K339" s="8"/>
      <c r="L339" s="8">
        <v>338</v>
      </c>
      <c r="M339" s="8">
        <v>5.2443246841430602</v>
      </c>
      <c r="N339" s="8">
        <v>44.946132659912102</v>
      </c>
      <c r="P339" s="8">
        <f t="shared" si="23"/>
        <v>969.72596740722599</v>
      </c>
      <c r="Q339">
        <v>338</v>
      </c>
      <c r="R339">
        <v>134.68519592285099</v>
      </c>
      <c r="S339">
        <v>81.091156005859304</v>
      </c>
      <c r="U339">
        <v>338</v>
      </c>
      <c r="V339">
        <v>648.119873046875</v>
      </c>
      <c r="W339">
        <v>82.070732116699205</v>
      </c>
      <c r="Y339">
        <v>338</v>
      </c>
      <c r="Z339">
        <v>186.9208984375</v>
      </c>
      <c r="AA339">
        <v>83.466201782226506</v>
      </c>
    </row>
    <row r="340" spans="1:27" x14ac:dyDescent="0.25">
      <c r="A340" s="8">
        <f t="shared" si="20"/>
        <v>339</v>
      </c>
      <c r="B340" s="8">
        <f t="shared" si="21"/>
        <v>1</v>
      </c>
      <c r="C340" s="8">
        <f t="shared" si="22"/>
        <v>83.751129150390511</v>
      </c>
      <c r="D340" s="8">
        <v>339</v>
      </c>
      <c r="E340" s="8">
        <v>29.2549648284912</v>
      </c>
      <c r="F340" s="8">
        <v>58.406852722167898</v>
      </c>
      <c r="G340" s="8"/>
      <c r="H340" s="8">
        <v>339</v>
      </c>
      <c r="I340" s="8">
        <v>31.5527439117431</v>
      </c>
      <c r="J340" s="8">
        <v>62.247161865234297</v>
      </c>
      <c r="K340" s="8"/>
      <c r="L340" s="8">
        <v>339</v>
      </c>
      <c r="M340" s="8">
        <v>22.9434204101562</v>
      </c>
      <c r="N340" s="8">
        <v>59.320182800292898</v>
      </c>
      <c r="P340" s="8">
        <f t="shared" si="23"/>
        <v>144.00707054138172</v>
      </c>
      <c r="Q340">
        <v>339</v>
      </c>
      <c r="R340">
        <v>19.823213577270501</v>
      </c>
      <c r="S340">
        <v>52.838409423828097</v>
      </c>
      <c r="U340">
        <v>339</v>
      </c>
      <c r="V340">
        <v>96.243667602539006</v>
      </c>
      <c r="W340">
        <v>52.977272033691399</v>
      </c>
      <c r="Y340">
        <v>339</v>
      </c>
      <c r="Z340">
        <v>27.940189361572202</v>
      </c>
      <c r="AA340">
        <v>54.160816192626903</v>
      </c>
    </row>
    <row r="341" spans="1:27" x14ac:dyDescent="0.25">
      <c r="A341" s="8">
        <f t="shared" si="20"/>
        <v>340</v>
      </c>
      <c r="B341" s="8">
        <f t="shared" si="21"/>
        <v>1</v>
      </c>
      <c r="C341" s="8">
        <f t="shared" si="22"/>
        <v>975.30718994140602</v>
      </c>
      <c r="D341" s="8">
        <v>340</v>
      </c>
      <c r="E341" s="8">
        <v>344.50494384765602</v>
      </c>
      <c r="F341" s="8">
        <v>54.2988891601562</v>
      </c>
      <c r="G341" s="8"/>
      <c r="H341" s="8">
        <v>340</v>
      </c>
      <c r="I341" s="8">
        <v>363.395751953125</v>
      </c>
      <c r="J341" s="8">
        <v>58.093429565429602</v>
      </c>
      <c r="K341" s="8"/>
      <c r="L341" s="8">
        <v>340</v>
      </c>
      <c r="M341" s="8">
        <v>267.406494140625</v>
      </c>
      <c r="N341" s="8">
        <v>55.197128295898402</v>
      </c>
      <c r="P341" s="8">
        <f t="shared" si="23"/>
        <v>144.00707054138172</v>
      </c>
      <c r="Q341">
        <v>340</v>
      </c>
      <c r="R341">
        <v>19.823213577270501</v>
      </c>
      <c r="S341">
        <v>52.838409423828097</v>
      </c>
      <c r="U341">
        <v>340</v>
      </c>
      <c r="V341">
        <v>96.243667602539006</v>
      </c>
      <c r="W341">
        <v>52.977272033691399</v>
      </c>
      <c r="Y341">
        <v>340</v>
      </c>
      <c r="Z341">
        <v>27.940189361572202</v>
      </c>
      <c r="AA341">
        <v>54.160816192626903</v>
      </c>
    </row>
    <row r="342" spans="1:27" x14ac:dyDescent="0.25">
      <c r="A342" s="8">
        <f t="shared" si="20"/>
        <v>341</v>
      </c>
      <c r="B342" s="8">
        <f t="shared" si="21"/>
        <v>1</v>
      </c>
      <c r="C342" s="8">
        <f t="shared" si="22"/>
        <v>826.4071807861319</v>
      </c>
      <c r="D342" s="8">
        <v>341</v>
      </c>
      <c r="E342" s="8">
        <v>310.14343261718699</v>
      </c>
      <c r="F342" s="8">
        <v>53.205970764160099</v>
      </c>
      <c r="G342" s="8"/>
      <c r="H342" s="8">
        <v>341</v>
      </c>
      <c r="I342" s="8">
        <v>312.70901489257801</v>
      </c>
      <c r="J342" s="8">
        <v>53.994075775146399</v>
      </c>
      <c r="K342" s="8"/>
      <c r="L342" s="8">
        <v>341</v>
      </c>
      <c r="M342" s="8">
        <v>203.55473327636699</v>
      </c>
      <c r="N342" s="8">
        <v>53.718910217285099</v>
      </c>
      <c r="P342" s="8">
        <f t="shared" si="23"/>
        <v>46.030548572540262</v>
      </c>
      <c r="Q342">
        <v>341</v>
      </c>
      <c r="R342">
        <v>6.4072813987731898</v>
      </c>
      <c r="S342">
        <v>70.810836791992102</v>
      </c>
      <c r="U342">
        <v>341</v>
      </c>
      <c r="V342">
        <v>30.805229187011701</v>
      </c>
      <c r="W342">
        <v>71.317321777343693</v>
      </c>
      <c r="Y342">
        <v>341</v>
      </c>
      <c r="Z342">
        <v>8.8180379867553693</v>
      </c>
      <c r="AA342">
        <v>73.030555725097599</v>
      </c>
    </row>
    <row r="343" spans="1:27" x14ac:dyDescent="0.25">
      <c r="A343" s="8">
        <f t="shared" si="20"/>
        <v>342</v>
      </c>
      <c r="B343" s="8">
        <f t="shared" si="21"/>
        <v>1</v>
      </c>
      <c r="C343" s="8">
        <f t="shared" si="22"/>
        <v>81.3489341735838</v>
      </c>
      <c r="D343" s="8">
        <v>342</v>
      </c>
      <c r="E343" s="8">
        <v>31.009954452514599</v>
      </c>
      <c r="F343" s="8">
        <v>56.886543273925703</v>
      </c>
      <c r="G343" s="8"/>
      <c r="H343" s="8">
        <v>342</v>
      </c>
      <c r="I343" s="8">
        <v>30.68941116333</v>
      </c>
      <c r="J343" s="8">
        <v>63.755130767822202</v>
      </c>
      <c r="K343" s="8"/>
      <c r="L343" s="8">
        <v>342</v>
      </c>
      <c r="M343" s="8">
        <v>19.649568557739201</v>
      </c>
      <c r="N343" s="8">
        <v>57.709709167480398</v>
      </c>
      <c r="P343" s="8">
        <f t="shared" si="23"/>
        <v>49.309797286987241</v>
      </c>
      <c r="Q343">
        <v>342</v>
      </c>
      <c r="R343">
        <v>9.6013488769531197</v>
      </c>
      <c r="S343">
        <v>70.269172668457003</v>
      </c>
      <c r="U343">
        <v>342</v>
      </c>
      <c r="V343">
        <v>30.181573867797798</v>
      </c>
      <c r="W343">
        <v>70.723785400390597</v>
      </c>
      <c r="Y343">
        <v>342</v>
      </c>
      <c r="Z343">
        <v>9.5268745422363192</v>
      </c>
      <c r="AA343">
        <v>71.782333374023395</v>
      </c>
    </row>
    <row r="344" spans="1:27" x14ac:dyDescent="0.25">
      <c r="A344" s="8">
        <f t="shared" si="20"/>
        <v>343</v>
      </c>
      <c r="B344" s="8">
        <f t="shared" si="21"/>
        <v>1</v>
      </c>
      <c r="C344" s="8">
        <f t="shared" si="22"/>
        <v>81.098642349242994</v>
      </c>
      <c r="D344" s="8">
        <v>343</v>
      </c>
      <c r="E344" s="8">
        <v>27.8813972473144</v>
      </c>
      <c r="F344" s="8">
        <v>29.4883937835693</v>
      </c>
      <c r="G344" s="8"/>
      <c r="H344" s="8">
        <v>343</v>
      </c>
      <c r="I344" s="8">
        <v>33.793144226074197</v>
      </c>
      <c r="J344" s="8">
        <v>30.232652664184499</v>
      </c>
      <c r="K344" s="8"/>
      <c r="L344" s="8">
        <v>343</v>
      </c>
      <c r="M344" s="8">
        <v>19.4241008758544</v>
      </c>
      <c r="N344" s="8">
        <v>29.8378791809082</v>
      </c>
      <c r="P344" s="8">
        <f t="shared" si="23"/>
        <v>26.059673309326129</v>
      </c>
      <c r="Q344">
        <v>343</v>
      </c>
      <c r="R344">
        <v>3.3599352836608798</v>
      </c>
      <c r="S344">
        <v>65.137344360351506</v>
      </c>
      <c r="U344">
        <v>343</v>
      </c>
      <c r="V344">
        <v>17.0928039550781</v>
      </c>
      <c r="W344">
        <v>65.356872558593693</v>
      </c>
      <c r="Y344">
        <v>343</v>
      </c>
      <c r="Z344">
        <v>5.6069340705871502</v>
      </c>
      <c r="AA344">
        <v>67.124031066894503</v>
      </c>
    </row>
    <row r="345" spans="1:27" x14ac:dyDescent="0.25">
      <c r="A345" s="8">
        <f t="shared" si="20"/>
        <v>344</v>
      </c>
      <c r="B345" s="8">
        <f t="shared" si="21"/>
        <v>1</v>
      </c>
      <c r="C345" s="8">
        <f t="shared" si="22"/>
        <v>105.01503753662089</v>
      </c>
      <c r="D345" s="8">
        <v>344</v>
      </c>
      <c r="E345" s="8">
        <v>45.5023384094238</v>
      </c>
      <c r="F345" s="8">
        <v>32.393123626708899</v>
      </c>
      <c r="G345" s="8"/>
      <c r="H345" s="8">
        <v>344</v>
      </c>
      <c r="I345" s="8">
        <v>30.4833164215087</v>
      </c>
      <c r="J345" s="8">
        <v>34.395828247070298</v>
      </c>
      <c r="K345" s="8"/>
      <c r="L345" s="8">
        <v>344</v>
      </c>
      <c r="M345" s="8">
        <v>29.029382705688398</v>
      </c>
      <c r="N345" s="8">
        <v>33.148777008056598</v>
      </c>
      <c r="P345" s="8">
        <f t="shared" si="23"/>
        <v>15.62319636344901</v>
      </c>
      <c r="Q345">
        <v>344</v>
      </c>
      <c r="R345">
        <v>1.4599092006683301</v>
      </c>
      <c r="S345">
        <v>34.099433898925703</v>
      </c>
      <c r="U345">
        <v>344</v>
      </c>
      <c r="V345">
        <v>10.2910957336425</v>
      </c>
      <c r="W345">
        <v>35.056354522705</v>
      </c>
      <c r="Y345">
        <v>344</v>
      </c>
      <c r="Z345">
        <v>3.87219142913818</v>
      </c>
      <c r="AA345">
        <v>36.460029602050703</v>
      </c>
    </row>
    <row r="346" spans="1:27" x14ac:dyDescent="0.25">
      <c r="A346" s="8">
        <f t="shared" si="20"/>
        <v>345</v>
      </c>
      <c r="B346" s="8">
        <f t="shared" si="21"/>
        <v>1</v>
      </c>
      <c r="C346" s="8">
        <f t="shared" si="22"/>
        <v>14.218103170394881</v>
      </c>
      <c r="D346" s="8">
        <v>345</v>
      </c>
      <c r="E346" s="8">
        <v>4.91599416732788</v>
      </c>
      <c r="F346" s="8">
        <v>32.8035469055175</v>
      </c>
      <c r="G346" s="8"/>
      <c r="H346" s="8">
        <v>345</v>
      </c>
      <c r="I346" s="8">
        <v>5.37141561508178</v>
      </c>
      <c r="J346" s="8">
        <v>33.619773864746001</v>
      </c>
      <c r="K346" s="8"/>
      <c r="L346" s="8">
        <v>345</v>
      </c>
      <c r="M346" s="8">
        <v>3.9306933879852202</v>
      </c>
      <c r="N346" s="8">
        <v>33.098049163818303</v>
      </c>
      <c r="P346" s="8">
        <f t="shared" si="23"/>
        <v>45.968412399291893</v>
      </c>
      <c r="Q346">
        <v>345</v>
      </c>
      <c r="R346">
        <v>4.0322551727294904</v>
      </c>
      <c r="S346">
        <v>67.997909545898395</v>
      </c>
      <c r="U346">
        <v>345</v>
      </c>
      <c r="V346">
        <v>29.406120300292901</v>
      </c>
      <c r="W346">
        <v>68.643463134765597</v>
      </c>
      <c r="Y346">
        <v>345</v>
      </c>
      <c r="Z346">
        <v>12.530036926269499</v>
      </c>
      <c r="AA346">
        <v>70.330162048339801</v>
      </c>
    </row>
    <row r="347" spans="1:27" x14ac:dyDescent="0.25">
      <c r="A347" s="8">
        <f t="shared" si="20"/>
        <v>346</v>
      </c>
      <c r="B347" s="8">
        <f t="shared" si="21"/>
        <v>1</v>
      </c>
      <c r="C347" s="8">
        <f t="shared" si="22"/>
        <v>10.389556884765611</v>
      </c>
      <c r="D347" s="8">
        <v>346</v>
      </c>
      <c r="E347" s="8">
        <v>3.5655417442321702</v>
      </c>
      <c r="F347" s="8">
        <v>46.349784851074197</v>
      </c>
      <c r="G347" s="8"/>
      <c r="H347" s="8">
        <v>346</v>
      </c>
      <c r="I347" s="8">
        <v>3.7790677547454798</v>
      </c>
      <c r="J347" s="8">
        <v>48.618461608886697</v>
      </c>
      <c r="K347" s="8"/>
      <c r="L347" s="8">
        <v>346</v>
      </c>
      <c r="M347" s="8">
        <v>3.0449473857879599</v>
      </c>
      <c r="N347" s="8">
        <v>47.883796691894503</v>
      </c>
      <c r="P347" s="8">
        <f t="shared" si="23"/>
        <v>5.8249778747558505</v>
      </c>
      <c r="Q347">
        <v>346</v>
      </c>
      <c r="R347">
        <v>0.58436095714569003</v>
      </c>
      <c r="S347">
        <v>24.261329650878899</v>
      </c>
      <c r="U347">
        <v>346</v>
      </c>
      <c r="V347">
        <v>3.99737071990966</v>
      </c>
      <c r="W347">
        <v>24.7303142547607</v>
      </c>
      <c r="Y347">
        <v>346</v>
      </c>
      <c r="Z347">
        <v>1.2432461977005</v>
      </c>
      <c r="AA347">
        <v>25.180318832397401</v>
      </c>
    </row>
    <row r="348" spans="1:27" x14ac:dyDescent="0.25">
      <c r="A348" s="8">
        <f t="shared" si="20"/>
        <v>347</v>
      </c>
      <c r="B348" s="8">
        <f t="shared" si="21"/>
        <v>1</v>
      </c>
      <c r="C348" s="8">
        <f t="shared" si="22"/>
        <v>81.590179443359304</v>
      </c>
      <c r="D348" s="8">
        <v>347</v>
      </c>
      <c r="E348" s="8">
        <v>36.170642852783203</v>
      </c>
      <c r="F348" s="8">
        <v>50.420421600341797</v>
      </c>
      <c r="G348" s="8"/>
      <c r="H348" s="8">
        <v>347</v>
      </c>
      <c r="I348" s="8">
        <v>30.022281646728501</v>
      </c>
      <c r="J348" s="8">
        <v>54.602939605712798</v>
      </c>
      <c r="K348" s="8"/>
      <c r="L348" s="8">
        <v>347</v>
      </c>
      <c r="M348" s="8">
        <v>15.397254943847599</v>
      </c>
      <c r="N348" s="8">
        <v>52.666446685791001</v>
      </c>
      <c r="P348" s="8">
        <f t="shared" si="23"/>
        <v>5.6249779462814207</v>
      </c>
      <c r="Q348">
        <v>347</v>
      </c>
      <c r="R348">
        <v>0.58436095714569003</v>
      </c>
      <c r="S348">
        <v>24.325668334960898</v>
      </c>
      <c r="U348">
        <v>347</v>
      </c>
      <c r="V348">
        <v>3.9307041168212802</v>
      </c>
      <c r="W348">
        <v>24.794654846191399</v>
      </c>
      <c r="Y348">
        <v>347</v>
      </c>
      <c r="Z348">
        <v>1.10991287231445</v>
      </c>
      <c r="AA348">
        <v>25.244663238525298</v>
      </c>
    </row>
    <row r="349" spans="1:27" x14ac:dyDescent="0.25">
      <c r="A349" s="8">
        <f t="shared" si="20"/>
        <v>348</v>
      </c>
      <c r="B349" s="8">
        <f t="shared" si="21"/>
        <v>1</v>
      </c>
      <c r="C349" s="8">
        <f t="shared" si="22"/>
        <v>11.523747205734228</v>
      </c>
      <c r="D349" s="8">
        <v>348</v>
      </c>
      <c r="E349" s="8">
        <v>4.3109855651855398</v>
      </c>
      <c r="F349" s="8">
        <v>25.8469638824462</v>
      </c>
      <c r="G349" s="8"/>
      <c r="H349" s="8">
        <v>348</v>
      </c>
      <c r="I349" s="8">
        <v>4.7169270515441797</v>
      </c>
      <c r="J349" s="8">
        <v>27.051952362060501</v>
      </c>
      <c r="K349" s="8"/>
      <c r="L349" s="8">
        <v>348</v>
      </c>
      <c r="M349" s="8">
        <v>2.4958345890045099</v>
      </c>
      <c r="N349" s="8">
        <v>26.173053741455</v>
      </c>
      <c r="P349" s="8">
        <f t="shared" si="23"/>
        <v>99.328077316284094</v>
      </c>
      <c r="Q349">
        <v>348</v>
      </c>
      <c r="R349">
        <v>16.133983612060501</v>
      </c>
      <c r="S349">
        <v>46.818424224853501</v>
      </c>
      <c r="U349">
        <v>348</v>
      </c>
      <c r="V349">
        <v>62.164669036865199</v>
      </c>
      <c r="W349">
        <v>47.679241180419901</v>
      </c>
      <c r="Y349">
        <v>348</v>
      </c>
      <c r="Z349">
        <v>21.029424667358398</v>
      </c>
      <c r="AA349">
        <v>47.904941558837798</v>
      </c>
    </row>
    <row r="350" spans="1:27" x14ac:dyDescent="0.25">
      <c r="A350" s="8">
        <f t="shared" si="20"/>
        <v>349</v>
      </c>
      <c r="B350" s="8">
        <f t="shared" si="21"/>
        <v>1</v>
      </c>
      <c r="C350" s="8">
        <f t="shared" si="22"/>
        <v>17.088559389114369</v>
      </c>
      <c r="D350" s="8">
        <v>349</v>
      </c>
      <c r="E350" s="8">
        <v>6.4396495819091797</v>
      </c>
      <c r="F350" s="8">
        <v>20.564922332763601</v>
      </c>
      <c r="G350" s="8"/>
      <c r="H350" s="8">
        <v>349</v>
      </c>
      <c r="I350" s="8">
        <v>7.04856157302856</v>
      </c>
      <c r="J350" s="8">
        <v>21.576421737670898</v>
      </c>
      <c r="K350" s="8"/>
      <c r="L350" s="8">
        <v>349</v>
      </c>
      <c r="M350" s="8">
        <v>3.60034823417663</v>
      </c>
      <c r="N350" s="8">
        <v>20.855327606201101</v>
      </c>
      <c r="P350" s="8">
        <f t="shared" si="23"/>
        <v>100.01006984710681</v>
      </c>
      <c r="Q350">
        <v>349</v>
      </c>
      <c r="R350">
        <v>11.0460405349731</v>
      </c>
      <c r="S350">
        <v>46.232925415038999</v>
      </c>
      <c r="U350">
        <v>349</v>
      </c>
      <c r="V350">
        <v>57.015125274658203</v>
      </c>
      <c r="W350">
        <v>47.3343696594238</v>
      </c>
      <c r="Y350">
        <v>349</v>
      </c>
      <c r="Z350">
        <v>31.948904037475501</v>
      </c>
      <c r="AA350">
        <v>47.947460174560497</v>
      </c>
    </row>
    <row r="351" spans="1:27" x14ac:dyDescent="0.25">
      <c r="A351" s="8">
        <f t="shared" si="20"/>
        <v>350</v>
      </c>
      <c r="B351" s="8">
        <f t="shared" si="21"/>
        <v>1</v>
      </c>
      <c r="C351" s="8">
        <f t="shared" si="22"/>
        <v>13.755295038223249</v>
      </c>
      <c r="D351" s="8">
        <v>350</v>
      </c>
      <c r="E351" s="8">
        <v>4.3990788459777797</v>
      </c>
      <c r="F351" s="8">
        <v>25.9954319000244</v>
      </c>
      <c r="G351" s="8"/>
      <c r="H351" s="8">
        <v>350</v>
      </c>
      <c r="I351" s="8">
        <v>5.4549307823181099</v>
      </c>
      <c r="J351" s="8">
        <v>26.263399124145501</v>
      </c>
      <c r="K351" s="8"/>
      <c r="L351" s="8">
        <v>350</v>
      </c>
      <c r="M351" s="8">
        <v>3.9012854099273602</v>
      </c>
      <c r="N351" s="8">
        <v>26.255741119384702</v>
      </c>
      <c r="P351" s="8">
        <f t="shared" si="23"/>
        <v>131.6269454956053</v>
      </c>
      <c r="Q351">
        <v>350</v>
      </c>
      <c r="R351">
        <v>16.9017028808593</v>
      </c>
      <c r="S351">
        <v>29.256778717041001</v>
      </c>
      <c r="U351">
        <v>350</v>
      </c>
      <c r="V351">
        <v>95.210113525390597</v>
      </c>
      <c r="W351">
        <v>29.9829788208007</v>
      </c>
      <c r="Y351">
        <v>350</v>
      </c>
      <c r="Z351">
        <v>19.515129089355401</v>
      </c>
      <c r="AA351">
        <v>30.258773803710898</v>
      </c>
    </row>
    <row r="352" spans="1:27" x14ac:dyDescent="0.25">
      <c r="A352" s="8">
        <f t="shared" si="20"/>
        <v>351</v>
      </c>
      <c r="B352" s="8">
        <f t="shared" si="21"/>
        <v>1</v>
      </c>
      <c r="C352" s="8">
        <f t="shared" si="22"/>
        <v>13.351182937622051</v>
      </c>
      <c r="D352" s="8">
        <v>351</v>
      </c>
      <c r="E352" s="8">
        <v>4.3794064521789497</v>
      </c>
      <c r="F352" s="8">
        <v>20.2437229156494</v>
      </c>
      <c r="G352" s="8"/>
      <c r="H352" s="8">
        <v>351</v>
      </c>
      <c r="I352" s="8">
        <v>5.2444043159484801</v>
      </c>
      <c r="J352" s="8">
        <v>20.405239105224599</v>
      </c>
      <c r="K352" s="8"/>
      <c r="L352" s="8">
        <v>351</v>
      </c>
      <c r="M352" s="8">
        <v>3.72737216949462</v>
      </c>
      <c r="N352" s="8">
        <v>20.430059432983398</v>
      </c>
      <c r="P352" s="8">
        <f t="shared" si="23"/>
        <v>87.223201751708899</v>
      </c>
      <c r="Q352">
        <v>351</v>
      </c>
      <c r="R352">
        <v>10.967277526855399</v>
      </c>
      <c r="S352">
        <v>28.863706588745099</v>
      </c>
      <c r="U352">
        <v>351</v>
      </c>
      <c r="V352">
        <v>58.813697814941399</v>
      </c>
      <c r="W352">
        <v>29.5569038391113</v>
      </c>
      <c r="Y352">
        <v>351</v>
      </c>
      <c r="Z352">
        <v>17.442226409912099</v>
      </c>
      <c r="AA352">
        <v>29.772590637206999</v>
      </c>
    </row>
    <row r="353" spans="1:27" x14ac:dyDescent="0.25">
      <c r="A353" s="8">
        <f t="shared" si="20"/>
        <v>352</v>
      </c>
      <c r="B353" s="8">
        <f t="shared" si="21"/>
        <v>1</v>
      </c>
      <c r="C353" s="8">
        <f t="shared" si="22"/>
        <v>5.7230155467986892</v>
      </c>
      <c r="D353" s="8">
        <v>352</v>
      </c>
      <c r="E353" s="8">
        <v>2.1554927825927699</v>
      </c>
      <c r="F353" s="8">
        <v>25.136632919311499</v>
      </c>
      <c r="G353" s="8"/>
      <c r="H353" s="8">
        <v>352</v>
      </c>
      <c r="I353" s="8">
        <v>2.3584635257720898</v>
      </c>
      <c r="J353" s="8">
        <v>26.194667816162099</v>
      </c>
      <c r="K353" s="8"/>
      <c r="L353" s="8">
        <v>352</v>
      </c>
      <c r="M353" s="8">
        <v>1.2090592384338299</v>
      </c>
      <c r="N353" s="8">
        <v>25.461483001708899</v>
      </c>
      <c r="P353" s="8">
        <f t="shared" si="23"/>
        <v>13.442978978157031</v>
      </c>
      <c r="Q353">
        <v>352</v>
      </c>
      <c r="R353">
        <v>1.82249224185943</v>
      </c>
      <c r="S353">
        <v>18.048772811889599</v>
      </c>
      <c r="U353">
        <v>352</v>
      </c>
      <c r="V353">
        <v>8.9513530731201101</v>
      </c>
      <c r="W353">
        <v>18.585838317871001</v>
      </c>
      <c r="Y353">
        <v>352</v>
      </c>
      <c r="Z353">
        <v>2.6691336631774898</v>
      </c>
      <c r="AA353">
        <v>18.6788215637207</v>
      </c>
    </row>
    <row r="354" spans="1:27" x14ac:dyDescent="0.25">
      <c r="A354" s="8">
        <f t="shared" si="20"/>
        <v>353</v>
      </c>
      <c r="B354" s="8">
        <f t="shared" si="21"/>
        <v>1</v>
      </c>
      <c r="C354" s="8">
        <f t="shared" si="22"/>
        <v>94.097858428954893</v>
      </c>
      <c r="D354" s="8">
        <v>353</v>
      </c>
      <c r="E354" s="8">
        <v>47.497837066650298</v>
      </c>
      <c r="F354" s="8">
        <v>64.268936157226506</v>
      </c>
      <c r="G354" s="8"/>
      <c r="H354" s="8">
        <v>353</v>
      </c>
      <c r="I354" s="8">
        <v>31.9601745605468</v>
      </c>
      <c r="J354" s="8">
        <v>71.474708557128906</v>
      </c>
      <c r="K354" s="8"/>
      <c r="L354" s="8">
        <v>353</v>
      </c>
      <c r="M354" s="8">
        <v>14.6398468017578</v>
      </c>
      <c r="N354" s="8">
        <v>65.267707824707003</v>
      </c>
      <c r="P354" s="8">
        <f t="shared" si="23"/>
        <v>177.73464584350521</v>
      </c>
      <c r="Q354">
        <v>353</v>
      </c>
      <c r="R354">
        <v>27.826774597167901</v>
      </c>
      <c r="S354">
        <v>32.018772125244098</v>
      </c>
      <c r="U354">
        <v>353</v>
      </c>
      <c r="V354">
        <v>117.90259552001901</v>
      </c>
      <c r="W354">
        <v>32.115421295166001</v>
      </c>
      <c r="Y354">
        <v>353</v>
      </c>
      <c r="Z354">
        <v>32.005275726318303</v>
      </c>
      <c r="AA354">
        <v>32.386226654052699</v>
      </c>
    </row>
    <row r="355" spans="1:27" x14ac:dyDescent="0.25">
      <c r="A355" s="8">
        <f t="shared" si="20"/>
        <v>354</v>
      </c>
      <c r="B355" s="8">
        <f t="shared" si="21"/>
        <v>1</v>
      </c>
      <c r="C355" s="8">
        <f t="shared" si="22"/>
        <v>140.5198516845702</v>
      </c>
      <c r="D355" s="8">
        <v>354</v>
      </c>
      <c r="E355" s="8">
        <v>65.317268371582003</v>
      </c>
      <c r="F355" s="8">
        <v>79.594642639160099</v>
      </c>
      <c r="G355" s="8"/>
      <c r="H355" s="8">
        <v>354</v>
      </c>
      <c r="I355" s="8">
        <v>42.698280334472599</v>
      </c>
      <c r="J355" s="8">
        <v>89.316688537597599</v>
      </c>
      <c r="K355" s="8"/>
      <c r="L355" s="8">
        <v>354</v>
      </c>
      <c r="M355" s="8">
        <v>32.504302978515597</v>
      </c>
      <c r="N355" s="8">
        <v>80.848831176757798</v>
      </c>
      <c r="P355" s="8">
        <f t="shared" si="23"/>
        <v>126.8263063430785</v>
      </c>
      <c r="Q355">
        <v>354</v>
      </c>
      <c r="R355">
        <v>14.621863365173301</v>
      </c>
      <c r="S355">
        <v>31.895826339721602</v>
      </c>
      <c r="U355">
        <v>354</v>
      </c>
      <c r="V355">
        <v>85.241752624511705</v>
      </c>
      <c r="W355">
        <v>32.795494079589801</v>
      </c>
      <c r="Y355">
        <v>354</v>
      </c>
      <c r="Z355">
        <v>26.962690353393501</v>
      </c>
      <c r="AA355">
        <v>33.643402099609297</v>
      </c>
    </row>
    <row r="356" spans="1:27" x14ac:dyDescent="0.25">
      <c r="A356" s="8">
        <f t="shared" si="20"/>
        <v>355</v>
      </c>
      <c r="B356" s="8">
        <f t="shared" si="21"/>
        <v>1</v>
      </c>
      <c r="C356" s="8">
        <f t="shared" si="22"/>
        <v>137.0092887878416</v>
      </c>
      <c r="D356" s="8">
        <v>355</v>
      </c>
      <c r="E356" s="8">
        <v>64.988815307617102</v>
      </c>
      <c r="F356" s="8">
        <v>86.151824951171804</v>
      </c>
      <c r="G356" s="8"/>
      <c r="H356" s="8">
        <v>355</v>
      </c>
      <c r="I356" s="8">
        <v>42.990791320800703</v>
      </c>
      <c r="J356" s="8">
        <v>96.471893310546804</v>
      </c>
      <c r="K356" s="8"/>
      <c r="L356" s="8">
        <v>355</v>
      </c>
      <c r="M356" s="8">
        <v>29.0296821594238</v>
      </c>
      <c r="N356" s="8">
        <v>87.478958129882798</v>
      </c>
      <c r="P356" s="8">
        <f t="shared" si="23"/>
        <v>309.21094131469647</v>
      </c>
      <c r="Q356">
        <v>355</v>
      </c>
      <c r="R356">
        <v>54.085376739501903</v>
      </c>
      <c r="S356">
        <v>45.460559844970703</v>
      </c>
      <c r="U356">
        <v>355</v>
      </c>
      <c r="V356">
        <v>198.76383972167901</v>
      </c>
      <c r="W356">
        <v>46.109539031982401</v>
      </c>
      <c r="Y356">
        <v>355</v>
      </c>
      <c r="Z356">
        <v>56.361724853515597</v>
      </c>
      <c r="AA356">
        <v>46.517082214355398</v>
      </c>
    </row>
    <row r="357" spans="1:27" x14ac:dyDescent="0.25">
      <c r="A357" s="8">
        <f t="shared" si="20"/>
        <v>356</v>
      </c>
      <c r="B357" s="8">
        <f t="shared" si="21"/>
        <v>1</v>
      </c>
      <c r="C357" s="8">
        <f t="shared" si="22"/>
        <v>294.53044509887627</v>
      </c>
      <c r="D357" s="8">
        <v>356</v>
      </c>
      <c r="E357" s="8">
        <v>132.856842041015</v>
      </c>
      <c r="F357" s="8">
        <v>71.201713562011705</v>
      </c>
      <c r="G357" s="8"/>
      <c r="H357" s="8">
        <v>356</v>
      </c>
      <c r="I357" s="8">
        <v>99.234153747558594</v>
      </c>
      <c r="J357" s="8">
        <v>78.031562805175696</v>
      </c>
      <c r="K357" s="8"/>
      <c r="L357" s="8">
        <v>356</v>
      </c>
      <c r="M357" s="8">
        <v>62.439449310302699</v>
      </c>
      <c r="N357" s="8">
        <v>72.760215759277301</v>
      </c>
      <c r="P357" s="8">
        <f t="shared" si="23"/>
        <v>184.2133369445794</v>
      </c>
      <c r="Q357">
        <v>356</v>
      </c>
      <c r="R357">
        <v>18.5812454223632</v>
      </c>
      <c r="S357">
        <v>45.828086853027301</v>
      </c>
      <c r="U357">
        <v>356</v>
      </c>
      <c r="V357">
        <v>125.99134826660099</v>
      </c>
      <c r="W357">
        <v>47.274051666259702</v>
      </c>
      <c r="Y357">
        <v>356</v>
      </c>
      <c r="Z357">
        <v>39.640743255615199</v>
      </c>
      <c r="AA357">
        <v>47.8899536132812</v>
      </c>
    </row>
    <row r="358" spans="1:27" x14ac:dyDescent="0.25">
      <c r="A358" s="8">
        <f t="shared" si="20"/>
        <v>357</v>
      </c>
      <c r="B358" s="8">
        <f t="shared" si="21"/>
        <v>1</v>
      </c>
      <c r="C358" s="8">
        <f t="shared" si="22"/>
        <v>90.515495300292898</v>
      </c>
      <c r="D358" s="8">
        <v>357</v>
      </c>
      <c r="E358" s="8">
        <v>42.400505065917898</v>
      </c>
      <c r="F358" s="8">
        <v>38.312503814697202</v>
      </c>
      <c r="G358" s="8"/>
      <c r="H358" s="8">
        <v>357</v>
      </c>
      <c r="I358" s="8">
        <v>27.209722518920898</v>
      </c>
      <c r="J358" s="8">
        <v>45.586524963378899</v>
      </c>
      <c r="K358" s="8"/>
      <c r="L358" s="8">
        <v>357</v>
      </c>
      <c r="M358" s="8">
        <v>20.905267715454102</v>
      </c>
      <c r="N358" s="8">
        <v>38.9699096679687</v>
      </c>
      <c r="P358" s="8">
        <f t="shared" si="23"/>
        <v>225.03168106079019</v>
      </c>
      <c r="Q358">
        <v>357</v>
      </c>
      <c r="R358">
        <v>27.165721893310501</v>
      </c>
      <c r="S358">
        <v>48.034358978271399</v>
      </c>
      <c r="U358">
        <v>357</v>
      </c>
      <c r="V358">
        <v>149.28190612792901</v>
      </c>
      <c r="W358">
        <v>49.4234809875488</v>
      </c>
      <c r="Y358">
        <v>357</v>
      </c>
      <c r="Z358">
        <v>48.584053039550703</v>
      </c>
      <c r="AA358">
        <v>49.856582641601499</v>
      </c>
    </row>
    <row r="359" spans="1:27" x14ac:dyDescent="0.25">
      <c r="A359" s="8">
        <f t="shared" si="20"/>
        <v>358</v>
      </c>
      <c r="B359" s="8">
        <f t="shared" si="21"/>
        <v>1</v>
      </c>
      <c r="C359" s="8">
        <f t="shared" si="22"/>
        <v>32.889086723327623</v>
      </c>
      <c r="D359" s="8">
        <v>358</v>
      </c>
      <c r="E359" s="8">
        <v>15.030616760253899</v>
      </c>
      <c r="F359" s="8">
        <v>42.2942695617675</v>
      </c>
      <c r="G359" s="8"/>
      <c r="H359" s="8">
        <v>358</v>
      </c>
      <c r="I359" s="8">
        <v>9.9080753326415998</v>
      </c>
      <c r="J359" s="8">
        <v>49.568290710449197</v>
      </c>
      <c r="K359" s="8"/>
      <c r="L359" s="8">
        <v>358</v>
      </c>
      <c r="M359" s="8">
        <v>7.95039463043212</v>
      </c>
      <c r="N359" s="8">
        <v>42.951675415038999</v>
      </c>
      <c r="P359" s="8">
        <f t="shared" si="23"/>
        <v>269.90149307250948</v>
      </c>
      <c r="Q359">
        <v>358</v>
      </c>
      <c r="R359">
        <v>43.178287506103501</v>
      </c>
      <c r="S359">
        <v>49.246017456054602</v>
      </c>
      <c r="U359">
        <v>358</v>
      </c>
      <c r="V359">
        <v>175.47758483886699</v>
      </c>
      <c r="W359">
        <v>49.943443298339801</v>
      </c>
      <c r="Y359">
        <v>358</v>
      </c>
      <c r="Z359">
        <v>51.245620727538999</v>
      </c>
      <c r="AA359">
        <v>50.2061767578125</v>
      </c>
    </row>
    <row r="360" spans="1:27" x14ac:dyDescent="0.25">
      <c r="A360" s="8">
        <f t="shared" si="20"/>
        <v>359</v>
      </c>
      <c r="B360" s="8">
        <f t="shared" si="21"/>
        <v>1</v>
      </c>
      <c r="C360" s="8">
        <f t="shared" si="22"/>
        <v>104.00189781188951</v>
      </c>
      <c r="D360" s="8">
        <v>359</v>
      </c>
      <c r="E360" s="8">
        <v>40.561775207519503</v>
      </c>
      <c r="F360" s="8">
        <v>32.192947387695298</v>
      </c>
      <c r="G360" s="8"/>
      <c r="H360" s="8">
        <v>359</v>
      </c>
      <c r="I360" s="8">
        <v>42.709346771240199</v>
      </c>
      <c r="J360" s="8">
        <v>32.951065063476499</v>
      </c>
      <c r="K360" s="8"/>
      <c r="L360" s="8">
        <v>359</v>
      </c>
      <c r="M360" s="8">
        <v>20.730775833129801</v>
      </c>
      <c r="N360" s="8">
        <v>32.615230560302699</v>
      </c>
      <c r="P360" s="8">
        <f t="shared" si="23"/>
        <v>25.350028991699158</v>
      </c>
      <c r="Q360">
        <v>359</v>
      </c>
      <c r="R360">
        <v>4.3583393096923801</v>
      </c>
      <c r="S360">
        <v>49.700897216796797</v>
      </c>
      <c r="U360">
        <v>359</v>
      </c>
      <c r="V360">
        <v>16.279474258422798</v>
      </c>
      <c r="W360">
        <v>50.194938659667898</v>
      </c>
      <c r="Y360">
        <v>359</v>
      </c>
      <c r="Z360">
        <v>4.7122154235839799</v>
      </c>
      <c r="AA360">
        <v>51.532402038574197</v>
      </c>
    </row>
    <row r="361" spans="1:27" x14ac:dyDescent="0.25">
      <c r="A361" s="8">
        <f t="shared" si="20"/>
        <v>360</v>
      </c>
      <c r="B361" s="8">
        <f t="shared" si="21"/>
        <v>1</v>
      </c>
      <c r="C361" s="8">
        <f t="shared" si="22"/>
        <v>162.9498138427733</v>
      </c>
      <c r="D361" s="8">
        <v>360</v>
      </c>
      <c r="E361" s="8">
        <v>67.366760253906193</v>
      </c>
      <c r="F361" s="8">
        <v>32.334579467773402</v>
      </c>
      <c r="G361" s="8"/>
      <c r="H361" s="8">
        <v>360</v>
      </c>
      <c r="I361" s="8">
        <v>60.653850555419901</v>
      </c>
      <c r="J361" s="8">
        <v>34.408157348632798</v>
      </c>
      <c r="K361" s="8"/>
      <c r="L361" s="8">
        <v>360</v>
      </c>
      <c r="M361" s="8">
        <v>34.929203033447202</v>
      </c>
      <c r="N361" s="8">
        <v>32.839557647705</v>
      </c>
      <c r="P361" s="8">
        <f t="shared" si="23"/>
        <v>2692.4328002929678</v>
      </c>
      <c r="Q361">
        <v>360</v>
      </c>
      <c r="R361">
        <v>453.44860839843699</v>
      </c>
      <c r="S361">
        <v>57.141975402832003</v>
      </c>
      <c r="U361">
        <v>360</v>
      </c>
      <c r="V361">
        <v>1759.7490234375</v>
      </c>
      <c r="W361">
        <v>56.938743591308501</v>
      </c>
      <c r="Y361">
        <v>360</v>
      </c>
      <c r="Z361">
        <v>479.23516845703102</v>
      </c>
      <c r="AA361">
        <v>57.332321166992102</v>
      </c>
    </row>
    <row r="362" spans="1:27" x14ac:dyDescent="0.25">
      <c r="A362" s="8">
        <f t="shared" si="20"/>
        <v>361</v>
      </c>
      <c r="B362" s="8">
        <f t="shared" si="21"/>
        <v>1</v>
      </c>
      <c r="C362" s="8">
        <f t="shared" si="22"/>
        <v>172.86457443237293</v>
      </c>
      <c r="D362" s="8">
        <v>361</v>
      </c>
      <c r="E362" s="8">
        <v>66.920211791992102</v>
      </c>
      <c r="F362" s="8">
        <v>36.0446166992187</v>
      </c>
      <c r="G362" s="8"/>
      <c r="H362" s="8">
        <v>361</v>
      </c>
      <c r="I362" s="8">
        <v>61.915733337402301</v>
      </c>
      <c r="J362" s="8">
        <v>38.027797698974602</v>
      </c>
      <c r="K362" s="8"/>
      <c r="L362" s="8">
        <v>361</v>
      </c>
      <c r="M362" s="8">
        <v>44.028629302978501</v>
      </c>
      <c r="N362" s="8">
        <v>36.725490570068303</v>
      </c>
      <c r="P362" s="8">
        <f t="shared" si="23"/>
        <v>2119.402221679687</v>
      </c>
      <c r="Q362">
        <v>361</v>
      </c>
      <c r="R362">
        <v>258.921142578125</v>
      </c>
      <c r="S362">
        <v>58.401988983154297</v>
      </c>
      <c r="U362">
        <v>361</v>
      </c>
      <c r="V362">
        <v>1388.41162109375</v>
      </c>
      <c r="W362">
        <v>58.861228942871001</v>
      </c>
      <c r="Y362">
        <v>361</v>
      </c>
      <c r="Z362">
        <v>472.06945800781199</v>
      </c>
      <c r="AA362">
        <v>59.550773620605398</v>
      </c>
    </row>
    <row r="363" spans="1:27" x14ac:dyDescent="0.25">
      <c r="A363" s="8">
        <f t="shared" si="20"/>
        <v>362</v>
      </c>
      <c r="B363" s="8">
        <f t="shared" si="21"/>
        <v>1</v>
      </c>
      <c r="C363" s="8">
        <f t="shared" si="22"/>
        <v>139.78261566162109</v>
      </c>
      <c r="D363" s="8">
        <v>362</v>
      </c>
      <c r="E363" s="8">
        <v>57.599853515625</v>
      </c>
      <c r="F363" s="8">
        <v>35.105873107910099</v>
      </c>
      <c r="G363" s="8"/>
      <c r="H363" s="8">
        <v>362</v>
      </c>
      <c r="I363" s="8">
        <v>45.645153045654297</v>
      </c>
      <c r="J363" s="8">
        <v>35.640430450439403</v>
      </c>
      <c r="K363" s="8"/>
      <c r="L363" s="8">
        <v>362</v>
      </c>
      <c r="M363" s="8">
        <v>36.537609100341797</v>
      </c>
      <c r="N363" s="8">
        <v>35.337661743163999</v>
      </c>
      <c r="P363" s="8">
        <f t="shared" si="23"/>
        <v>93.590085029601894</v>
      </c>
      <c r="Q363">
        <v>362</v>
      </c>
      <c r="R363">
        <v>16.0378913879394</v>
      </c>
      <c r="S363">
        <v>46.166748046875</v>
      </c>
      <c r="U363">
        <v>362</v>
      </c>
      <c r="V363">
        <v>61.971012115478501</v>
      </c>
      <c r="W363">
        <v>46.238372802734297</v>
      </c>
      <c r="Y363">
        <v>362</v>
      </c>
      <c r="Z363">
        <v>15.581181526184</v>
      </c>
      <c r="AA363">
        <v>46.568557739257798</v>
      </c>
    </row>
    <row r="364" spans="1:27" x14ac:dyDescent="0.25">
      <c r="A364" s="8">
        <f t="shared" si="20"/>
        <v>363</v>
      </c>
      <c r="B364" s="8">
        <f t="shared" si="21"/>
        <v>1</v>
      </c>
      <c r="C364" s="8">
        <f t="shared" si="22"/>
        <v>134.1656417846678</v>
      </c>
      <c r="D364" s="8">
        <v>363</v>
      </c>
      <c r="E364" s="8">
        <v>57.485996246337798</v>
      </c>
      <c r="F364" s="8">
        <v>47.625297546386697</v>
      </c>
      <c r="G364" s="8"/>
      <c r="H364" s="8">
        <v>363</v>
      </c>
      <c r="I364" s="8">
        <v>43.156196594238203</v>
      </c>
      <c r="J364" s="8">
        <v>52.151992797851499</v>
      </c>
      <c r="K364" s="8"/>
      <c r="L364" s="8">
        <v>363</v>
      </c>
      <c r="M364" s="8">
        <v>33.523448944091797</v>
      </c>
      <c r="N364" s="8">
        <v>48.585334777832003</v>
      </c>
      <c r="P364" s="8">
        <f t="shared" si="23"/>
        <v>786.17591857910008</v>
      </c>
      <c r="Q364">
        <v>363</v>
      </c>
      <c r="R364">
        <v>140.678939819335</v>
      </c>
      <c r="S364">
        <v>77.966453552246094</v>
      </c>
      <c r="U364">
        <v>363</v>
      </c>
      <c r="V364">
        <v>519.38848876953102</v>
      </c>
      <c r="W364">
        <v>78.192787170410099</v>
      </c>
      <c r="Y364">
        <v>363</v>
      </c>
      <c r="Z364">
        <v>126.10848999023401</v>
      </c>
      <c r="AA364">
        <v>78.644790649414006</v>
      </c>
    </row>
    <row r="365" spans="1:27" x14ac:dyDescent="0.25">
      <c r="A365" s="8">
        <f t="shared" si="20"/>
        <v>364</v>
      </c>
      <c r="B365" s="8">
        <f t="shared" si="21"/>
        <v>1</v>
      </c>
      <c r="C365" s="8">
        <f t="shared" si="22"/>
        <v>93.9238471984862</v>
      </c>
      <c r="D365" s="8">
        <v>364</v>
      </c>
      <c r="E365" s="8">
        <v>33.531883239746001</v>
      </c>
      <c r="F365" s="8">
        <v>45.711631774902301</v>
      </c>
      <c r="G365" s="8"/>
      <c r="H365" s="8">
        <v>364</v>
      </c>
      <c r="I365" s="8">
        <v>39.647071838378899</v>
      </c>
      <c r="J365" s="8">
        <v>46.896171569824197</v>
      </c>
      <c r="K365" s="8"/>
      <c r="L365" s="8">
        <v>364</v>
      </c>
      <c r="M365" s="8">
        <v>20.7448921203613</v>
      </c>
      <c r="N365" s="8">
        <v>46.335819244384702</v>
      </c>
      <c r="P365" s="8">
        <f t="shared" si="23"/>
        <v>485.22413635253838</v>
      </c>
      <c r="Q365">
        <v>364</v>
      </c>
      <c r="R365">
        <v>58.592018127441399</v>
      </c>
      <c r="S365">
        <v>72.587196350097599</v>
      </c>
      <c r="U365">
        <v>364</v>
      </c>
      <c r="V365">
        <v>330.09780883789</v>
      </c>
      <c r="W365">
        <v>73.466934204101506</v>
      </c>
      <c r="Y365">
        <v>364</v>
      </c>
      <c r="Z365">
        <v>96.534309387207003</v>
      </c>
      <c r="AA365">
        <v>74.260452270507798</v>
      </c>
    </row>
    <row r="366" spans="1:27" x14ac:dyDescent="0.25">
      <c r="A366" s="8">
        <f t="shared" si="20"/>
        <v>365</v>
      </c>
      <c r="B366" s="8">
        <f t="shared" si="21"/>
        <v>1</v>
      </c>
      <c r="C366" s="8">
        <f t="shared" si="22"/>
        <v>132.4519672393798</v>
      </c>
      <c r="D366" s="8">
        <v>365</v>
      </c>
      <c r="E366" s="8">
        <v>61.419288635253899</v>
      </c>
      <c r="F366" s="8">
        <v>49.321033477783203</v>
      </c>
      <c r="G366" s="8"/>
      <c r="H366" s="8">
        <v>365</v>
      </c>
      <c r="I366" s="8">
        <v>45.030265808105398</v>
      </c>
      <c r="J366" s="8">
        <v>52.661430358886697</v>
      </c>
      <c r="K366" s="8"/>
      <c r="L366" s="8">
        <v>365</v>
      </c>
      <c r="M366" s="8">
        <v>26.002412796020501</v>
      </c>
      <c r="N366" s="8">
        <v>50.248424530029297</v>
      </c>
      <c r="P366" s="8">
        <f t="shared" si="23"/>
        <v>61.48165893554674</v>
      </c>
      <c r="Q366">
        <v>365</v>
      </c>
      <c r="R366">
        <v>6.5218009948730398</v>
      </c>
      <c r="S366">
        <v>42.473251342773402</v>
      </c>
      <c r="U366">
        <v>365</v>
      </c>
      <c r="V366">
        <v>42.857933044433501</v>
      </c>
      <c r="W366">
        <v>42.837306976318303</v>
      </c>
      <c r="Y366">
        <v>365</v>
      </c>
      <c r="Z366">
        <v>12.101924896240201</v>
      </c>
      <c r="AA366">
        <v>43.1517944335937</v>
      </c>
    </row>
    <row r="367" spans="1:27" x14ac:dyDescent="0.25">
      <c r="A367" s="8">
        <f t="shared" si="20"/>
        <v>366</v>
      </c>
      <c r="B367" s="8">
        <f t="shared" si="21"/>
        <v>1</v>
      </c>
      <c r="C367" s="8">
        <f t="shared" si="22"/>
        <v>266.39459991455021</v>
      </c>
      <c r="D367" s="8">
        <v>366</v>
      </c>
      <c r="E367" s="8">
        <v>125.13111114501901</v>
      </c>
      <c r="F367" s="8">
        <v>47.5164184570312</v>
      </c>
      <c r="G367" s="8"/>
      <c r="H367" s="8">
        <v>366</v>
      </c>
      <c r="I367" s="8">
        <v>76.870979309082003</v>
      </c>
      <c r="J367" s="8">
        <v>50.796943664550703</v>
      </c>
      <c r="K367" s="8"/>
      <c r="L367" s="8">
        <v>366</v>
      </c>
      <c r="M367" s="8">
        <v>64.392509460449205</v>
      </c>
      <c r="N367" s="8">
        <v>48.465732574462798</v>
      </c>
      <c r="P367" s="8">
        <f t="shared" si="23"/>
        <v>50.320810794830265</v>
      </c>
      <c r="Q367">
        <v>366</v>
      </c>
      <c r="R367">
        <v>5.4619555473327601</v>
      </c>
      <c r="S367">
        <v>54.599349975585902</v>
      </c>
      <c r="U367">
        <v>366</v>
      </c>
      <c r="V367">
        <v>34.596031188964801</v>
      </c>
      <c r="W367">
        <v>55.630393981933501</v>
      </c>
      <c r="Y367">
        <v>366</v>
      </c>
      <c r="Z367">
        <v>10.262824058532701</v>
      </c>
      <c r="AA367">
        <v>56.159450531005803</v>
      </c>
    </row>
    <row r="368" spans="1:27" x14ac:dyDescent="0.25">
      <c r="A368" s="8">
        <f t="shared" si="20"/>
        <v>367</v>
      </c>
      <c r="B368" s="8">
        <f t="shared" si="21"/>
        <v>1</v>
      </c>
      <c r="C368" s="8">
        <f t="shared" si="22"/>
        <v>328.71116638183457</v>
      </c>
      <c r="D368" s="8">
        <v>367</v>
      </c>
      <c r="E368" s="8">
        <v>130.19129943847599</v>
      </c>
      <c r="F368" s="8">
        <v>44.647937774658203</v>
      </c>
      <c r="G368" s="8"/>
      <c r="H368" s="8">
        <v>367</v>
      </c>
      <c r="I368" s="8">
        <v>119.922546386718</v>
      </c>
      <c r="J368" s="8">
        <v>46.4654541015625</v>
      </c>
      <c r="K368" s="8"/>
      <c r="L368" s="8">
        <v>367</v>
      </c>
      <c r="M368" s="8">
        <v>78.597320556640597</v>
      </c>
      <c r="N368" s="8">
        <v>45.432174682617102</v>
      </c>
      <c r="P368" s="8">
        <f t="shared" si="23"/>
        <v>75.493745803832908</v>
      </c>
      <c r="Q368">
        <v>367</v>
      </c>
      <c r="R368">
        <v>13.0233459472656</v>
      </c>
      <c r="S368">
        <v>58.866367340087798</v>
      </c>
      <c r="U368">
        <v>367</v>
      </c>
      <c r="V368">
        <v>49.170986175537102</v>
      </c>
      <c r="W368">
        <v>59.867618560791001</v>
      </c>
      <c r="Y368">
        <v>367</v>
      </c>
      <c r="Z368">
        <v>13.299413681030201</v>
      </c>
      <c r="AA368">
        <v>60.190895080566399</v>
      </c>
    </row>
    <row r="369" spans="1:27" x14ac:dyDescent="0.25">
      <c r="A369" s="8">
        <f t="shared" si="20"/>
        <v>368</v>
      </c>
      <c r="B369" s="8">
        <f t="shared" si="21"/>
        <v>1</v>
      </c>
      <c r="C369" s="8">
        <f t="shared" si="22"/>
        <v>22.126908779144273</v>
      </c>
      <c r="D369" s="8">
        <v>368</v>
      </c>
      <c r="E369" s="8">
        <v>8.9426527023315394</v>
      </c>
      <c r="F369" s="8">
        <v>45.397666931152301</v>
      </c>
      <c r="G369" s="8"/>
      <c r="H369" s="8">
        <v>368</v>
      </c>
      <c r="I369" s="8">
        <v>7.8245463371276802</v>
      </c>
      <c r="J369" s="8">
        <v>50.253269195556598</v>
      </c>
      <c r="K369" s="8"/>
      <c r="L369" s="8">
        <v>368</v>
      </c>
      <c r="M369" s="8">
        <v>5.3597097396850497</v>
      </c>
      <c r="N369" s="8">
        <v>45.9331665039062</v>
      </c>
      <c r="P369" s="8">
        <f t="shared" si="23"/>
        <v>209.04560470581009</v>
      </c>
      <c r="Q369">
        <v>368</v>
      </c>
      <c r="R369">
        <v>21.7166442871093</v>
      </c>
      <c r="S369">
        <v>80.091850280761705</v>
      </c>
      <c r="U369">
        <v>368</v>
      </c>
      <c r="V369">
        <v>135.47445678710901</v>
      </c>
      <c r="W369">
        <v>81.073623657226506</v>
      </c>
      <c r="Y369">
        <v>368</v>
      </c>
      <c r="Z369">
        <v>51.854503631591797</v>
      </c>
      <c r="AA369">
        <v>83.239097595214801</v>
      </c>
    </row>
    <row r="370" spans="1:27" x14ac:dyDescent="0.25">
      <c r="A370" s="8">
        <f t="shared" si="20"/>
        <v>369</v>
      </c>
      <c r="B370" s="8">
        <f t="shared" si="21"/>
        <v>1</v>
      </c>
      <c r="C370" s="8">
        <f t="shared" si="22"/>
        <v>408.82156372070199</v>
      </c>
      <c r="D370" s="8">
        <v>369</v>
      </c>
      <c r="E370" s="8">
        <v>152.55545043945301</v>
      </c>
      <c r="F370" s="8">
        <v>29.242200851440401</v>
      </c>
      <c r="G370" s="8"/>
      <c r="H370" s="8">
        <v>369</v>
      </c>
      <c r="I370" s="8">
        <v>146.44102478027301</v>
      </c>
      <c r="J370" s="8">
        <v>31.434501647949201</v>
      </c>
      <c r="K370" s="8"/>
      <c r="L370" s="8">
        <v>369</v>
      </c>
      <c r="M370" s="8">
        <v>109.82508850097599</v>
      </c>
      <c r="N370" s="8">
        <v>29.4431858062744</v>
      </c>
      <c r="P370" s="8">
        <f t="shared" si="23"/>
        <v>569.56091308593682</v>
      </c>
      <c r="Q370">
        <v>369</v>
      </c>
      <c r="R370">
        <v>113.001083374023</v>
      </c>
      <c r="S370">
        <v>79.717315673828097</v>
      </c>
      <c r="U370">
        <v>369</v>
      </c>
      <c r="V370">
        <v>365.70294189453102</v>
      </c>
      <c r="W370">
        <v>78.594863891601506</v>
      </c>
      <c r="Y370">
        <v>369</v>
      </c>
      <c r="Z370">
        <v>90.856887817382798</v>
      </c>
      <c r="AA370">
        <v>79.613487243652301</v>
      </c>
    </row>
    <row r="371" spans="1:27" x14ac:dyDescent="0.25">
      <c r="A371" s="8">
        <f t="shared" si="20"/>
        <v>370</v>
      </c>
      <c r="B371" s="8">
        <f t="shared" si="21"/>
        <v>1</v>
      </c>
      <c r="C371" s="8">
        <f t="shared" si="22"/>
        <v>80.601861953735295</v>
      </c>
      <c r="D371" s="8">
        <v>370</v>
      </c>
      <c r="E371" s="8">
        <v>30.1872158050537</v>
      </c>
      <c r="F371" s="8">
        <v>25.681333541870099</v>
      </c>
      <c r="G371" s="8"/>
      <c r="H371" s="8">
        <v>370</v>
      </c>
      <c r="I371" s="8">
        <v>29.864915847778299</v>
      </c>
      <c r="J371" s="8">
        <v>25.759740829467699</v>
      </c>
      <c r="K371" s="8"/>
      <c r="L371" s="8">
        <v>370</v>
      </c>
      <c r="M371" s="8">
        <v>20.549730300903299</v>
      </c>
      <c r="N371" s="8">
        <v>25.739778518676701</v>
      </c>
      <c r="P371" s="8">
        <f t="shared" si="23"/>
        <v>113.91217613220209</v>
      </c>
      <c r="Q371">
        <v>370</v>
      </c>
      <c r="R371">
        <v>22.6002197265625</v>
      </c>
      <c r="S371">
        <v>79.717315673828097</v>
      </c>
      <c r="U371">
        <v>370</v>
      </c>
      <c r="V371">
        <v>73.140579223632798</v>
      </c>
      <c r="W371">
        <v>78.594863891601506</v>
      </c>
      <c r="Y371">
        <v>370</v>
      </c>
      <c r="Z371">
        <v>18.1713771820068</v>
      </c>
      <c r="AA371">
        <v>79.613487243652301</v>
      </c>
    </row>
    <row r="372" spans="1:27" x14ac:dyDescent="0.25">
      <c r="A372" s="8">
        <f t="shared" si="20"/>
        <v>371</v>
      </c>
      <c r="B372" s="8">
        <f t="shared" si="21"/>
        <v>1</v>
      </c>
      <c r="C372" s="8">
        <f t="shared" si="22"/>
        <v>40.300930976867505</v>
      </c>
      <c r="D372" s="8">
        <v>371</v>
      </c>
      <c r="E372" s="8">
        <v>15.0936079025268</v>
      </c>
      <c r="F372" s="8">
        <v>25.681333541870099</v>
      </c>
      <c r="G372" s="8"/>
      <c r="H372" s="8">
        <v>371</v>
      </c>
      <c r="I372" s="8">
        <v>14.9324579238891</v>
      </c>
      <c r="J372" s="8">
        <v>25.759740829467699</v>
      </c>
      <c r="K372" s="8"/>
      <c r="L372" s="8">
        <v>371</v>
      </c>
      <c r="M372" s="8">
        <v>10.2748651504516</v>
      </c>
      <c r="N372" s="8">
        <v>25.739778518676701</v>
      </c>
      <c r="P372" s="8">
        <f t="shared" si="23"/>
        <v>93.968729019164911</v>
      </c>
      <c r="Q372">
        <v>371</v>
      </c>
      <c r="R372">
        <v>19.47066116333</v>
      </c>
      <c r="S372">
        <v>65.579803466796804</v>
      </c>
      <c r="U372">
        <v>371</v>
      </c>
      <c r="V372">
        <v>59.357883453369098</v>
      </c>
      <c r="W372">
        <v>64.434951782226506</v>
      </c>
      <c r="Y372">
        <v>371</v>
      </c>
      <c r="Z372">
        <v>15.140184402465801</v>
      </c>
      <c r="AA372">
        <v>65.240837097167898</v>
      </c>
    </row>
    <row r="373" spans="1:27" x14ac:dyDescent="0.25">
      <c r="A373" s="8">
        <f t="shared" si="20"/>
        <v>372</v>
      </c>
      <c r="B373" s="8">
        <f t="shared" si="21"/>
        <v>1</v>
      </c>
      <c r="C373" s="8">
        <f t="shared" si="22"/>
        <v>159.480354309082</v>
      </c>
      <c r="D373" s="8">
        <v>372</v>
      </c>
      <c r="E373" s="8">
        <v>60.050426483154297</v>
      </c>
      <c r="F373" s="8">
        <v>22.409646987915</v>
      </c>
      <c r="G373" s="8"/>
      <c r="H373" s="8">
        <v>372</v>
      </c>
      <c r="I373" s="8">
        <v>58.1246337890625</v>
      </c>
      <c r="J373" s="8">
        <v>22.470357894897401</v>
      </c>
      <c r="K373" s="8"/>
      <c r="L373" s="8">
        <v>372</v>
      </c>
      <c r="M373" s="8">
        <v>41.305294036865199</v>
      </c>
      <c r="N373" s="8">
        <v>22.452156066894499</v>
      </c>
      <c r="P373" s="8">
        <f t="shared" si="23"/>
        <v>247.38456153869569</v>
      </c>
      <c r="Q373">
        <v>372</v>
      </c>
      <c r="R373">
        <v>26.304639816284102</v>
      </c>
      <c r="S373">
        <v>79.904914855957003</v>
      </c>
      <c r="U373">
        <v>372</v>
      </c>
      <c r="V373">
        <v>160.73913574218699</v>
      </c>
      <c r="W373">
        <v>80.820564270019503</v>
      </c>
      <c r="Y373">
        <v>372</v>
      </c>
      <c r="Z373">
        <v>60.340785980224602</v>
      </c>
      <c r="AA373">
        <v>83.354522705078097</v>
      </c>
    </row>
    <row r="374" spans="1:27" x14ac:dyDescent="0.25">
      <c r="A374" s="8">
        <f t="shared" si="20"/>
        <v>373</v>
      </c>
      <c r="B374" s="8">
        <f t="shared" si="21"/>
        <v>1</v>
      </c>
      <c r="C374" s="8">
        <f t="shared" si="22"/>
        <v>39.870088577270401</v>
      </c>
      <c r="D374" s="8">
        <v>373</v>
      </c>
      <c r="E374" s="8">
        <v>15.0126066207885</v>
      </c>
      <c r="F374" s="8">
        <v>22.409646987915</v>
      </c>
      <c r="G374" s="8"/>
      <c r="H374" s="8">
        <v>373</v>
      </c>
      <c r="I374" s="8">
        <v>14.5311584472656</v>
      </c>
      <c r="J374" s="8">
        <v>22.470357894897401</v>
      </c>
      <c r="K374" s="8"/>
      <c r="L374" s="8">
        <v>373</v>
      </c>
      <c r="M374" s="8">
        <v>10.3263235092163</v>
      </c>
      <c r="N374" s="8">
        <v>22.452156066894499</v>
      </c>
      <c r="P374" s="8">
        <f t="shared" si="23"/>
        <v>285.30076599121043</v>
      </c>
      <c r="Q374">
        <v>373</v>
      </c>
      <c r="R374">
        <v>34.337032318115199</v>
      </c>
      <c r="S374">
        <v>31.1558933258056</v>
      </c>
      <c r="U374">
        <v>373</v>
      </c>
      <c r="V374">
        <v>189.73594665527301</v>
      </c>
      <c r="W374">
        <v>30.778759002685501</v>
      </c>
      <c r="Y374">
        <v>373</v>
      </c>
      <c r="Z374">
        <v>61.227787017822202</v>
      </c>
      <c r="AA374">
        <v>32.398288726806598</v>
      </c>
    </row>
    <row r="375" spans="1:27" x14ac:dyDescent="0.25">
      <c r="A375" s="8">
        <f t="shared" si="20"/>
        <v>374</v>
      </c>
      <c r="B375" s="8">
        <f t="shared" si="21"/>
        <v>1</v>
      </c>
      <c r="C375" s="8">
        <f t="shared" si="22"/>
        <v>76.078964233398295</v>
      </c>
      <c r="D375" s="8">
        <v>374</v>
      </c>
      <c r="E375" s="8">
        <v>32.867568969726499</v>
      </c>
      <c r="F375" s="8">
        <v>58.447719573974602</v>
      </c>
      <c r="G375" s="8"/>
      <c r="H375" s="8">
        <v>374</v>
      </c>
      <c r="I375" s="8">
        <v>26.116842269897401</v>
      </c>
      <c r="J375" s="8">
        <v>66.808349609375</v>
      </c>
      <c r="K375" s="8"/>
      <c r="L375" s="8">
        <v>374</v>
      </c>
      <c r="M375" s="8">
        <v>17.0945529937744</v>
      </c>
      <c r="N375" s="8">
        <v>59.225696563720703</v>
      </c>
      <c r="P375" s="8">
        <f t="shared" si="23"/>
        <v>47.550127983093226</v>
      </c>
      <c r="Q375">
        <v>374</v>
      </c>
      <c r="R375">
        <v>5.72283840179443</v>
      </c>
      <c r="S375">
        <v>31.1558933258056</v>
      </c>
      <c r="U375">
        <v>374</v>
      </c>
      <c r="V375">
        <v>31.622657775878899</v>
      </c>
      <c r="W375">
        <v>30.778759002685501</v>
      </c>
      <c r="Y375">
        <v>374</v>
      </c>
      <c r="Z375">
        <v>10.204631805419901</v>
      </c>
      <c r="AA375">
        <v>32.398288726806598</v>
      </c>
    </row>
    <row r="376" spans="1:27" x14ac:dyDescent="0.25">
      <c r="A376" s="8">
        <f t="shared" si="20"/>
        <v>375</v>
      </c>
      <c r="B376" s="8">
        <f t="shared" si="21"/>
        <v>1</v>
      </c>
      <c r="C376" s="8">
        <f t="shared" si="22"/>
        <v>667.35725402831906</v>
      </c>
      <c r="D376" s="8">
        <v>375</v>
      </c>
      <c r="E376" s="8">
        <v>296.65835571289</v>
      </c>
      <c r="F376" s="8">
        <v>42.159717559814403</v>
      </c>
      <c r="G376" s="8"/>
      <c r="H376" s="8">
        <v>375</v>
      </c>
      <c r="I376" s="8">
        <v>220.76467895507801</v>
      </c>
      <c r="J376" s="8">
        <v>48.741622924804602</v>
      </c>
      <c r="K376" s="8"/>
      <c r="L376" s="8">
        <v>375</v>
      </c>
      <c r="M376" s="8">
        <v>149.93421936035099</v>
      </c>
      <c r="N376" s="8">
        <v>42.491073608398402</v>
      </c>
      <c r="P376" s="8">
        <f t="shared" si="23"/>
        <v>431.73196411132722</v>
      </c>
      <c r="Q376">
        <v>375</v>
      </c>
      <c r="R376">
        <v>78.221145629882798</v>
      </c>
      <c r="S376">
        <v>28.5830364227294</v>
      </c>
      <c r="U376">
        <v>375</v>
      </c>
      <c r="V376">
        <v>285.61032104492102</v>
      </c>
      <c r="W376">
        <v>28.107067108154201</v>
      </c>
      <c r="Y376">
        <v>375</v>
      </c>
      <c r="Z376">
        <v>67.900497436523395</v>
      </c>
      <c r="AA376">
        <v>29.092403411865199</v>
      </c>
    </row>
    <row r="377" spans="1:27" x14ac:dyDescent="0.25">
      <c r="A377" s="8">
        <f t="shared" si="20"/>
        <v>376</v>
      </c>
      <c r="B377" s="8">
        <f t="shared" si="21"/>
        <v>1</v>
      </c>
      <c r="C377" s="8">
        <f t="shared" si="22"/>
        <v>356.86673736572101</v>
      </c>
      <c r="D377" s="8">
        <v>376</v>
      </c>
      <c r="E377" s="8">
        <v>167.80148315429599</v>
      </c>
      <c r="F377" s="8">
        <v>53.117046356201101</v>
      </c>
      <c r="G377" s="8"/>
      <c r="H377" s="8">
        <v>376</v>
      </c>
      <c r="I377" s="8">
        <v>108.32842254638599</v>
      </c>
      <c r="J377" s="8">
        <v>62.278572082519503</v>
      </c>
      <c r="K377" s="8"/>
      <c r="L377" s="8">
        <v>376</v>
      </c>
      <c r="M377" s="8">
        <v>80.736831665039006</v>
      </c>
      <c r="N377" s="8">
        <v>53.743659973144503</v>
      </c>
      <c r="P377" s="8">
        <f t="shared" si="23"/>
        <v>71.955327987670799</v>
      </c>
      <c r="Q377">
        <v>376</v>
      </c>
      <c r="R377">
        <v>13.0368595123291</v>
      </c>
      <c r="S377">
        <v>28.5830364227294</v>
      </c>
      <c r="U377">
        <v>376</v>
      </c>
      <c r="V377">
        <v>47.601718902587798</v>
      </c>
      <c r="W377">
        <v>28.107067108154201</v>
      </c>
      <c r="Y377">
        <v>376</v>
      </c>
      <c r="Z377">
        <v>11.316749572753899</v>
      </c>
      <c r="AA377">
        <v>29.092403411865199</v>
      </c>
    </row>
    <row r="378" spans="1:27" x14ac:dyDescent="0.25">
      <c r="A378" s="8">
        <f t="shared" si="20"/>
        <v>377</v>
      </c>
      <c r="B378" s="8">
        <f t="shared" si="21"/>
        <v>1</v>
      </c>
      <c r="C378" s="8">
        <f t="shared" si="22"/>
        <v>120.04203033447259</v>
      </c>
      <c r="D378" s="8">
        <v>377</v>
      </c>
      <c r="E378" s="8">
        <v>43.197139739990199</v>
      </c>
      <c r="F378" s="8">
        <v>89.480033874511705</v>
      </c>
      <c r="G378" s="8"/>
      <c r="H378" s="8">
        <v>377</v>
      </c>
      <c r="I378" s="8">
        <v>48.353347778320298</v>
      </c>
      <c r="J378" s="8">
        <v>94.125946044921804</v>
      </c>
      <c r="K378" s="8"/>
      <c r="L378" s="8">
        <v>377</v>
      </c>
      <c r="M378" s="8">
        <v>28.491542816162099</v>
      </c>
      <c r="N378" s="8">
        <v>90.541168212890597</v>
      </c>
      <c r="P378" s="8">
        <f t="shared" si="23"/>
        <v>98.101063728332463</v>
      </c>
      <c r="Q378">
        <v>377</v>
      </c>
      <c r="R378">
        <v>9.6331243515014595</v>
      </c>
      <c r="S378">
        <v>55.435169219970703</v>
      </c>
      <c r="U378">
        <v>377</v>
      </c>
      <c r="V378">
        <v>63.880992889404297</v>
      </c>
      <c r="W378">
        <v>55.287590026855398</v>
      </c>
      <c r="Y378">
        <v>377</v>
      </c>
      <c r="Z378">
        <v>24.586946487426701</v>
      </c>
      <c r="AA378">
        <v>57.594821929931598</v>
      </c>
    </row>
    <row r="379" spans="1:27" x14ac:dyDescent="0.25">
      <c r="A379" s="8">
        <f t="shared" si="20"/>
        <v>378</v>
      </c>
      <c r="B379" s="8">
        <f t="shared" si="21"/>
        <v>1</v>
      </c>
      <c r="C379" s="8">
        <f t="shared" si="22"/>
        <v>300.10505676269491</v>
      </c>
      <c r="D379" s="8">
        <v>378</v>
      </c>
      <c r="E379" s="8">
        <v>107.992835998535</v>
      </c>
      <c r="F379" s="8">
        <v>89.480033874511705</v>
      </c>
      <c r="G379" s="8"/>
      <c r="H379" s="8">
        <v>378</v>
      </c>
      <c r="I379" s="8">
        <v>120.88336181640599</v>
      </c>
      <c r="J379" s="8">
        <v>94.125946044921804</v>
      </c>
      <c r="K379" s="8"/>
      <c r="L379" s="8">
        <v>378</v>
      </c>
      <c r="M379" s="8">
        <v>71.228858947753906</v>
      </c>
      <c r="N379" s="8">
        <v>90.541168212890597</v>
      </c>
      <c r="P379" s="8">
        <f t="shared" si="23"/>
        <v>98.101063728332463</v>
      </c>
      <c r="Q379">
        <v>378</v>
      </c>
      <c r="R379">
        <v>9.6331243515014595</v>
      </c>
      <c r="S379">
        <v>53.420627593994098</v>
      </c>
      <c r="U379">
        <v>378</v>
      </c>
      <c r="V379">
        <v>63.880992889404297</v>
      </c>
      <c r="W379">
        <v>53.274574279785099</v>
      </c>
      <c r="Y379">
        <v>378</v>
      </c>
      <c r="Z379">
        <v>24.586946487426701</v>
      </c>
      <c r="AA379">
        <v>55.578189849853501</v>
      </c>
    </row>
    <row r="380" spans="1:27" x14ac:dyDescent="0.25">
      <c r="A380" s="8">
        <f t="shared" si="20"/>
        <v>379</v>
      </c>
      <c r="B380" s="8">
        <f t="shared" si="21"/>
        <v>1</v>
      </c>
      <c r="C380" s="8">
        <f t="shared" si="22"/>
        <v>243.5356445312498</v>
      </c>
      <c r="D380" s="8">
        <v>379</v>
      </c>
      <c r="E380" s="8">
        <v>82.581260681152301</v>
      </c>
      <c r="F380" s="8">
        <v>83.034523010253906</v>
      </c>
      <c r="G380" s="8"/>
      <c r="H380" s="8">
        <v>379</v>
      </c>
      <c r="I380" s="8">
        <v>99.137519836425696</v>
      </c>
      <c r="J380" s="8">
        <v>84.148994445800696</v>
      </c>
      <c r="K380" s="8"/>
      <c r="L380" s="8">
        <v>379</v>
      </c>
      <c r="M380" s="8">
        <v>61.816864013671797</v>
      </c>
      <c r="N380" s="8">
        <v>83.798088073730398</v>
      </c>
      <c r="P380" s="8">
        <f t="shared" si="23"/>
        <v>147.15159606933588</v>
      </c>
      <c r="Q380">
        <v>379</v>
      </c>
      <c r="R380">
        <v>14.449684143066399</v>
      </c>
      <c r="S380">
        <v>55.435169219970703</v>
      </c>
      <c r="U380">
        <v>379</v>
      </c>
      <c r="V380">
        <v>95.821487426757798</v>
      </c>
      <c r="W380">
        <v>55.287590026855398</v>
      </c>
      <c r="Y380">
        <v>379</v>
      </c>
      <c r="Z380">
        <v>36.880424499511697</v>
      </c>
      <c r="AA380">
        <v>57.594821929931598</v>
      </c>
    </row>
    <row r="381" spans="1:27" x14ac:dyDescent="0.25">
      <c r="A381" s="8">
        <f t="shared" si="20"/>
        <v>380</v>
      </c>
      <c r="B381" s="8">
        <f t="shared" si="21"/>
        <v>1</v>
      </c>
      <c r="C381" s="8">
        <f t="shared" si="22"/>
        <v>229.5238685607909</v>
      </c>
      <c r="D381" s="8">
        <v>380</v>
      </c>
      <c r="E381" s="8">
        <v>84.910491943359304</v>
      </c>
      <c r="F381" s="8">
        <v>56.8213691711425</v>
      </c>
      <c r="G381" s="8"/>
      <c r="H381" s="8">
        <v>380</v>
      </c>
      <c r="I381" s="8">
        <v>89.7630615234375</v>
      </c>
      <c r="J381" s="8">
        <v>58.600669860839801</v>
      </c>
      <c r="K381" s="8"/>
      <c r="L381" s="8">
        <v>380</v>
      </c>
      <c r="M381" s="8">
        <v>54.850315093994098</v>
      </c>
      <c r="N381" s="8">
        <v>57.238101959228501</v>
      </c>
      <c r="P381" s="8">
        <f t="shared" si="23"/>
        <v>795.88953399658067</v>
      </c>
      <c r="Q381">
        <v>380</v>
      </c>
      <c r="R381">
        <v>78.320594787597599</v>
      </c>
      <c r="S381">
        <v>53.640499114990199</v>
      </c>
      <c r="U381">
        <v>380</v>
      </c>
      <c r="V381">
        <v>517.70397949218705</v>
      </c>
      <c r="W381">
        <v>53.485939025878899</v>
      </c>
      <c r="Y381">
        <v>380</v>
      </c>
      <c r="Z381">
        <v>199.86495971679599</v>
      </c>
      <c r="AA381">
        <v>55.7796020507812</v>
      </c>
    </row>
    <row r="382" spans="1:27" x14ac:dyDescent="0.25">
      <c r="A382" s="8">
        <f t="shared" si="20"/>
        <v>381</v>
      </c>
      <c r="B382" s="8">
        <f t="shared" si="21"/>
        <v>1</v>
      </c>
      <c r="C382" s="8">
        <f t="shared" si="22"/>
        <v>234.49249267578111</v>
      </c>
      <c r="D382" s="8">
        <v>381</v>
      </c>
      <c r="E382" s="8">
        <v>94.275993347167898</v>
      </c>
      <c r="F382" s="8">
        <v>53.077053070068303</v>
      </c>
      <c r="G382" s="8"/>
      <c r="H382" s="8">
        <v>381</v>
      </c>
      <c r="I382" s="8">
        <v>84.031021118164006</v>
      </c>
      <c r="J382" s="8">
        <v>55.030445098876903</v>
      </c>
      <c r="K382" s="8"/>
      <c r="L382" s="8">
        <v>381</v>
      </c>
      <c r="M382" s="8">
        <v>56.185478210449197</v>
      </c>
      <c r="N382" s="8">
        <v>53.728782653808501</v>
      </c>
      <c r="P382" s="8">
        <f t="shared" si="23"/>
        <v>98.101063728332463</v>
      </c>
      <c r="Q382">
        <v>381</v>
      </c>
      <c r="R382">
        <v>9.6331243515014595</v>
      </c>
      <c r="S382">
        <v>53.420627593994098</v>
      </c>
      <c r="U382">
        <v>381</v>
      </c>
      <c r="V382">
        <v>63.880992889404297</v>
      </c>
      <c r="W382">
        <v>53.274574279785099</v>
      </c>
      <c r="Y382">
        <v>381</v>
      </c>
      <c r="Z382">
        <v>24.586946487426701</v>
      </c>
      <c r="AA382">
        <v>55.578189849853501</v>
      </c>
    </row>
    <row r="383" spans="1:27" x14ac:dyDescent="0.25">
      <c r="A383" s="8">
        <f t="shared" si="20"/>
        <v>382</v>
      </c>
      <c r="B383" s="8">
        <f t="shared" si="21"/>
        <v>1</v>
      </c>
      <c r="C383" s="8">
        <f t="shared" si="22"/>
        <v>37.644762992858801</v>
      </c>
      <c r="D383" s="8">
        <v>382</v>
      </c>
      <c r="E383" s="8">
        <v>14.559136390686</v>
      </c>
      <c r="F383" s="8">
        <v>26.445690155029201</v>
      </c>
      <c r="G383" s="8"/>
      <c r="H383" s="8">
        <v>382</v>
      </c>
      <c r="I383" s="8">
        <v>11.385073661804199</v>
      </c>
      <c r="J383" s="8">
        <v>26.674779891967699</v>
      </c>
      <c r="K383" s="8"/>
      <c r="L383" s="8">
        <v>382</v>
      </c>
      <c r="M383" s="8">
        <v>11.700552940368601</v>
      </c>
      <c r="N383" s="8">
        <v>26.697322845458899</v>
      </c>
      <c r="P383" s="8">
        <f t="shared" si="23"/>
        <v>97.275391578674146</v>
      </c>
      <c r="Q383">
        <v>382</v>
      </c>
      <c r="R383">
        <v>9.5725183486938406</v>
      </c>
      <c r="S383">
        <v>51.625949859619098</v>
      </c>
      <c r="U383">
        <v>382</v>
      </c>
      <c r="V383">
        <v>63.274936676025298</v>
      </c>
      <c r="W383">
        <v>51.472923278808501</v>
      </c>
      <c r="Y383">
        <v>382</v>
      </c>
      <c r="Z383">
        <v>24.427936553955</v>
      </c>
      <c r="AA383">
        <v>53.762969970703097</v>
      </c>
    </row>
    <row r="384" spans="1:27" x14ac:dyDescent="0.25">
      <c r="A384" s="8">
        <f t="shared" si="20"/>
        <v>383</v>
      </c>
      <c r="B384" s="8">
        <f t="shared" si="21"/>
        <v>1</v>
      </c>
      <c r="C384" s="8">
        <f t="shared" si="22"/>
        <v>77.78039360046381</v>
      </c>
      <c r="D384" s="8">
        <v>383</v>
      </c>
      <c r="E384" s="8">
        <v>34.0659790039062</v>
      </c>
      <c r="F384" s="8">
        <v>32.563640594482401</v>
      </c>
      <c r="G384" s="8"/>
      <c r="H384" s="8">
        <v>383</v>
      </c>
      <c r="I384" s="8">
        <v>17.749628067016602</v>
      </c>
      <c r="J384" s="8">
        <v>34.034725189208899</v>
      </c>
      <c r="K384" s="8"/>
      <c r="L384" s="8">
        <v>383</v>
      </c>
      <c r="M384" s="8">
        <v>25.964786529541001</v>
      </c>
      <c r="N384" s="8">
        <v>33.046371459960902</v>
      </c>
      <c r="P384" s="8">
        <f t="shared" si="23"/>
        <v>97.275391578674146</v>
      </c>
      <c r="Q384">
        <v>383</v>
      </c>
      <c r="R384">
        <v>9.5725183486938406</v>
      </c>
      <c r="S384">
        <v>53.640499114990199</v>
      </c>
      <c r="U384">
        <v>383</v>
      </c>
      <c r="V384">
        <v>63.274936676025298</v>
      </c>
      <c r="W384">
        <v>53.485939025878899</v>
      </c>
      <c r="Y384">
        <v>383</v>
      </c>
      <c r="Z384">
        <v>24.427936553955</v>
      </c>
      <c r="AA384">
        <v>55.7796020507812</v>
      </c>
    </row>
    <row r="385" spans="1:27" x14ac:dyDescent="0.25">
      <c r="A385" s="8">
        <f t="shared" si="20"/>
        <v>384</v>
      </c>
      <c r="B385" s="8">
        <f t="shared" si="21"/>
        <v>1</v>
      </c>
      <c r="C385" s="8">
        <f t="shared" si="22"/>
        <v>160.0584754943846</v>
      </c>
      <c r="D385" s="8">
        <v>384</v>
      </c>
      <c r="E385" s="8">
        <v>58.649898529052699</v>
      </c>
      <c r="F385" s="8">
        <v>41.433704376220703</v>
      </c>
      <c r="G385" s="8"/>
      <c r="H385" s="8">
        <v>384</v>
      </c>
      <c r="I385" s="8">
        <v>64.982147216796804</v>
      </c>
      <c r="J385" s="8">
        <v>43.318305969238203</v>
      </c>
      <c r="K385" s="8"/>
      <c r="L385" s="8">
        <v>384</v>
      </c>
      <c r="M385" s="8">
        <v>36.426429748535099</v>
      </c>
      <c r="N385" s="8">
        <v>41.821010589599602</v>
      </c>
      <c r="P385" s="8">
        <f t="shared" si="23"/>
        <v>1078.4116210937491</v>
      </c>
      <c r="Q385">
        <v>384</v>
      </c>
      <c r="R385">
        <v>189.80661010742099</v>
      </c>
      <c r="S385">
        <v>52.740932464599602</v>
      </c>
      <c r="U385">
        <v>384</v>
      </c>
      <c r="V385">
        <v>714.916748046875</v>
      </c>
      <c r="W385">
        <v>51.574501037597599</v>
      </c>
      <c r="Y385">
        <v>384</v>
      </c>
      <c r="Z385">
        <v>173.68826293945301</v>
      </c>
      <c r="AA385">
        <v>52.622913360595703</v>
      </c>
    </row>
    <row r="386" spans="1:27" x14ac:dyDescent="0.25">
      <c r="A386" s="8">
        <f t="shared" si="20"/>
        <v>385</v>
      </c>
      <c r="B386" s="8">
        <f t="shared" si="21"/>
        <v>1</v>
      </c>
      <c r="C386" s="8">
        <f t="shared" si="22"/>
        <v>43.929999351501294</v>
      </c>
      <c r="D386" s="8">
        <v>385</v>
      </c>
      <c r="E386" s="8">
        <v>21.351272583007798</v>
      </c>
      <c r="F386" s="8">
        <v>40.806240081787102</v>
      </c>
      <c r="G386" s="8"/>
      <c r="H386" s="8">
        <v>385</v>
      </c>
      <c r="I386" s="8">
        <v>12.312486648559499</v>
      </c>
      <c r="J386" s="8">
        <v>41.232574462890597</v>
      </c>
      <c r="K386" s="8"/>
      <c r="L386" s="8">
        <v>385</v>
      </c>
      <c r="M386" s="8">
        <v>10.266240119934</v>
      </c>
      <c r="N386" s="8">
        <v>41.000041961669901</v>
      </c>
      <c r="P386" s="8">
        <f t="shared" si="23"/>
        <v>1081.586654663085</v>
      </c>
      <c r="Q386">
        <v>385</v>
      </c>
      <c r="R386">
        <v>191.01071166992099</v>
      </c>
      <c r="S386">
        <v>49.353252410888601</v>
      </c>
      <c r="U386">
        <v>385</v>
      </c>
      <c r="V386">
        <v>716.213623046875</v>
      </c>
      <c r="W386">
        <v>48.1533813476562</v>
      </c>
      <c r="Y386">
        <v>385</v>
      </c>
      <c r="Z386">
        <v>174.36231994628901</v>
      </c>
      <c r="AA386">
        <v>49.147533416747997</v>
      </c>
    </row>
    <row r="387" spans="1:27" x14ac:dyDescent="0.25">
      <c r="A387" s="8">
        <f t="shared" ref="A387:A450" si="24">IF(D387="","",D387)</f>
        <v>386</v>
      </c>
      <c r="B387" s="8">
        <f t="shared" ref="B387:B450" si="25">IF(OR(D387&lt;&gt;H387,H387&lt;&gt;L387,D387&lt;&gt;L387),0,1)</f>
        <v>1</v>
      </c>
      <c r="C387" s="8">
        <f t="shared" ref="C387:C450" si="26">SUM(E387,I387,M387)</f>
        <v>64.500999450683508</v>
      </c>
      <c r="D387" s="8">
        <v>386</v>
      </c>
      <c r="E387" s="8">
        <v>24.7498779296875</v>
      </c>
      <c r="F387" s="8">
        <v>32.030769348144503</v>
      </c>
      <c r="G387" s="8"/>
      <c r="H387" s="8">
        <v>386</v>
      </c>
      <c r="I387" s="8">
        <v>16.969066619873001</v>
      </c>
      <c r="J387" s="8">
        <v>32.861297607421797</v>
      </c>
      <c r="K387" s="8"/>
      <c r="L387" s="8">
        <v>386</v>
      </c>
      <c r="M387" s="8">
        <v>22.782054901123001</v>
      </c>
      <c r="N387" s="8">
        <v>32.321849822997997</v>
      </c>
      <c r="P387" s="8">
        <f t="shared" ref="P387:P450" si="27">R387+V387+Z387</f>
        <v>427.7452621459953</v>
      </c>
      <c r="Q387">
        <v>386</v>
      </c>
      <c r="R387">
        <v>63.604698181152301</v>
      </c>
      <c r="S387">
        <v>29.550886154174801</v>
      </c>
      <c r="U387">
        <v>386</v>
      </c>
      <c r="V387">
        <v>274.94085693359301</v>
      </c>
      <c r="W387">
        <v>29.5715312957763</v>
      </c>
      <c r="Y387">
        <v>386</v>
      </c>
      <c r="Z387">
        <v>89.19970703125</v>
      </c>
      <c r="AA387">
        <v>29.688808441162099</v>
      </c>
    </row>
    <row r="388" spans="1:27" x14ac:dyDescent="0.25">
      <c r="A388" s="8">
        <f t="shared" si="24"/>
        <v>387</v>
      </c>
      <c r="B388" s="8">
        <f t="shared" si="25"/>
        <v>1</v>
      </c>
      <c r="C388" s="8">
        <f t="shared" si="26"/>
        <v>18.667805194854722</v>
      </c>
      <c r="D388" s="8">
        <v>387</v>
      </c>
      <c r="E388" s="8">
        <v>6.5849027633666903</v>
      </c>
      <c r="F388" s="8">
        <v>11.158897399902299</v>
      </c>
      <c r="G388" s="8"/>
      <c r="H388" s="8">
        <v>387</v>
      </c>
      <c r="I388" s="8">
        <v>6.5075912475585902</v>
      </c>
      <c r="J388" s="8">
        <v>11.266557693481399</v>
      </c>
      <c r="K388" s="8"/>
      <c r="L388" s="8">
        <v>387</v>
      </c>
      <c r="M388" s="8">
        <v>5.5753111839294398</v>
      </c>
      <c r="N388" s="8">
        <v>11.2502899169921</v>
      </c>
      <c r="P388" s="8">
        <f t="shared" si="27"/>
        <v>1840.990386962882</v>
      </c>
      <c r="Q388">
        <v>387</v>
      </c>
      <c r="R388">
        <v>273.83605957031199</v>
      </c>
      <c r="S388">
        <v>32.805007934570298</v>
      </c>
      <c r="U388">
        <v>387</v>
      </c>
      <c r="V388">
        <v>1184.50622558593</v>
      </c>
      <c r="W388">
        <v>32.82515335083</v>
      </c>
      <c r="Y388">
        <v>387</v>
      </c>
      <c r="Z388">
        <v>382.64810180664</v>
      </c>
      <c r="AA388">
        <v>32.945022583007798</v>
      </c>
    </row>
    <row r="389" spans="1:27" x14ac:dyDescent="0.25">
      <c r="A389" s="8">
        <f t="shared" si="24"/>
        <v>388</v>
      </c>
      <c r="B389" s="8">
        <f t="shared" si="25"/>
        <v>1</v>
      </c>
      <c r="C389" s="8">
        <f t="shared" si="26"/>
        <v>155.4752597808837</v>
      </c>
      <c r="D389" s="8">
        <v>388</v>
      </c>
      <c r="E389" s="8">
        <v>57.6507759094238</v>
      </c>
      <c r="F389" s="8">
        <v>38.519458770751903</v>
      </c>
      <c r="G389" s="8"/>
      <c r="H389" s="8">
        <v>388</v>
      </c>
      <c r="I389" s="8">
        <v>67.574028015136705</v>
      </c>
      <c r="J389" s="8">
        <v>43.900138854980398</v>
      </c>
      <c r="K389" s="8"/>
      <c r="L389" s="8">
        <v>388</v>
      </c>
      <c r="M389" s="8">
        <v>30.2504558563232</v>
      </c>
      <c r="N389" s="8">
        <v>38.932048797607401</v>
      </c>
      <c r="P389" s="8">
        <f t="shared" si="27"/>
        <v>342.92570495605412</v>
      </c>
      <c r="Q389">
        <v>388</v>
      </c>
      <c r="R389">
        <v>55.555755615234297</v>
      </c>
      <c r="S389">
        <v>32.915245056152301</v>
      </c>
      <c r="U389">
        <v>388</v>
      </c>
      <c r="V389">
        <v>220.55822753906199</v>
      </c>
      <c r="W389">
        <v>33.306827545166001</v>
      </c>
      <c r="Y389">
        <v>388</v>
      </c>
      <c r="Z389">
        <v>66.811721801757798</v>
      </c>
      <c r="AA389">
        <v>33.3170166015625</v>
      </c>
    </row>
    <row r="390" spans="1:27" x14ac:dyDescent="0.25">
      <c r="A390" s="8">
        <f t="shared" si="24"/>
        <v>389</v>
      </c>
      <c r="B390" s="8">
        <f t="shared" si="25"/>
        <v>1</v>
      </c>
      <c r="C390" s="8">
        <f t="shared" si="26"/>
        <v>66.553162574767896</v>
      </c>
      <c r="D390" s="8">
        <v>389</v>
      </c>
      <c r="E390" s="8">
        <v>28.524112701416001</v>
      </c>
      <c r="F390" s="8">
        <v>40.628532409667898</v>
      </c>
      <c r="G390" s="8"/>
      <c r="H390" s="8">
        <v>389</v>
      </c>
      <c r="I390" s="8">
        <v>22.682151794433501</v>
      </c>
      <c r="J390" s="8">
        <v>48.360755920410099</v>
      </c>
      <c r="K390" s="8"/>
      <c r="L390" s="8">
        <v>389</v>
      </c>
      <c r="M390" s="8">
        <v>15.3468980789184</v>
      </c>
      <c r="N390" s="8">
        <v>41.291301727294901</v>
      </c>
      <c r="P390" s="8">
        <f t="shared" si="27"/>
        <v>1143.085662841796</v>
      </c>
      <c r="Q390">
        <v>389</v>
      </c>
      <c r="R390">
        <v>185.18583679199199</v>
      </c>
      <c r="S390">
        <v>34.245246887207003</v>
      </c>
      <c r="U390">
        <v>389</v>
      </c>
      <c r="V390">
        <v>735.194091796875</v>
      </c>
      <c r="W390">
        <v>34.636829376220703</v>
      </c>
      <c r="Y390">
        <v>389</v>
      </c>
      <c r="Z390">
        <v>222.70573425292901</v>
      </c>
      <c r="AA390">
        <v>34.647018432617102</v>
      </c>
    </row>
    <row r="391" spans="1:27" x14ac:dyDescent="0.25">
      <c r="A391" s="8">
        <f t="shared" si="24"/>
        <v>390</v>
      </c>
      <c r="B391" s="8">
        <f t="shared" si="25"/>
        <v>1</v>
      </c>
      <c r="C391" s="8">
        <f t="shared" si="26"/>
        <v>61.712776184081896</v>
      </c>
      <c r="D391" s="8">
        <v>390</v>
      </c>
      <c r="E391" s="8">
        <v>26.932258605956999</v>
      </c>
      <c r="F391" s="8">
        <v>36.646766662597599</v>
      </c>
      <c r="G391" s="8"/>
      <c r="H391" s="8">
        <v>390</v>
      </c>
      <c r="I391" s="8">
        <v>21.1176853179931</v>
      </c>
      <c r="J391" s="8">
        <v>44.378990173339801</v>
      </c>
      <c r="K391" s="8"/>
      <c r="L391" s="8">
        <v>390</v>
      </c>
      <c r="M391" s="8">
        <v>13.6628322601318</v>
      </c>
      <c r="N391" s="8">
        <v>37.309535980224602</v>
      </c>
      <c r="P391" s="8">
        <f t="shared" si="27"/>
        <v>214.7822055816649</v>
      </c>
      <c r="Q391">
        <v>390</v>
      </c>
      <c r="R391">
        <v>31.947542190551701</v>
      </c>
      <c r="S391">
        <v>33.201416015625</v>
      </c>
      <c r="U391">
        <v>390</v>
      </c>
      <c r="V391">
        <v>138.1923828125</v>
      </c>
      <c r="W391">
        <v>33.221561431884702</v>
      </c>
      <c r="Y391">
        <v>390</v>
      </c>
      <c r="Z391">
        <v>44.642280578613203</v>
      </c>
      <c r="AA391">
        <v>33.3414306640625</v>
      </c>
    </row>
    <row r="392" spans="1:27" x14ac:dyDescent="0.25">
      <c r="A392" s="8">
        <f t="shared" si="24"/>
        <v>391</v>
      </c>
      <c r="B392" s="8">
        <f t="shared" si="25"/>
        <v>1</v>
      </c>
      <c r="C392" s="8">
        <f t="shared" si="26"/>
        <v>226.74800872802729</v>
      </c>
      <c r="D392" s="8">
        <v>391</v>
      </c>
      <c r="E392" s="8">
        <v>70.824005126953097</v>
      </c>
      <c r="F392" s="8">
        <v>41.974411010742102</v>
      </c>
      <c r="G392" s="8"/>
      <c r="H392" s="8">
        <v>391</v>
      </c>
      <c r="I392" s="8">
        <v>82.679229736328097</v>
      </c>
      <c r="J392" s="8">
        <v>49.399093627929602</v>
      </c>
      <c r="K392" s="8"/>
      <c r="L392" s="8">
        <v>391</v>
      </c>
      <c r="M392" s="8">
        <v>73.244773864746094</v>
      </c>
      <c r="N392" s="8">
        <v>42.388679504394503</v>
      </c>
      <c r="P392" s="8">
        <f t="shared" si="27"/>
        <v>214.7822055816649</v>
      </c>
      <c r="Q392">
        <v>391</v>
      </c>
      <c r="R392">
        <v>31.947542190551701</v>
      </c>
      <c r="S392">
        <v>32.805007934570298</v>
      </c>
      <c r="U392">
        <v>391</v>
      </c>
      <c r="V392">
        <v>138.1923828125</v>
      </c>
      <c r="W392">
        <v>32.82515335083</v>
      </c>
      <c r="Y392">
        <v>391</v>
      </c>
      <c r="Z392">
        <v>44.642280578613203</v>
      </c>
      <c r="AA392">
        <v>32.945022583007798</v>
      </c>
    </row>
    <row r="393" spans="1:27" x14ac:dyDescent="0.25">
      <c r="A393" s="8">
        <f t="shared" si="24"/>
        <v>392</v>
      </c>
      <c r="B393" s="8">
        <f t="shared" si="25"/>
        <v>1</v>
      </c>
      <c r="C393" s="8">
        <f t="shared" si="26"/>
        <v>227.09779357910099</v>
      </c>
      <c r="D393" s="8">
        <v>392</v>
      </c>
      <c r="E393" s="8">
        <v>104.28685760498</v>
      </c>
      <c r="F393" s="8">
        <v>60.171501159667898</v>
      </c>
      <c r="G393" s="8"/>
      <c r="H393" s="8">
        <v>392</v>
      </c>
      <c r="I393" s="8">
        <v>73.705734252929602</v>
      </c>
      <c r="J393" s="8">
        <v>69.712158203125</v>
      </c>
      <c r="K393" s="8"/>
      <c r="L393" s="8">
        <v>392</v>
      </c>
      <c r="M393" s="8">
        <v>49.105201721191399</v>
      </c>
      <c r="N393" s="8">
        <v>61.168201446533203</v>
      </c>
      <c r="P393" s="8">
        <f t="shared" si="27"/>
        <v>1371.7028198242181</v>
      </c>
      <c r="Q393">
        <v>392</v>
      </c>
      <c r="R393">
        <v>222.22302246093699</v>
      </c>
      <c r="S393">
        <v>34.245246887207003</v>
      </c>
      <c r="U393">
        <v>392</v>
      </c>
      <c r="V393">
        <v>882.23291015625</v>
      </c>
      <c r="W393">
        <v>34.636829376220703</v>
      </c>
      <c r="Y393">
        <v>392</v>
      </c>
      <c r="Z393">
        <v>267.24688720703102</v>
      </c>
      <c r="AA393">
        <v>34.647018432617102</v>
      </c>
    </row>
    <row r="394" spans="1:27" x14ac:dyDescent="0.25">
      <c r="A394" s="8">
        <f t="shared" si="24"/>
        <v>393</v>
      </c>
      <c r="B394" s="8">
        <f t="shared" si="25"/>
        <v>1</v>
      </c>
      <c r="C394" s="8">
        <f t="shared" si="26"/>
        <v>3.0187990665435698</v>
      </c>
      <c r="D394" s="8">
        <v>393</v>
      </c>
      <c r="E394" s="8">
        <v>1.1658120155334399</v>
      </c>
      <c r="F394" s="8">
        <v>33.506885528564403</v>
      </c>
      <c r="G394" s="8"/>
      <c r="H394" s="8">
        <v>393</v>
      </c>
      <c r="I394" s="8">
        <v>1.25163173675537</v>
      </c>
      <c r="J394" s="8">
        <v>34.285511016845703</v>
      </c>
      <c r="K394" s="8"/>
      <c r="L394" s="8">
        <v>393</v>
      </c>
      <c r="M394" s="8">
        <v>0.60135531425475997</v>
      </c>
      <c r="N394" s="8">
        <v>33.671886444091797</v>
      </c>
      <c r="P394" s="8">
        <f t="shared" si="27"/>
        <v>228.61713790893549</v>
      </c>
      <c r="Q394">
        <v>393</v>
      </c>
      <c r="R394">
        <v>37.0371704101562</v>
      </c>
      <c r="S394">
        <v>32.915245056152301</v>
      </c>
      <c r="U394">
        <v>393</v>
      </c>
      <c r="V394">
        <v>147.038818359375</v>
      </c>
      <c r="W394">
        <v>33.306827545166001</v>
      </c>
      <c r="Y394">
        <v>393</v>
      </c>
      <c r="Z394">
        <v>44.541149139404297</v>
      </c>
      <c r="AA394">
        <v>33.3170166015625</v>
      </c>
    </row>
    <row r="395" spans="1:27" x14ac:dyDescent="0.25">
      <c r="A395" s="8">
        <f t="shared" si="24"/>
        <v>394</v>
      </c>
      <c r="B395" s="8">
        <f t="shared" si="25"/>
        <v>1</v>
      </c>
      <c r="C395" s="8">
        <f t="shared" si="26"/>
        <v>12.075196266174299</v>
      </c>
      <c r="D395" s="8">
        <v>394</v>
      </c>
      <c r="E395" s="8">
        <v>4.6632480621337802</v>
      </c>
      <c r="F395" s="8">
        <v>26.637657165527301</v>
      </c>
      <c r="G395" s="8"/>
      <c r="H395" s="8">
        <v>394</v>
      </c>
      <c r="I395" s="8">
        <v>5.0065269470214799</v>
      </c>
      <c r="J395" s="8">
        <v>27.187288284301701</v>
      </c>
      <c r="K395" s="8"/>
      <c r="L395" s="8">
        <v>394</v>
      </c>
      <c r="M395" s="8">
        <v>2.4054212570190399</v>
      </c>
      <c r="N395" s="8">
        <v>26.827903747558501</v>
      </c>
      <c r="P395" s="8">
        <f t="shared" si="27"/>
        <v>886.03076171874909</v>
      </c>
      <c r="Q395">
        <v>394</v>
      </c>
      <c r="R395">
        <v>174.46495056152301</v>
      </c>
      <c r="S395">
        <v>39.955963134765597</v>
      </c>
      <c r="U395">
        <v>394</v>
      </c>
      <c r="V395">
        <v>572.06799316406205</v>
      </c>
      <c r="W395">
        <v>40.510147094726499</v>
      </c>
      <c r="Y395">
        <v>394</v>
      </c>
      <c r="Z395">
        <v>139.49781799316401</v>
      </c>
      <c r="AA395">
        <v>40.752029418945298</v>
      </c>
    </row>
    <row r="396" spans="1:27" x14ac:dyDescent="0.25">
      <c r="A396" s="8">
        <f t="shared" si="24"/>
        <v>395</v>
      </c>
      <c r="B396" s="8">
        <f t="shared" si="25"/>
        <v>1</v>
      </c>
      <c r="C396" s="8">
        <f t="shared" si="26"/>
        <v>26.606390953063951</v>
      </c>
      <c r="D396" s="8">
        <v>395</v>
      </c>
      <c r="E396" s="8">
        <v>7.1466436386108398</v>
      </c>
      <c r="F396" s="8">
        <v>30.3644905090332</v>
      </c>
      <c r="G396" s="8"/>
      <c r="H396" s="8">
        <v>395</v>
      </c>
      <c r="I396" s="8">
        <v>9.9716482162475497</v>
      </c>
      <c r="J396" s="8">
        <v>31.122554779052699</v>
      </c>
      <c r="K396" s="8"/>
      <c r="L396" s="8">
        <v>395</v>
      </c>
      <c r="M396" s="8">
        <v>9.4880990982055593</v>
      </c>
      <c r="N396" s="8">
        <v>30.478578567504801</v>
      </c>
      <c r="P396" s="8">
        <f t="shared" si="27"/>
        <v>886.03076171874909</v>
      </c>
      <c r="Q396">
        <v>395</v>
      </c>
      <c r="R396">
        <v>174.46495056152301</v>
      </c>
      <c r="S396">
        <v>39.955963134765597</v>
      </c>
      <c r="U396">
        <v>395</v>
      </c>
      <c r="V396">
        <v>572.06799316406205</v>
      </c>
      <c r="W396">
        <v>40.510147094726499</v>
      </c>
      <c r="Y396">
        <v>395</v>
      </c>
      <c r="Z396">
        <v>139.49781799316401</v>
      </c>
      <c r="AA396">
        <v>40.752029418945298</v>
      </c>
    </row>
    <row r="397" spans="1:27" x14ac:dyDescent="0.25">
      <c r="A397" s="8">
        <f t="shared" si="24"/>
        <v>396</v>
      </c>
      <c r="B397" s="8">
        <f t="shared" si="25"/>
        <v>1</v>
      </c>
      <c r="C397" s="8">
        <f t="shared" si="26"/>
        <v>22.849999427795399</v>
      </c>
      <c r="D397" s="8">
        <v>396</v>
      </c>
      <c r="E397" s="8">
        <v>8.0166664123535103</v>
      </c>
      <c r="F397" s="8">
        <v>29.331901550292901</v>
      </c>
      <c r="G397" s="8"/>
      <c r="H397" s="8">
        <v>396</v>
      </c>
      <c r="I397" s="8">
        <v>8.3055553436279297</v>
      </c>
      <c r="J397" s="8">
        <v>29.69309425354</v>
      </c>
      <c r="K397" s="8"/>
      <c r="L397" s="8">
        <v>396</v>
      </c>
      <c r="M397" s="8">
        <v>6.5277776718139604</v>
      </c>
      <c r="N397" s="8">
        <v>29.504327774047798</v>
      </c>
      <c r="P397" s="8">
        <f t="shared" si="27"/>
        <v>869.99514770507801</v>
      </c>
      <c r="Q397">
        <v>396</v>
      </c>
      <c r="R397">
        <v>171.75564575195301</v>
      </c>
      <c r="S397">
        <v>27.7522773742675</v>
      </c>
      <c r="U397">
        <v>396</v>
      </c>
      <c r="V397">
        <v>572.922119140625</v>
      </c>
      <c r="W397">
        <v>28.209325790405199</v>
      </c>
      <c r="Y397">
        <v>396</v>
      </c>
      <c r="Z397">
        <v>125.3173828125</v>
      </c>
      <c r="AA397">
        <v>28.338129043579102</v>
      </c>
    </row>
    <row r="398" spans="1:27" x14ac:dyDescent="0.25">
      <c r="A398" s="8">
        <f t="shared" si="24"/>
        <v>397</v>
      </c>
      <c r="B398" s="8">
        <f t="shared" si="25"/>
        <v>1</v>
      </c>
      <c r="C398" s="8">
        <f t="shared" si="26"/>
        <v>296.2908706665026</v>
      </c>
      <c r="D398" s="8">
        <v>397</v>
      </c>
      <c r="E398" s="8">
        <v>104.36959838867099</v>
      </c>
      <c r="F398" s="8">
        <v>35.394763946533203</v>
      </c>
      <c r="G398" s="8"/>
      <c r="H398" s="8">
        <v>397</v>
      </c>
      <c r="I398" s="8">
        <v>111.540489196777</v>
      </c>
      <c r="J398" s="8">
        <v>36.885856628417898</v>
      </c>
      <c r="K398" s="8"/>
      <c r="L398" s="8">
        <v>397</v>
      </c>
      <c r="M398" s="8">
        <v>80.380783081054602</v>
      </c>
      <c r="N398" s="8">
        <v>35.708240509033203</v>
      </c>
      <c r="P398" s="8">
        <f t="shared" si="27"/>
        <v>870.78631591796795</v>
      </c>
      <c r="Q398">
        <v>397</v>
      </c>
      <c r="R398">
        <v>171.88780212402301</v>
      </c>
      <c r="S398">
        <v>28.768020629882798</v>
      </c>
      <c r="U398">
        <v>397</v>
      </c>
      <c r="V398">
        <v>573.448974609375</v>
      </c>
      <c r="W398">
        <v>29.2248210906982</v>
      </c>
      <c r="Y398">
        <v>397</v>
      </c>
      <c r="Z398">
        <v>125.44953918457</v>
      </c>
      <c r="AA398">
        <v>29.354253768920898</v>
      </c>
    </row>
    <row r="399" spans="1:27" x14ac:dyDescent="0.25">
      <c r="A399" s="8">
        <f t="shared" si="24"/>
        <v>398</v>
      </c>
      <c r="B399" s="8">
        <f t="shared" si="25"/>
        <v>1</v>
      </c>
      <c r="C399" s="8">
        <f t="shared" si="26"/>
        <v>74.072717666625806</v>
      </c>
      <c r="D399" s="8">
        <v>398</v>
      </c>
      <c r="E399" s="8">
        <v>26.092399597167901</v>
      </c>
      <c r="F399" s="8">
        <v>40.0933837890625</v>
      </c>
      <c r="G399" s="8"/>
      <c r="H399" s="8">
        <v>398</v>
      </c>
      <c r="I399" s="8">
        <v>27.8851222991943</v>
      </c>
      <c r="J399" s="8">
        <v>41.475662231445298</v>
      </c>
      <c r="K399" s="8"/>
      <c r="L399" s="8">
        <v>398</v>
      </c>
      <c r="M399" s="8">
        <v>20.095195770263601</v>
      </c>
      <c r="N399" s="8">
        <v>40.371898651122997</v>
      </c>
      <c r="P399" s="8">
        <f t="shared" si="27"/>
        <v>349.17793464660576</v>
      </c>
      <c r="Q399">
        <v>398</v>
      </c>
      <c r="R399">
        <v>22.511903762817301</v>
      </c>
      <c r="S399">
        <v>39.268348693847599</v>
      </c>
      <c r="U399">
        <v>398</v>
      </c>
      <c r="V399">
        <v>227.82751464843699</v>
      </c>
      <c r="W399">
        <v>39.696697235107401</v>
      </c>
      <c r="Y399">
        <v>398</v>
      </c>
      <c r="Z399">
        <v>98.838516235351506</v>
      </c>
      <c r="AA399">
        <v>40.017822265625</v>
      </c>
    </row>
    <row r="400" spans="1:27" x14ac:dyDescent="0.25">
      <c r="A400" s="8">
        <f t="shared" si="24"/>
        <v>399</v>
      </c>
      <c r="B400" s="8">
        <f t="shared" si="25"/>
        <v>1</v>
      </c>
      <c r="C400" s="8">
        <f t="shared" si="26"/>
        <v>31.756323814391997</v>
      </c>
      <c r="D400" s="8">
        <v>399</v>
      </c>
      <c r="E400" s="8">
        <v>11.3278694152832</v>
      </c>
      <c r="F400" s="8">
        <v>37.499946594238203</v>
      </c>
      <c r="G400" s="8"/>
      <c r="H400" s="8">
        <v>399</v>
      </c>
      <c r="I400" s="8">
        <v>10.471881866455</v>
      </c>
      <c r="J400" s="8">
        <v>40.219875335693303</v>
      </c>
      <c r="K400" s="8"/>
      <c r="L400" s="8">
        <v>399</v>
      </c>
      <c r="M400" s="8">
        <v>9.9565725326537997</v>
      </c>
      <c r="N400" s="8">
        <v>38.4519233703613</v>
      </c>
      <c r="P400" s="8">
        <f t="shared" si="27"/>
        <v>785.65028762817292</v>
      </c>
      <c r="Q400">
        <v>399</v>
      </c>
      <c r="R400">
        <v>50.651782989501903</v>
      </c>
      <c r="S400">
        <v>39.268348693847599</v>
      </c>
      <c r="U400">
        <v>399</v>
      </c>
      <c r="V400">
        <v>512.61187744140602</v>
      </c>
      <c r="W400">
        <v>39.696697235107401</v>
      </c>
      <c r="Y400">
        <v>399</v>
      </c>
      <c r="Z400">
        <v>222.386627197265</v>
      </c>
      <c r="AA400">
        <v>40.017822265625</v>
      </c>
    </row>
    <row r="401" spans="1:27" x14ac:dyDescent="0.25">
      <c r="A401" s="8">
        <f t="shared" si="24"/>
        <v>400</v>
      </c>
      <c r="B401" s="8">
        <f t="shared" si="25"/>
        <v>1</v>
      </c>
      <c r="C401" s="8">
        <f t="shared" si="26"/>
        <v>3.9064102768897899</v>
      </c>
      <c r="D401" s="8">
        <v>400</v>
      </c>
      <c r="E401" s="8">
        <v>1.7916666269302299</v>
      </c>
      <c r="F401" s="8">
        <v>14.1199378967285</v>
      </c>
      <c r="G401" s="8"/>
      <c r="H401" s="8">
        <v>400</v>
      </c>
      <c r="I401" s="8">
        <v>1.1692308187484699</v>
      </c>
      <c r="J401" s="8">
        <v>14.849660873413001</v>
      </c>
      <c r="K401" s="8"/>
      <c r="L401" s="8">
        <v>400</v>
      </c>
      <c r="M401" s="8">
        <v>0.94551283121108998</v>
      </c>
      <c r="N401" s="8">
        <v>14.4730129241943</v>
      </c>
      <c r="P401" s="8">
        <f t="shared" si="27"/>
        <v>714.159278869628</v>
      </c>
      <c r="Q401">
        <v>400</v>
      </c>
      <c r="R401">
        <v>44.394676208496001</v>
      </c>
      <c r="S401">
        <v>28.349290847778299</v>
      </c>
      <c r="U401">
        <v>400</v>
      </c>
      <c r="V401">
        <v>465.70440673828102</v>
      </c>
      <c r="W401">
        <v>28.532415390014599</v>
      </c>
      <c r="Y401">
        <v>400</v>
      </c>
      <c r="Z401">
        <v>204.06019592285099</v>
      </c>
      <c r="AA401">
        <v>28.696403503417901</v>
      </c>
    </row>
    <row r="402" spans="1:27" x14ac:dyDescent="0.25">
      <c r="A402" s="8">
        <f t="shared" si="24"/>
        <v>401</v>
      </c>
      <c r="B402" s="8">
        <f t="shared" si="25"/>
        <v>1</v>
      </c>
      <c r="C402" s="8">
        <f t="shared" si="26"/>
        <v>7.9378205537795896</v>
      </c>
      <c r="D402" s="8">
        <v>401</v>
      </c>
      <c r="E402" s="8">
        <v>3.5833332538604701</v>
      </c>
      <c r="F402" s="8">
        <v>14.3682489395141</v>
      </c>
      <c r="G402" s="8"/>
      <c r="H402" s="8">
        <v>401</v>
      </c>
      <c r="I402" s="8">
        <v>2.4634616374969398</v>
      </c>
      <c r="J402" s="8">
        <v>15.035706520080501</v>
      </c>
      <c r="K402" s="8"/>
      <c r="L402" s="8">
        <v>401</v>
      </c>
      <c r="M402" s="8">
        <v>1.89102566242218</v>
      </c>
      <c r="N402" s="8">
        <v>14.6394500732421</v>
      </c>
      <c r="P402" s="8">
        <f t="shared" si="27"/>
        <v>82.434753417968594</v>
      </c>
      <c r="Q402">
        <v>401</v>
      </c>
      <c r="R402">
        <v>17.284263610839801</v>
      </c>
      <c r="S402">
        <v>54.652942657470703</v>
      </c>
      <c r="U402">
        <v>401</v>
      </c>
      <c r="V402">
        <v>52.469936370849602</v>
      </c>
      <c r="W402">
        <v>53.742645263671797</v>
      </c>
      <c r="Y402">
        <v>401</v>
      </c>
      <c r="Z402">
        <v>12.680553436279199</v>
      </c>
      <c r="AA402">
        <v>55.884033203125</v>
      </c>
    </row>
    <row r="403" spans="1:27" x14ac:dyDescent="0.25">
      <c r="A403" s="8">
        <f t="shared" si="24"/>
        <v>402</v>
      </c>
      <c r="B403" s="8">
        <f t="shared" si="25"/>
        <v>1</v>
      </c>
      <c r="C403" s="8">
        <f t="shared" si="26"/>
        <v>12.094230890274039</v>
      </c>
      <c r="D403" s="8">
        <v>402</v>
      </c>
      <c r="E403" s="8">
        <v>5.375</v>
      </c>
      <c r="F403" s="8">
        <v>12.0638208389282</v>
      </c>
      <c r="G403" s="8"/>
      <c r="H403" s="8">
        <v>402</v>
      </c>
      <c r="I403" s="8">
        <v>3.8826923370361301</v>
      </c>
      <c r="J403" s="8">
        <v>12.636878967285099</v>
      </c>
      <c r="K403" s="8"/>
      <c r="L403" s="8">
        <v>402</v>
      </c>
      <c r="M403" s="8">
        <v>2.8365385532379102</v>
      </c>
      <c r="N403" s="8">
        <v>12.2774200439453</v>
      </c>
      <c r="P403" s="8">
        <f t="shared" si="27"/>
        <v>77.340293884277258</v>
      </c>
      <c r="Q403">
        <v>402</v>
      </c>
      <c r="R403">
        <v>9.9834365844726491</v>
      </c>
      <c r="S403">
        <v>58.859260559082003</v>
      </c>
      <c r="U403">
        <v>402</v>
      </c>
      <c r="V403">
        <v>51.764999389648402</v>
      </c>
      <c r="W403">
        <v>58.653964996337798</v>
      </c>
      <c r="Y403">
        <v>402</v>
      </c>
      <c r="Z403">
        <v>15.5918579101562</v>
      </c>
      <c r="AA403">
        <v>60.671241760253899</v>
      </c>
    </row>
    <row r="404" spans="1:27" x14ac:dyDescent="0.25">
      <c r="A404" s="8">
        <f t="shared" si="24"/>
        <v>403</v>
      </c>
      <c r="B404" s="8">
        <f t="shared" si="25"/>
        <v>1</v>
      </c>
      <c r="C404" s="8">
        <f t="shared" si="26"/>
        <v>0</v>
      </c>
      <c r="D404" s="8">
        <v>403</v>
      </c>
      <c r="E404" s="8">
        <v>0</v>
      </c>
      <c r="F404" s="8">
        <v>11.786363601684499</v>
      </c>
      <c r="G404" s="8"/>
      <c r="H404" s="8">
        <v>403</v>
      </c>
      <c r="I404" s="8">
        <v>0</v>
      </c>
      <c r="J404" s="8">
        <v>11.9440860748291</v>
      </c>
      <c r="K404" s="8"/>
      <c r="L404" s="8">
        <v>403</v>
      </c>
      <c r="M404" s="8">
        <v>0</v>
      </c>
      <c r="N404" s="8">
        <v>11.8499851226806</v>
      </c>
      <c r="P404" s="8">
        <f t="shared" si="27"/>
        <v>360.37573623657204</v>
      </c>
      <c r="Q404">
        <v>403</v>
      </c>
      <c r="R404">
        <v>64.746009826660099</v>
      </c>
      <c r="S404">
        <v>89.408042907714801</v>
      </c>
      <c r="U404">
        <v>403</v>
      </c>
      <c r="V404">
        <v>238.12698364257801</v>
      </c>
      <c r="W404">
        <v>90.580154418945298</v>
      </c>
      <c r="Y404">
        <v>403</v>
      </c>
      <c r="Z404">
        <v>57.502742767333899</v>
      </c>
      <c r="AA404">
        <v>91.738563537597599</v>
      </c>
    </row>
    <row r="405" spans="1:27" x14ac:dyDescent="0.25">
      <c r="A405" s="8">
        <f t="shared" si="24"/>
        <v>404</v>
      </c>
      <c r="B405" s="8">
        <f t="shared" si="25"/>
        <v>1</v>
      </c>
      <c r="C405" s="8">
        <f t="shared" si="26"/>
        <v>0</v>
      </c>
      <c r="D405" s="8">
        <v>404</v>
      </c>
      <c r="E405" s="8">
        <v>0</v>
      </c>
      <c r="F405" s="8">
        <v>5.8286247253417898</v>
      </c>
      <c r="G405" s="8"/>
      <c r="H405" s="8">
        <v>404</v>
      </c>
      <c r="I405" s="8">
        <v>0</v>
      </c>
      <c r="J405" s="8">
        <v>5.8909187316894496</v>
      </c>
      <c r="K405" s="8"/>
      <c r="L405" s="8">
        <v>404</v>
      </c>
      <c r="M405" s="8">
        <v>0</v>
      </c>
      <c r="N405" s="8">
        <v>5.8343987464904696</v>
      </c>
      <c r="P405" s="8">
        <f t="shared" si="27"/>
        <v>334.7922973632808</v>
      </c>
      <c r="Q405">
        <v>404</v>
      </c>
      <c r="R405">
        <v>60.8438110351562</v>
      </c>
      <c r="S405">
        <v>54.119094848632798</v>
      </c>
      <c r="U405">
        <v>404</v>
      </c>
      <c r="V405">
        <v>223.17611694335901</v>
      </c>
      <c r="W405">
        <v>54.488468170166001</v>
      </c>
      <c r="Y405">
        <v>404</v>
      </c>
      <c r="Z405">
        <v>50.772369384765597</v>
      </c>
      <c r="AA405">
        <v>55.536960601806598</v>
      </c>
    </row>
    <row r="406" spans="1:27" x14ac:dyDescent="0.25">
      <c r="A406" s="8">
        <f t="shared" si="24"/>
        <v>405</v>
      </c>
      <c r="B406" s="8">
        <f t="shared" si="25"/>
        <v>1</v>
      </c>
      <c r="C406" s="8">
        <f t="shared" si="26"/>
        <v>30.446620941162088</v>
      </c>
      <c r="D406" s="8">
        <v>405</v>
      </c>
      <c r="E406" s="8">
        <v>12.528571128845201</v>
      </c>
      <c r="F406" s="8">
        <v>23.435188293456999</v>
      </c>
      <c r="G406" s="8"/>
      <c r="H406" s="8">
        <v>405</v>
      </c>
      <c r="I406" s="8">
        <v>9.8983516693115199</v>
      </c>
      <c r="J406" s="8">
        <v>23.8399143218994</v>
      </c>
      <c r="K406" s="8"/>
      <c r="L406" s="8">
        <v>405</v>
      </c>
      <c r="M406" s="8">
        <v>8.0196981430053693</v>
      </c>
      <c r="N406" s="8">
        <v>23.670179367065401</v>
      </c>
      <c r="P406" s="8">
        <f t="shared" si="27"/>
        <v>255.62671661376871</v>
      </c>
      <c r="Q406">
        <v>405</v>
      </c>
      <c r="R406">
        <v>34.9308471679687</v>
      </c>
      <c r="S406">
        <v>87.613487243652301</v>
      </c>
      <c r="U406">
        <v>405</v>
      </c>
      <c r="V406">
        <v>168.51263427734301</v>
      </c>
      <c r="W406">
        <v>89.264999389648395</v>
      </c>
      <c r="Y406">
        <v>405</v>
      </c>
      <c r="Z406">
        <v>52.183235168457003</v>
      </c>
      <c r="AA406">
        <v>90.616508483886705</v>
      </c>
    </row>
    <row r="407" spans="1:27" x14ac:dyDescent="0.25">
      <c r="A407" s="8">
        <f t="shared" si="24"/>
        <v>406</v>
      </c>
      <c r="B407" s="8">
        <f t="shared" si="25"/>
        <v>1</v>
      </c>
      <c r="C407" s="8">
        <f t="shared" si="26"/>
        <v>66.817966461181499</v>
      </c>
      <c r="D407" s="8">
        <v>406</v>
      </c>
      <c r="E407" s="8">
        <v>25.423059463500898</v>
      </c>
      <c r="F407" s="8">
        <v>17.343904495239201</v>
      </c>
      <c r="G407" s="8"/>
      <c r="H407" s="8">
        <v>406</v>
      </c>
      <c r="I407" s="8">
        <v>22.097454071044901</v>
      </c>
      <c r="J407" s="8">
        <v>17.755138397216701</v>
      </c>
      <c r="K407" s="8"/>
      <c r="L407" s="8">
        <v>406</v>
      </c>
      <c r="M407" s="8">
        <v>19.2974529266357</v>
      </c>
      <c r="N407" s="8">
        <v>17.636278152465799</v>
      </c>
      <c r="P407" s="8">
        <f t="shared" si="27"/>
        <v>69.341413497924705</v>
      </c>
      <c r="Q407">
        <v>406</v>
      </c>
      <c r="R407">
        <v>9.4337749481201101</v>
      </c>
      <c r="S407">
        <v>88.369483947753906</v>
      </c>
      <c r="U407">
        <v>406</v>
      </c>
      <c r="V407">
        <v>45.5022773742675</v>
      </c>
      <c r="W407">
        <v>90.02099609375</v>
      </c>
      <c r="Y407">
        <v>406</v>
      </c>
      <c r="Z407">
        <v>14.4053611755371</v>
      </c>
      <c r="AA407">
        <v>91.372505187988196</v>
      </c>
    </row>
    <row r="408" spans="1:27" x14ac:dyDescent="0.25">
      <c r="A408" s="8">
        <f t="shared" si="24"/>
        <v>407</v>
      </c>
      <c r="B408" s="8">
        <f t="shared" si="25"/>
        <v>1</v>
      </c>
      <c r="C408" s="8">
        <f t="shared" si="26"/>
        <v>55.641666412353395</v>
      </c>
      <c r="D408" s="8">
        <v>407</v>
      </c>
      <c r="E408" s="8">
        <v>20.003627777099599</v>
      </c>
      <c r="F408" s="8">
        <v>60.661678314208899</v>
      </c>
      <c r="G408" s="8"/>
      <c r="H408" s="8">
        <v>407</v>
      </c>
      <c r="I408" s="8">
        <v>18.992849349975501</v>
      </c>
      <c r="J408" s="8">
        <v>63.109596252441399</v>
      </c>
      <c r="K408" s="8"/>
      <c r="L408" s="8">
        <v>407</v>
      </c>
      <c r="M408" s="8">
        <v>16.645189285278299</v>
      </c>
      <c r="N408" s="8">
        <v>61.275840759277301</v>
      </c>
      <c r="P408" s="8">
        <f t="shared" si="27"/>
        <v>100.44731903076161</v>
      </c>
      <c r="Q408">
        <v>407</v>
      </c>
      <c r="R408">
        <v>10.9030036926269</v>
      </c>
      <c r="S408">
        <v>51.930633544921797</v>
      </c>
      <c r="U408">
        <v>407</v>
      </c>
      <c r="V408">
        <v>67.272354125976506</v>
      </c>
      <c r="W408">
        <v>52.882331848144503</v>
      </c>
      <c r="Y408">
        <v>407</v>
      </c>
      <c r="Z408">
        <v>22.2719612121582</v>
      </c>
      <c r="AA408">
        <v>54.1117553710937</v>
      </c>
    </row>
    <row r="409" spans="1:27" x14ac:dyDescent="0.25">
      <c r="A409" s="8">
        <f t="shared" si="24"/>
        <v>408</v>
      </c>
      <c r="B409" s="8">
        <f t="shared" si="25"/>
        <v>1</v>
      </c>
      <c r="C409" s="8">
        <f t="shared" si="26"/>
        <v>112.17222213745099</v>
      </c>
      <c r="D409" s="8">
        <v>408</v>
      </c>
      <c r="E409" s="8">
        <v>40.673923492431598</v>
      </c>
      <c r="F409" s="8">
        <v>52.888835906982401</v>
      </c>
      <c r="G409" s="8"/>
      <c r="H409" s="8">
        <v>408</v>
      </c>
      <c r="I409" s="8">
        <v>38.207920074462798</v>
      </c>
      <c r="J409" s="8">
        <v>55.431312561035099</v>
      </c>
      <c r="K409" s="8"/>
      <c r="L409" s="8">
        <v>408</v>
      </c>
      <c r="M409" s="8">
        <v>33.290378570556598</v>
      </c>
      <c r="N409" s="8">
        <v>53.518028259277301</v>
      </c>
      <c r="P409" s="8">
        <f t="shared" si="27"/>
        <v>476.01382446289017</v>
      </c>
      <c r="Q409">
        <v>408</v>
      </c>
      <c r="R409">
        <v>81.494056701660099</v>
      </c>
      <c r="S409">
        <v>73.646385192871094</v>
      </c>
      <c r="U409">
        <v>408</v>
      </c>
      <c r="V409">
        <v>311.71273803710898</v>
      </c>
      <c r="W409">
        <v>71.232467651367102</v>
      </c>
      <c r="Y409">
        <v>408</v>
      </c>
      <c r="Z409">
        <v>82.807029724121094</v>
      </c>
      <c r="AA409">
        <v>72.01416015625</v>
      </c>
    </row>
    <row r="410" spans="1:27" x14ac:dyDescent="0.25">
      <c r="A410" s="8">
        <f t="shared" si="24"/>
        <v>409</v>
      </c>
      <c r="B410" s="8">
        <f t="shared" si="25"/>
        <v>1</v>
      </c>
      <c r="C410" s="8">
        <f t="shared" si="26"/>
        <v>4.2067078351974398</v>
      </c>
      <c r="D410" s="8">
        <v>409</v>
      </c>
      <c r="E410" s="8">
        <v>1.58897197246551</v>
      </c>
      <c r="F410" s="8">
        <v>28.896467208862301</v>
      </c>
      <c r="G410" s="8"/>
      <c r="H410" s="8">
        <v>409</v>
      </c>
      <c r="I410" s="8">
        <v>1.4108748435974099</v>
      </c>
      <c r="J410" s="8">
        <v>30.06955909729</v>
      </c>
      <c r="K410" s="8"/>
      <c r="L410" s="8">
        <v>409</v>
      </c>
      <c r="M410" s="8">
        <v>1.2068610191345199</v>
      </c>
      <c r="N410" s="8">
        <v>29.363365173339801</v>
      </c>
      <c r="P410" s="8">
        <f t="shared" si="27"/>
        <v>97.85956430435165</v>
      </c>
      <c r="Q410">
        <v>409</v>
      </c>
      <c r="R410">
        <v>7.8423676490783603</v>
      </c>
      <c r="S410">
        <v>69.50244140625</v>
      </c>
      <c r="U410">
        <v>409</v>
      </c>
      <c r="V410">
        <v>61.993202209472599</v>
      </c>
      <c r="W410">
        <v>70.915176391601506</v>
      </c>
      <c r="Y410">
        <v>409</v>
      </c>
      <c r="Z410">
        <v>28.0239944458007</v>
      </c>
      <c r="AA410">
        <v>75.304359436035099</v>
      </c>
    </row>
    <row r="411" spans="1:27" x14ac:dyDescent="0.25">
      <c r="A411" s="8">
        <f t="shared" si="24"/>
        <v>410</v>
      </c>
      <c r="B411" s="8">
        <f t="shared" si="25"/>
        <v>1</v>
      </c>
      <c r="C411" s="8">
        <f t="shared" si="26"/>
        <v>14.836272239685051</v>
      </c>
      <c r="D411" s="8">
        <v>410</v>
      </c>
      <c r="E411" s="8">
        <v>4.9862642288207999</v>
      </c>
      <c r="F411" s="8">
        <v>39.4954223632812</v>
      </c>
      <c r="G411" s="8"/>
      <c r="H411" s="8">
        <v>410</v>
      </c>
      <c r="I411" s="8">
        <v>6.2870173454284597</v>
      </c>
      <c r="J411" s="8">
        <v>40.6849975585937</v>
      </c>
      <c r="K411" s="8"/>
      <c r="L411" s="8">
        <v>410</v>
      </c>
      <c r="M411" s="8">
        <v>3.5629906654357901</v>
      </c>
      <c r="N411" s="8">
        <v>40.038642883300703</v>
      </c>
      <c r="P411" s="8">
        <f t="shared" si="27"/>
        <v>65.239706993102956</v>
      </c>
      <c r="Q411">
        <v>410</v>
      </c>
      <c r="R411">
        <v>5.2282457351684499</v>
      </c>
      <c r="S411">
        <v>69.50244140625</v>
      </c>
      <c r="U411">
        <v>410</v>
      </c>
      <c r="V411">
        <v>41.328800201416001</v>
      </c>
      <c r="W411">
        <v>70.915176391601506</v>
      </c>
      <c r="Y411">
        <v>410</v>
      </c>
      <c r="Z411">
        <v>18.682661056518501</v>
      </c>
      <c r="AA411">
        <v>75.304359436035099</v>
      </c>
    </row>
    <row r="412" spans="1:27" x14ac:dyDescent="0.25">
      <c r="A412" s="8">
        <f t="shared" si="24"/>
        <v>411</v>
      </c>
      <c r="B412" s="8">
        <f t="shared" si="25"/>
        <v>1</v>
      </c>
      <c r="C412" s="8">
        <f t="shared" si="26"/>
        <v>14.29509210586547</v>
      </c>
      <c r="D412" s="8">
        <v>411</v>
      </c>
      <c r="E412" s="8">
        <v>5.0932025909423801</v>
      </c>
      <c r="F412" s="8">
        <v>41.991622924804602</v>
      </c>
      <c r="G412" s="8"/>
      <c r="H412" s="8">
        <v>411</v>
      </c>
      <c r="I412" s="8">
        <v>5.7065472602844203</v>
      </c>
      <c r="J412" s="8">
        <v>43.219669342041001</v>
      </c>
      <c r="K412" s="8"/>
      <c r="L412" s="8">
        <v>411</v>
      </c>
      <c r="M412" s="8">
        <v>3.4953422546386701</v>
      </c>
      <c r="N412" s="8">
        <v>42.584056854247997</v>
      </c>
      <c r="P412" s="8">
        <f t="shared" si="27"/>
        <v>293.57865524291952</v>
      </c>
      <c r="Q412">
        <v>411</v>
      </c>
      <c r="R412">
        <v>23.527103424072202</v>
      </c>
      <c r="S412">
        <v>69.50244140625</v>
      </c>
      <c r="U412">
        <v>411</v>
      </c>
      <c r="V412">
        <v>185.979568481445</v>
      </c>
      <c r="W412">
        <v>70.915176391601506</v>
      </c>
      <c r="Y412">
        <v>411</v>
      </c>
      <c r="Z412">
        <v>84.071983337402301</v>
      </c>
      <c r="AA412">
        <v>75.304359436035099</v>
      </c>
    </row>
    <row r="413" spans="1:27" x14ac:dyDescent="0.25">
      <c r="A413" s="8">
        <f t="shared" si="24"/>
        <v>412</v>
      </c>
      <c r="B413" s="8">
        <f t="shared" si="25"/>
        <v>1</v>
      </c>
      <c r="C413" s="8">
        <f t="shared" si="26"/>
        <v>23.378986358642489</v>
      </c>
      <c r="D413" s="8">
        <v>412</v>
      </c>
      <c r="E413" s="8">
        <v>10.0066661834716</v>
      </c>
      <c r="F413" s="8">
        <v>48.824375152587798</v>
      </c>
      <c r="G413" s="8"/>
      <c r="H413" s="8">
        <v>412</v>
      </c>
      <c r="I413" s="8">
        <v>7.9591493606567303</v>
      </c>
      <c r="J413" s="8">
        <v>49.843391418457003</v>
      </c>
      <c r="K413" s="8"/>
      <c r="L413" s="8">
        <v>412</v>
      </c>
      <c r="M413" s="8">
        <v>5.4131708145141602</v>
      </c>
      <c r="N413" s="8">
        <v>49.127723693847599</v>
      </c>
      <c r="P413" s="8">
        <f t="shared" si="27"/>
        <v>56.834168434142946</v>
      </c>
      <c r="Q413">
        <v>412</v>
      </c>
      <c r="R413">
        <v>4.2792825698852504</v>
      </c>
      <c r="S413">
        <v>36.533660888671797</v>
      </c>
      <c r="U413">
        <v>412</v>
      </c>
      <c r="V413">
        <v>36.034862518310497</v>
      </c>
      <c r="W413">
        <v>37.810272216796797</v>
      </c>
      <c r="Y413">
        <v>412</v>
      </c>
      <c r="Z413">
        <v>16.520023345947202</v>
      </c>
      <c r="AA413">
        <v>39.961483001708899</v>
      </c>
    </row>
    <row r="414" spans="1:27" x14ac:dyDescent="0.25">
      <c r="A414" s="8">
        <f t="shared" si="24"/>
        <v>413</v>
      </c>
      <c r="B414" s="8">
        <f t="shared" si="25"/>
        <v>1</v>
      </c>
      <c r="C414" s="8">
        <f t="shared" si="26"/>
        <v>27.036517143249419</v>
      </c>
      <c r="D414" s="8">
        <v>413</v>
      </c>
      <c r="E414" s="8">
        <v>10.2942581176757</v>
      </c>
      <c r="F414" s="8">
        <v>48.384670257568303</v>
      </c>
      <c r="G414" s="8"/>
      <c r="H414" s="8">
        <v>413</v>
      </c>
      <c r="I414" s="8">
        <v>8.8496999740600497</v>
      </c>
      <c r="J414" s="8">
        <v>49.655094146728501</v>
      </c>
      <c r="K414" s="8"/>
      <c r="L414" s="8">
        <v>413</v>
      </c>
      <c r="M414" s="8">
        <v>7.8925590515136701</v>
      </c>
      <c r="N414" s="8">
        <v>48.225418090820298</v>
      </c>
      <c r="P414" s="8">
        <f t="shared" si="27"/>
        <v>5.8309082984924228</v>
      </c>
      <c r="Q414">
        <v>413</v>
      </c>
      <c r="R414">
        <v>0.65456193685531605</v>
      </c>
      <c r="S414">
        <v>8.0677146911621094</v>
      </c>
      <c r="U414">
        <v>413</v>
      </c>
      <c r="V414">
        <v>4.2349991798400799</v>
      </c>
      <c r="W414">
        <v>8.0677146911621094</v>
      </c>
      <c r="Y414">
        <v>413</v>
      </c>
      <c r="Z414">
        <v>0.94134718179702703</v>
      </c>
      <c r="AA414">
        <v>8.0677146911621094</v>
      </c>
    </row>
    <row r="415" spans="1:27" x14ac:dyDescent="0.25">
      <c r="A415" s="8">
        <f t="shared" si="24"/>
        <v>414</v>
      </c>
      <c r="B415" s="8">
        <f t="shared" si="25"/>
        <v>1</v>
      </c>
      <c r="C415" s="8">
        <f t="shared" si="26"/>
        <v>13.51825857162474</v>
      </c>
      <c r="D415" s="8">
        <v>414</v>
      </c>
      <c r="E415" s="8">
        <v>5.1471290588378897</v>
      </c>
      <c r="F415" s="8">
        <v>48.384670257568303</v>
      </c>
      <c r="G415" s="8"/>
      <c r="H415" s="8">
        <v>414</v>
      </c>
      <c r="I415" s="8">
        <v>4.4248499870300204</v>
      </c>
      <c r="J415" s="8">
        <v>49.655094146728501</v>
      </c>
      <c r="K415" s="8"/>
      <c r="L415" s="8">
        <v>414</v>
      </c>
      <c r="M415" s="8">
        <v>3.9462795257568302</v>
      </c>
      <c r="N415" s="8">
        <v>48.225418090820298</v>
      </c>
      <c r="P415" s="8">
        <f t="shared" si="27"/>
        <v>11.994395017623891</v>
      </c>
      <c r="Q415">
        <v>414</v>
      </c>
      <c r="R415">
        <v>1.6838121414184499</v>
      </c>
      <c r="S415">
        <v>7.9517140388488698</v>
      </c>
      <c r="U415">
        <v>414</v>
      </c>
      <c r="V415">
        <v>8.1474704742431605</v>
      </c>
      <c r="W415">
        <v>7.9517140388488698</v>
      </c>
      <c r="Y415">
        <v>414</v>
      </c>
      <c r="Z415">
        <v>2.1631124019622798</v>
      </c>
      <c r="AA415">
        <v>7.9517140388488698</v>
      </c>
    </row>
    <row r="416" spans="1:27" x14ac:dyDescent="0.25">
      <c r="A416" s="8">
        <f t="shared" si="24"/>
        <v>415</v>
      </c>
      <c r="B416" s="8">
        <f t="shared" si="25"/>
        <v>1</v>
      </c>
      <c r="C416" s="8">
        <f t="shared" si="26"/>
        <v>138.5481529235839</v>
      </c>
      <c r="D416" s="8">
        <v>415</v>
      </c>
      <c r="E416" s="8">
        <v>51.728527069091797</v>
      </c>
      <c r="F416" s="8">
        <v>51.174636840820298</v>
      </c>
      <c r="G416" s="8"/>
      <c r="H416" s="8">
        <v>415</v>
      </c>
      <c r="I416" s="8">
        <v>52.350196838378899</v>
      </c>
      <c r="J416" s="8">
        <v>53.547203063964801</v>
      </c>
      <c r="K416" s="8"/>
      <c r="L416" s="8">
        <v>415</v>
      </c>
      <c r="M416" s="8">
        <v>34.469429016113203</v>
      </c>
      <c r="N416" s="8">
        <v>51.514614105224602</v>
      </c>
      <c r="P416" s="8">
        <f t="shared" si="27"/>
        <v>380.72440719604458</v>
      </c>
      <c r="Q416">
        <v>415</v>
      </c>
      <c r="R416">
        <v>70.538688659667898</v>
      </c>
      <c r="S416">
        <v>44.460464477538999</v>
      </c>
      <c r="U416">
        <v>415</v>
      </c>
      <c r="V416">
        <v>253.95001220703099</v>
      </c>
      <c r="W416">
        <v>44.878135681152301</v>
      </c>
      <c r="Y416">
        <v>415</v>
      </c>
      <c r="Z416">
        <v>56.235706329345703</v>
      </c>
      <c r="AA416">
        <v>45.115074157714801</v>
      </c>
    </row>
    <row r="417" spans="1:27" x14ac:dyDescent="0.25">
      <c r="A417" s="8">
        <f t="shared" si="24"/>
        <v>416</v>
      </c>
      <c r="B417" s="8">
        <f t="shared" si="25"/>
        <v>1</v>
      </c>
      <c r="C417" s="8">
        <f t="shared" si="26"/>
        <v>97.461021423339716</v>
      </c>
      <c r="D417" s="8">
        <v>416</v>
      </c>
      <c r="E417" s="8">
        <v>34.084720611572202</v>
      </c>
      <c r="F417" s="8">
        <v>33.000347137451101</v>
      </c>
      <c r="G417" s="8"/>
      <c r="H417" s="8">
        <v>416</v>
      </c>
      <c r="I417" s="8">
        <v>38.986946105957003</v>
      </c>
      <c r="J417" s="8">
        <v>34.535682678222599</v>
      </c>
      <c r="K417" s="8"/>
      <c r="L417" s="8">
        <v>416</v>
      </c>
      <c r="M417" s="8">
        <v>24.389354705810501</v>
      </c>
      <c r="N417" s="8">
        <v>33.1216011047363</v>
      </c>
      <c r="P417" s="8">
        <f t="shared" si="27"/>
        <v>1106.469406127929</v>
      </c>
      <c r="Q417">
        <v>416</v>
      </c>
      <c r="R417">
        <v>119.347030639648</v>
      </c>
      <c r="S417">
        <v>45.012004852294901</v>
      </c>
      <c r="U417">
        <v>416</v>
      </c>
      <c r="V417">
        <v>725.95263671875</v>
      </c>
      <c r="W417">
        <v>45.524177551269503</v>
      </c>
      <c r="Y417">
        <v>416</v>
      </c>
      <c r="Z417">
        <v>261.16973876953102</v>
      </c>
      <c r="AA417">
        <v>46.194400787353501</v>
      </c>
    </row>
    <row r="418" spans="1:27" x14ac:dyDescent="0.25">
      <c r="A418" s="8">
        <f t="shared" si="24"/>
        <v>417</v>
      </c>
      <c r="B418" s="8">
        <f t="shared" si="25"/>
        <v>1</v>
      </c>
      <c r="C418" s="8">
        <f t="shared" si="26"/>
        <v>182.00468826293928</v>
      </c>
      <c r="D418" s="8">
        <v>417</v>
      </c>
      <c r="E418" s="8">
        <v>65.476066589355398</v>
      </c>
      <c r="F418" s="8">
        <v>22.5672702789306</v>
      </c>
      <c r="G418" s="8"/>
      <c r="H418" s="8">
        <v>417</v>
      </c>
      <c r="I418" s="8">
        <v>63.6794624328613</v>
      </c>
      <c r="J418" s="8">
        <v>26.283061981201101</v>
      </c>
      <c r="K418" s="8"/>
      <c r="L418" s="8">
        <v>417</v>
      </c>
      <c r="M418" s="8">
        <v>52.849159240722599</v>
      </c>
      <c r="N418" s="8">
        <v>23.6764621734619</v>
      </c>
      <c r="P418" s="8">
        <f t="shared" si="27"/>
        <v>12.01746463775633</v>
      </c>
      <c r="Q418">
        <v>417</v>
      </c>
      <c r="R418">
        <v>1.6211366653442301</v>
      </c>
      <c r="S418">
        <v>25.373878479003899</v>
      </c>
      <c r="U418">
        <v>417</v>
      </c>
      <c r="V418">
        <v>7.5838198661804199</v>
      </c>
      <c r="W418">
        <v>26.043926239013601</v>
      </c>
      <c r="Y418">
        <v>417</v>
      </c>
      <c r="Z418">
        <v>2.8125081062316801</v>
      </c>
      <c r="AA418">
        <v>26.5482883453369</v>
      </c>
    </row>
    <row r="419" spans="1:27" x14ac:dyDescent="0.25">
      <c r="A419" s="8">
        <f t="shared" si="24"/>
        <v>418</v>
      </c>
      <c r="B419" s="8">
        <f t="shared" si="25"/>
        <v>1</v>
      </c>
      <c r="C419" s="8">
        <f t="shared" si="26"/>
        <v>448.360130310057</v>
      </c>
      <c r="D419" s="8">
        <v>418</v>
      </c>
      <c r="E419" s="8">
        <v>169.46870422363199</v>
      </c>
      <c r="F419" s="8">
        <v>20.551973342895501</v>
      </c>
      <c r="G419" s="8"/>
      <c r="H419" s="8">
        <v>418</v>
      </c>
      <c r="I419" s="8">
        <v>175.72935485839801</v>
      </c>
      <c r="J419" s="8">
        <v>21.879613876342699</v>
      </c>
      <c r="K419" s="8"/>
      <c r="L419" s="8">
        <v>418</v>
      </c>
      <c r="M419" s="8">
        <v>103.162071228027</v>
      </c>
      <c r="N419" s="8">
        <v>20.4951152801513</v>
      </c>
      <c r="P419" s="8">
        <f t="shared" si="27"/>
        <v>0.61812762171029967</v>
      </c>
      <c r="Q419">
        <v>418</v>
      </c>
      <c r="R419">
        <v>0</v>
      </c>
      <c r="S419">
        <v>22.483730316162099</v>
      </c>
      <c r="U419">
        <v>418</v>
      </c>
      <c r="V419">
        <v>0.54942554235458296</v>
      </c>
      <c r="W419">
        <v>22.477582931518501</v>
      </c>
      <c r="Y419">
        <v>418</v>
      </c>
      <c r="Z419">
        <v>6.8702079355716705E-2</v>
      </c>
      <c r="AA419">
        <v>24.033418655395501</v>
      </c>
    </row>
    <row r="420" spans="1:27" x14ac:dyDescent="0.25">
      <c r="A420" s="8">
        <f t="shared" si="24"/>
        <v>419</v>
      </c>
      <c r="B420" s="8">
        <f t="shared" si="25"/>
        <v>1</v>
      </c>
      <c r="C420" s="8">
        <f t="shared" si="26"/>
        <v>149.4533729553221</v>
      </c>
      <c r="D420" s="8">
        <v>419</v>
      </c>
      <c r="E420" s="8">
        <v>56.489566802978501</v>
      </c>
      <c r="F420" s="8">
        <v>20.551973342895501</v>
      </c>
      <c r="G420" s="8"/>
      <c r="H420" s="8">
        <v>419</v>
      </c>
      <c r="I420" s="8">
        <v>58.576450347900298</v>
      </c>
      <c r="J420" s="8">
        <v>21.879613876342699</v>
      </c>
      <c r="K420" s="8"/>
      <c r="L420" s="8">
        <v>419</v>
      </c>
      <c r="M420" s="8">
        <v>34.387355804443303</v>
      </c>
      <c r="N420" s="8">
        <v>20.4951152801513</v>
      </c>
      <c r="P420" s="8">
        <f t="shared" si="27"/>
        <v>12.622554302215562</v>
      </c>
      <c r="Q420">
        <v>419</v>
      </c>
      <c r="R420">
        <v>2.4743297100067099</v>
      </c>
      <c r="S420">
        <v>23.0255317687988</v>
      </c>
      <c r="U420">
        <v>419</v>
      </c>
      <c r="V420">
        <v>8.1138639450073207</v>
      </c>
      <c r="W420">
        <v>22.1210021972656</v>
      </c>
      <c r="Y420">
        <v>419</v>
      </c>
      <c r="Z420">
        <v>2.0343606472015301</v>
      </c>
      <c r="AA420">
        <v>23.280582427978501</v>
      </c>
    </row>
    <row r="421" spans="1:27" x14ac:dyDescent="0.25">
      <c r="A421" s="8">
        <f t="shared" si="24"/>
        <v>420</v>
      </c>
      <c r="B421" s="8">
        <f t="shared" si="25"/>
        <v>1</v>
      </c>
      <c r="C421" s="8">
        <f t="shared" si="26"/>
        <v>395.6124343872055</v>
      </c>
      <c r="D421" s="8">
        <v>420</v>
      </c>
      <c r="E421" s="8">
        <v>184.41033935546801</v>
      </c>
      <c r="F421" s="8">
        <v>34.571445465087798</v>
      </c>
      <c r="G421" s="8"/>
      <c r="H421" s="8">
        <v>420</v>
      </c>
      <c r="I421" s="8">
        <v>126.54009246826099</v>
      </c>
      <c r="J421" s="8">
        <v>36.396541595458899</v>
      </c>
      <c r="K421" s="8"/>
      <c r="L421" s="8">
        <v>420</v>
      </c>
      <c r="M421" s="8">
        <v>84.662002563476506</v>
      </c>
      <c r="N421" s="8">
        <v>34.673332214355398</v>
      </c>
      <c r="P421" s="8">
        <f t="shared" si="27"/>
        <v>16.620757818222021</v>
      </c>
      <c r="Q421">
        <v>420</v>
      </c>
      <c r="R421">
        <v>2.0907349586486799</v>
      </c>
      <c r="S421">
        <v>32.031421661376903</v>
      </c>
      <c r="U421">
        <v>420</v>
      </c>
      <c r="V421">
        <v>11.5532178878784</v>
      </c>
      <c r="W421">
        <v>32.263885498046797</v>
      </c>
      <c r="Y421">
        <v>420</v>
      </c>
      <c r="Z421">
        <v>2.9768049716949401</v>
      </c>
      <c r="AA421">
        <v>32.479740142822202</v>
      </c>
    </row>
    <row r="422" spans="1:27" x14ac:dyDescent="0.25">
      <c r="A422" s="8">
        <f t="shared" si="24"/>
        <v>421</v>
      </c>
      <c r="B422" s="8">
        <f t="shared" si="25"/>
        <v>1</v>
      </c>
      <c r="C422" s="8">
        <f t="shared" si="26"/>
        <v>197.2023925781248</v>
      </c>
      <c r="D422" s="8">
        <v>421</v>
      </c>
      <c r="E422" s="8">
        <v>77.427749633789006</v>
      </c>
      <c r="F422" s="8">
        <v>52.598709106445298</v>
      </c>
      <c r="G422" s="8"/>
      <c r="H422" s="8">
        <v>421</v>
      </c>
      <c r="I422" s="8">
        <v>70.356460571289006</v>
      </c>
      <c r="J422" s="8">
        <v>53.702735900878899</v>
      </c>
      <c r="K422" s="8"/>
      <c r="L422" s="8">
        <v>421</v>
      </c>
      <c r="M422" s="8">
        <v>49.418182373046797</v>
      </c>
      <c r="N422" s="8">
        <v>52.420902252197202</v>
      </c>
      <c r="P422" s="8">
        <f t="shared" si="27"/>
        <v>14.501204729080181</v>
      </c>
      <c r="Q422">
        <v>421</v>
      </c>
      <c r="R422">
        <v>1.4840619564056301</v>
      </c>
      <c r="S422">
        <v>51.618408203125</v>
      </c>
      <c r="U422">
        <v>421</v>
      </c>
      <c r="V422">
        <v>9.6925125122070295</v>
      </c>
      <c r="W422">
        <v>52.370574951171797</v>
      </c>
      <c r="Y422">
        <v>421</v>
      </c>
      <c r="Z422">
        <v>3.32463026046752</v>
      </c>
      <c r="AA422">
        <v>52.405986785888601</v>
      </c>
    </row>
    <row r="423" spans="1:27" x14ac:dyDescent="0.25">
      <c r="A423" s="8">
        <f t="shared" si="24"/>
        <v>422</v>
      </c>
      <c r="B423" s="8">
        <f t="shared" si="25"/>
        <v>1</v>
      </c>
      <c r="C423" s="8">
        <f t="shared" si="26"/>
        <v>368.22260284423686</v>
      </c>
      <c r="D423" s="8">
        <v>422</v>
      </c>
      <c r="E423" s="8">
        <v>152.08309936523401</v>
      </c>
      <c r="F423" s="8">
        <v>65.652893066406193</v>
      </c>
      <c r="G423" s="8"/>
      <c r="H423" s="8">
        <v>422</v>
      </c>
      <c r="I423" s="8">
        <v>118.602653503417</v>
      </c>
      <c r="J423" s="8">
        <v>69.249328613281193</v>
      </c>
      <c r="K423" s="8"/>
      <c r="L423" s="8">
        <v>422</v>
      </c>
      <c r="M423" s="8">
        <v>97.536849975585895</v>
      </c>
      <c r="N423" s="8">
        <v>66.176322937011705</v>
      </c>
      <c r="P423" s="8">
        <f t="shared" si="27"/>
        <v>2.3716101050376821</v>
      </c>
      <c r="Q423">
        <v>422</v>
      </c>
      <c r="R423">
        <v>0.32214426994323703</v>
      </c>
      <c r="S423">
        <v>47.321254730224602</v>
      </c>
      <c r="U423">
        <v>422</v>
      </c>
      <c r="V423">
        <v>1.3022974729537899</v>
      </c>
      <c r="W423">
        <v>47.440498352050703</v>
      </c>
      <c r="Y423">
        <v>422</v>
      </c>
      <c r="Z423">
        <v>0.74716836214065496</v>
      </c>
      <c r="AA423">
        <v>47.822010040283203</v>
      </c>
    </row>
    <row r="424" spans="1:27" x14ac:dyDescent="0.25">
      <c r="A424" s="8">
        <f t="shared" si="24"/>
        <v>423</v>
      </c>
      <c r="B424" s="8">
        <f t="shared" si="25"/>
        <v>1</v>
      </c>
      <c r="C424" s="8">
        <f t="shared" si="26"/>
        <v>211.50228500366188</v>
      </c>
      <c r="D424" s="8">
        <v>423</v>
      </c>
      <c r="E424" s="8">
        <v>75.999824523925696</v>
      </c>
      <c r="F424" s="8">
        <v>40.6217041015625</v>
      </c>
      <c r="G424" s="8"/>
      <c r="H424" s="8">
        <v>423</v>
      </c>
      <c r="I424" s="8">
        <v>74.215011596679602</v>
      </c>
      <c r="J424" s="8">
        <v>44.798873901367102</v>
      </c>
      <c r="K424" s="8"/>
      <c r="L424" s="8">
        <v>423</v>
      </c>
      <c r="M424" s="8">
        <v>61.287448883056598</v>
      </c>
      <c r="N424" s="8">
        <v>42.014457702636697</v>
      </c>
      <c r="P424" s="8">
        <f t="shared" si="27"/>
        <v>16.18519282341002</v>
      </c>
      <c r="Q424">
        <v>423</v>
      </c>
      <c r="R424">
        <v>3.4518542289733798</v>
      </c>
      <c r="S424">
        <v>58.554946899413999</v>
      </c>
      <c r="U424">
        <v>423</v>
      </c>
      <c r="V424">
        <v>9.34930419921875</v>
      </c>
      <c r="W424">
        <v>59.610198974609297</v>
      </c>
      <c r="Y424">
        <v>423</v>
      </c>
      <c r="Z424">
        <v>3.3840343952178902</v>
      </c>
      <c r="AA424">
        <v>59.861988067626903</v>
      </c>
    </row>
    <row r="425" spans="1:27" x14ac:dyDescent="0.25">
      <c r="A425" s="8">
        <f t="shared" si="24"/>
        <v>424</v>
      </c>
      <c r="B425" s="8">
        <f t="shared" si="25"/>
        <v>1</v>
      </c>
      <c r="C425" s="8">
        <f t="shared" si="26"/>
        <v>424.67998504638609</v>
      </c>
      <c r="D425" s="8">
        <v>424</v>
      </c>
      <c r="E425" s="8">
        <v>165.335037231445</v>
      </c>
      <c r="F425" s="8">
        <v>27.497251510620099</v>
      </c>
      <c r="G425" s="8"/>
      <c r="H425" s="8">
        <v>424</v>
      </c>
      <c r="I425" s="8">
        <v>169.666580200195</v>
      </c>
      <c r="J425" s="8">
        <v>28.0472202301025</v>
      </c>
      <c r="K425" s="8"/>
      <c r="L425" s="8">
        <v>424</v>
      </c>
      <c r="M425" s="8">
        <v>89.678367614746094</v>
      </c>
      <c r="N425" s="8">
        <v>27.450983047485298</v>
      </c>
      <c r="P425" s="8">
        <f t="shared" si="27"/>
        <v>45.450000762939396</v>
      </c>
      <c r="Q425">
        <v>424</v>
      </c>
      <c r="R425">
        <v>5.25</v>
      </c>
      <c r="S425">
        <v>15.466782569885201</v>
      </c>
      <c r="U425">
        <v>424</v>
      </c>
      <c r="V425">
        <v>31.4500007629394</v>
      </c>
      <c r="W425">
        <v>15.404899597167899</v>
      </c>
      <c r="Y425">
        <v>424</v>
      </c>
      <c r="Z425">
        <v>8.75</v>
      </c>
      <c r="AA425">
        <v>15.358522415161101</v>
      </c>
    </row>
    <row r="426" spans="1:27" x14ac:dyDescent="0.25">
      <c r="A426" s="8">
        <f t="shared" si="24"/>
        <v>425</v>
      </c>
      <c r="B426" s="8">
        <f t="shared" si="25"/>
        <v>1</v>
      </c>
      <c r="C426" s="8">
        <f t="shared" si="26"/>
        <v>16.913586616516088</v>
      </c>
      <c r="D426" s="8">
        <v>425</v>
      </c>
      <c r="E426" s="8">
        <v>5.6827158927917401</v>
      </c>
      <c r="F426" s="8">
        <v>29.7112922668457</v>
      </c>
      <c r="G426" s="8"/>
      <c r="H426" s="8">
        <v>425</v>
      </c>
      <c r="I426" s="8">
        <v>6.3112902641296298</v>
      </c>
      <c r="J426" s="8">
        <v>31.319887161254801</v>
      </c>
      <c r="K426" s="8"/>
      <c r="L426" s="8">
        <v>425</v>
      </c>
      <c r="M426" s="8">
        <v>4.9195804595947203</v>
      </c>
      <c r="N426" s="8">
        <v>30.454084396362301</v>
      </c>
      <c r="P426" s="8">
        <f t="shared" si="27"/>
        <v>38.033514261245628</v>
      </c>
      <c r="Q426">
        <v>425</v>
      </c>
      <c r="R426">
        <v>2.63207936286926</v>
      </c>
      <c r="S426">
        <v>10.649730682373001</v>
      </c>
      <c r="U426">
        <v>425</v>
      </c>
      <c r="V426">
        <v>26.525774002075099</v>
      </c>
      <c r="W426">
        <v>10.7349071502685</v>
      </c>
      <c r="Y426">
        <v>425</v>
      </c>
      <c r="Z426">
        <v>8.8756608963012695</v>
      </c>
      <c r="AA426">
        <v>10.752102851867599</v>
      </c>
    </row>
    <row r="427" spans="1:27" x14ac:dyDescent="0.25">
      <c r="A427" s="8">
        <f t="shared" si="24"/>
        <v>426</v>
      </c>
      <c r="B427" s="8">
        <f t="shared" si="25"/>
        <v>1</v>
      </c>
      <c r="C427" s="8">
        <f t="shared" si="26"/>
        <v>40.413344383239505</v>
      </c>
      <c r="D427" s="8">
        <v>426</v>
      </c>
      <c r="E427" s="8">
        <v>13.7483663558959</v>
      </c>
      <c r="F427" s="8">
        <v>54.766239166259702</v>
      </c>
      <c r="G427" s="8"/>
      <c r="H427" s="8">
        <v>426</v>
      </c>
      <c r="I427" s="8">
        <v>14.248516082763601</v>
      </c>
      <c r="J427" s="8">
        <v>56.876922607421797</v>
      </c>
      <c r="K427" s="8"/>
      <c r="L427" s="8">
        <v>426</v>
      </c>
      <c r="M427" s="8">
        <v>12.41646194458</v>
      </c>
      <c r="N427" s="8">
        <v>55.739963531494098</v>
      </c>
      <c r="P427" s="8">
        <f t="shared" si="27"/>
        <v>136.69350433349601</v>
      </c>
      <c r="Q427">
        <v>426</v>
      </c>
      <c r="R427">
        <v>17.490806579589801</v>
      </c>
      <c r="S427">
        <v>28.672830581665</v>
      </c>
      <c r="U427">
        <v>426</v>
      </c>
      <c r="V427">
        <v>85.733695983886705</v>
      </c>
      <c r="W427">
        <v>29.684612274169901</v>
      </c>
      <c r="Y427">
        <v>426</v>
      </c>
      <c r="Z427">
        <v>33.469001770019503</v>
      </c>
      <c r="AA427">
        <v>30.2195720672607</v>
      </c>
    </row>
    <row r="428" spans="1:27" x14ac:dyDescent="0.25">
      <c r="A428" s="8">
        <f t="shared" si="24"/>
        <v>427</v>
      </c>
      <c r="B428" s="8">
        <f t="shared" si="25"/>
        <v>1</v>
      </c>
      <c r="C428" s="8">
        <f t="shared" si="26"/>
        <v>38.648345947265497</v>
      </c>
      <c r="D428" s="8">
        <v>427</v>
      </c>
      <c r="E428" s="8">
        <v>14.445692062377899</v>
      </c>
      <c r="F428" s="8">
        <v>54.612686157226499</v>
      </c>
      <c r="G428" s="8"/>
      <c r="H428" s="8">
        <v>427</v>
      </c>
      <c r="I428" s="8">
        <v>14.176658630371</v>
      </c>
      <c r="J428" s="8">
        <v>56.250892639160099</v>
      </c>
      <c r="K428" s="8"/>
      <c r="L428" s="8">
        <v>427</v>
      </c>
      <c r="M428" s="8">
        <v>10.0259952545166</v>
      </c>
      <c r="N428" s="8">
        <v>55.284633636474602</v>
      </c>
      <c r="P428" s="8">
        <f t="shared" si="27"/>
        <v>123.73657608032211</v>
      </c>
      <c r="Q428">
        <v>427</v>
      </c>
      <c r="R428">
        <v>17.881145477294901</v>
      </c>
      <c r="S428">
        <v>27.390445709228501</v>
      </c>
      <c r="U428">
        <v>427</v>
      </c>
      <c r="V428">
        <v>81.034149169921804</v>
      </c>
      <c r="W428">
        <v>28.070371627807599</v>
      </c>
      <c r="Y428">
        <v>427</v>
      </c>
      <c r="Z428">
        <v>24.821281433105401</v>
      </c>
      <c r="AA428">
        <v>27.894281387329102</v>
      </c>
    </row>
    <row r="429" spans="1:27" x14ac:dyDescent="0.25">
      <c r="A429" s="8">
        <f t="shared" si="24"/>
        <v>428</v>
      </c>
      <c r="B429" s="8">
        <f t="shared" si="25"/>
        <v>1</v>
      </c>
      <c r="C429" s="8">
        <f t="shared" si="26"/>
        <v>115.2230911254882</v>
      </c>
      <c r="D429" s="8">
        <v>428</v>
      </c>
      <c r="E429" s="8">
        <v>42.827190399169901</v>
      </c>
      <c r="F429" s="8">
        <v>40.673999786376903</v>
      </c>
      <c r="G429" s="8"/>
      <c r="H429" s="8">
        <v>428</v>
      </c>
      <c r="I429" s="8">
        <v>41.935462951660099</v>
      </c>
      <c r="J429" s="8">
        <v>43.13814163208</v>
      </c>
      <c r="K429" s="8"/>
      <c r="L429" s="8">
        <v>428</v>
      </c>
      <c r="M429" s="8">
        <v>30.4604377746582</v>
      </c>
      <c r="N429" s="8">
        <v>42.119922637939403</v>
      </c>
      <c r="P429" s="8">
        <f t="shared" si="27"/>
        <v>13.151282310485829</v>
      </c>
      <c r="Q429">
        <v>428</v>
      </c>
      <c r="R429">
        <v>2.7256410121917698</v>
      </c>
      <c r="S429">
        <v>20.1186408996582</v>
      </c>
      <c r="U429">
        <v>428</v>
      </c>
      <c r="V429">
        <v>8.0923080444335902</v>
      </c>
      <c r="W429">
        <v>20.247936248779201</v>
      </c>
      <c r="Y429">
        <v>428</v>
      </c>
      <c r="Z429">
        <v>2.3333332538604701</v>
      </c>
      <c r="AA429">
        <v>20.2078437805175</v>
      </c>
    </row>
    <row r="430" spans="1:27" x14ac:dyDescent="0.25">
      <c r="A430" s="8">
        <f t="shared" si="24"/>
        <v>429</v>
      </c>
      <c r="B430" s="8">
        <f t="shared" si="25"/>
        <v>1</v>
      </c>
      <c r="C430" s="8">
        <f t="shared" si="26"/>
        <v>343.47450256347611</v>
      </c>
      <c r="D430" s="8">
        <v>429</v>
      </c>
      <c r="E430" s="8">
        <v>130.78466796875</v>
      </c>
      <c r="F430" s="8">
        <v>66.846199035644503</v>
      </c>
      <c r="G430" s="8"/>
      <c r="H430" s="8">
        <v>429</v>
      </c>
      <c r="I430" s="8">
        <v>121.449325561523</v>
      </c>
      <c r="J430" s="8">
        <v>68.898483276367102</v>
      </c>
      <c r="K430" s="8"/>
      <c r="L430" s="8">
        <v>429</v>
      </c>
      <c r="M430" s="8">
        <v>91.240509033203097</v>
      </c>
      <c r="N430" s="8">
        <v>67.8812255859375</v>
      </c>
      <c r="P430" s="8">
        <f t="shared" si="27"/>
        <v>47.495841979980369</v>
      </c>
      <c r="Q430">
        <v>429</v>
      </c>
      <c r="R430">
        <v>7.0173559188842702</v>
      </c>
      <c r="S430">
        <v>15.685401916503899</v>
      </c>
      <c r="U430">
        <v>429</v>
      </c>
      <c r="V430">
        <v>28.656560897827099</v>
      </c>
      <c r="W430">
        <v>15.948758125305099</v>
      </c>
      <c r="Y430">
        <v>429</v>
      </c>
      <c r="Z430">
        <v>11.821925163269</v>
      </c>
      <c r="AA430">
        <v>16.1791591644287</v>
      </c>
    </row>
    <row r="431" spans="1:27" x14ac:dyDescent="0.25">
      <c r="A431" s="8">
        <f t="shared" si="24"/>
        <v>430</v>
      </c>
      <c r="B431" s="8">
        <f t="shared" si="25"/>
        <v>1</v>
      </c>
      <c r="C431" s="8">
        <f t="shared" si="26"/>
        <v>112.1562309265135</v>
      </c>
      <c r="D431" s="8">
        <v>430</v>
      </c>
      <c r="E431" s="8">
        <v>41.625514984130803</v>
      </c>
      <c r="F431" s="8">
        <v>35.484539031982401</v>
      </c>
      <c r="G431" s="8"/>
      <c r="H431" s="8">
        <v>430</v>
      </c>
      <c r="I431" s="8">
        <v>43.082073211669901</v>
      </c>
      <c r="J431" s="8">
        <v>36.418796539306598</v>
      </c>
      <c r="K431" s="8"/>
      <c r="L431" s="8">
        <v>430</v>
      </c>
      <c r="M431" s="8">
        <v>27.448642730712798</v>
      </c>
      <c r="N431" s="8">
        <v>36.011440277099602</v>
      </c>
      <c r="P431" s="8">
        <f t="shared" si="27"/>
        <v>15.953831434249841</v>
      </c>
      <c r="Q431">
        <v>430</v>
      </c>
      <c r="R431">
        <v>1.76555395126342</v>
      </c>
      <c r="S431">
        <v>27.076560974121001</v>
      </c>
      <c r="U431">
        <v>430</v>
      </c>
      <c r="V431">
        <v>11.1309595108032</v>
      </c>
      <c r="W431">
        <v>27.408767700195298</v>
      </c>
      <c r="Y431">
        <v>430</v>
      </c>
      <c r="Z431">
        <v>3.05731797218322</v>
      </c>
      <c r="AA431">
        <v>27.5308303833007</v>
      </c>
    </row>
    <row r="432" spans="1:27" x14ac:dyDescent="0.25">
      <c r="A432" s="8">
        <f t="shared" si="24"/>
        <v>431</v>
      </c>
      <c r="B432" s="8">
        <f t="shared" si="25"/>
        <v>1</v>
      </c>
      <c r="C432" s="8">
        <f t="shared" si="26"/>
        <v>193.96805953979481</v>
      </c>
      <c r="D432" s="8">
        <v>431</v>
      </c>
      <c r="E432" s="8">
        <v>67.765846252441406</v>
      </c>
      <c r="F432" s="8">
        <v>35.412281036376903</v>
      </c>
      <c r="G432" s="8"/>
      <c r="H432" s="8">
        <v>431</v>
      </c>
      <c r="I432" s="8">
        <v>70.805824279785099</v>
      </c>
      <c r="J432" s="8">
        <v>36.183143615722599</v>
      </c>
      <c r="K432" s="8"/>
      <c r="L432" s="8">
        <v>431</v>
      </c>
      <c r="M432" s="8">
        <v>55.396389007568303</v>
      </c>
      <c r="N432" s="8">
        <v>35.754196166992102</v>
      </c>
      <c r="P432" s="8">
        <f t="shared" si="27"/>
        <v>27.254526376724172</v>
      </c>
      <c r="Q432">
        <v>431</v>
      </c>
      <c r="R432">
        <v>4.25483846664428</v>
      </c>
      <c r="S432">
        <v>24.7830791473388</v>
      </c>
      <c r="U432">
        <v>431</v>
      </c>
      <c r="V432">
        <v>19.118778228759702</v>
      </c>
      <c r="W432">
        <v>25.1207180023193</v>
      </c>
      <c r="Y432">
        <v>431</v>
      </c>
      <c r="Z432">
        <v>3.88090968132019</v>
      </c>
      <c r="AA432">
        <v>25.383668899536101</v>
      </c>
    </row>
    <row r="433" spans="1:27" x14ac:dyDescent="0.25">
      <c r="A433" s="8">
        <f t="shared" si="24"/>
        <v>432</v>
      </c>
      <c r="B433" s="8">
        <f t="shared" si="25"/>
        <v>1</v>
      </c>
      <c r="C433" s="8">
        <f t="shared" si="26"/>
        <v>64.248525619506694</v>
      </c>
      <c r="D433" s="8">
        <v>432</v>
      </c>
      <c r="E433" s="8">
        <v>24.600519180297798</v>
      </c>
      <c r="F433" s="8">
        <v>50.9956245422363</v>
      </c>
      <c r="G433" s="8"/>
      <c r="H433" s="8">
        <v>432</v>
      </c>
      <c r="I433" s="8">
        <v>25.0861511230468</v>
      </c>
      <c r="J433" s="8">
        <v>51.941074371337798</v>
      </c>
      <c r="K433" s="8"/>
      <c r="L433" s="8">
        <v>432</v>
      </c>
      <c r="M433" s="8">
        <v>14.5618553161621</v>
      </c>
      <c r="N433" s="8">
        <v>51.4801635742187</v>
      </c>
      <c r="P433" s="8">
        <f t="shared" si="27"/>
        <v>2.79285728931427</v>
      </c>
      <c r="Q433">
        <v>432</v>
      </c>
      <c r="R433">
        <v>0</v>
      </c>
      <c r="S433">
        <v>50.814453125</v>
      </c>
      <c r="U433">
        <v>432</v>
      </c>
      <c r="V433">
        <v>1.54285728931427</v>
      </c>
      <c r="W433">
        <v>50.681224822997997</v>
      </c>
      <c r="Y433">
        <v>432</v>
      </c>
      <c r="Z433">
        <v>1.25</v>
      </c>
      <c r="AA433">
        <v>50.381233215332003</v>
      </c>
    </row>
    <row r="434" spans="1:27" x14ac:dyDescent="0.25">
      <c r="A434" s="8">
        <f t="shared" si="24"/>
        <v>433</v>
      </c>
      <c r="B434" s="8">
        <f t="shared" si="25"/>
        <v>1</v>
      </c>
      <c r="C434" s="8">
        <f t="shared" si="26"/>
        <v>64.248525619506694</v>
      </c>
      <c r="D434" s="8">
        <v>433</v>
      </c>
      <c r="E434" s="8">
        <v>24.600519180297798</v>
      </c>
      <c r="F434" s="8">
        <v>50.9956245422363</v>
      </c>
      <c r="G434" s="8"/>
      <c r="H434" s="8">
        <v>433</v>
      </c>
      <c r="I434" s="8">
        <v>25.0861511230468</v>
      </c>
      <c r="J434" s="8">
        <v>51.941074371337798</v>
      </c>
      <c r="K434" s="8"/>
      <c r="L434" s="8">
        <v>433</v>
      </c>
      <c r="M434" s="8">
        <v>14.5618553161621</v>
      </c>
      <c r="N434" s="8">
        <v>51.4801635742187</v>
      </c>
      <c r="P434" s="8">
        <f t="shared" si="27"/>
        <v>2.9833333492279053</v>
      </c>
      <c r="Q434">
        <v>433</v>
      </c>
      <c r="R434">
        <v>0</v>
      </c>
      <c r="S434">
        <v>52.565158843994098</v>
      </c>
      <c r="U434">
        <v>433</v>
      </c>
      <c r="V434">
        <v>2</v>
      </c>
      <c r="W434">
        <v>54.0313720703125</v>
      </c>
      <c r="Y434">
        <v>433</v>
      </c>
      <c r="Z434">
        <v>0.98333334922790505</v>
      </c>
      <c r="AA434">
        <v>55.503578186035099</v>
      </c>
    </row>
    <row r="435" spans="1:27" x14ac:dyDescent="0.25">
      <c r="A435" s="8">
        <f t="shared" si="24"/>
        <v>434</v>
      </c>
      <c r="B435" s="8">
        <f t="shared" si="25"/>
        <v>1</v>
      </c>
      <c r="C435" s="8">
        <f t="shared" si="26"/>
        <v>203.19301986694319</v>
      </c>
      <c r="D435" s="8">
        <v>434</v>
      </c>
      <c r="E435" s="8">
        <v>74.042327880859304</v>
      </c>
      <c r="F435" s="8">
        <v>45.612998962402301</v>
      </c>
      <c r="G435" s="8"/>
      <c r="H435" s="8">
        <v>434</v>
      </c>
      <c r="I435" s="8">
        <v>80.201690673828097</v>
      </c>
      <c r="J435" s="8">
        <v>46.461360931396399</v>
      </c>
      <c r="K435" s="8"/>
      <c r="L435" s="8">
        <v>434</v>
      </c>
      <c r="M435" s="8">
        <v>48.949001312255803</v>
      </c>
      <c r="N435" s="8">
        <v>46.015697479247997</v>
      </c>
      <c r="P435" s="8">
        <f t="shared" si="27"/>
        <v>17.859095335006682</v>
      </c>
      <c r="Q435">
        <v>434</v>
      </c>
      <c r="R435">
        <v>2.6463763713836599</v>
      </c>
      <c r="S435">
        <v>19.9600296020507</v>
      </c>
      <c r="U435">
        <v>434</v>
      </c>
      <c r="V435">
        <v>12.904344558715801</v>
      </c>
      <c r="W435">
        <v>19.977582931518501</v>
      </c>
      <c r="Y435">
        <v>434</v>
      </c>
      <c r="Z435">
        <v>2.3083744049072199</v>
      </c>
      <c r="AA435">
        <v>20.1297588348388</v>
      </c>
    </row>
    <row r="436" spans="1:27" x14ac:dyDescent="0.25">
      <c r="A436" s="8">
        <f t="shared" si="24"/>
        <v>435</v>
      </c>
      <c r="B436" s="8">
        <f t="shared" si="25"/>
        <v>1</v>
      </c>
      <c r="C436" s="8">
        <f t="shared" si="26"/>
        <v>386.04405975341604</v>
      </c>
      <c r="D436" s="8">
        <v>435</v>
      </c>
      <c r="E436" s="8">
        <v>138.53753662109301</v>
      </c>
      <c r="F436" s="8">
        <v>44.3121948242187</v>
      </c>
      <c r="G436" s="8"/>
      <c r="H436" s="8">
        <v>435</v>
      </c>
      <c r="I436" s="8">
        <v>132.61346435546801</v>
      </c>
      <c r="J436" s="8">
        <v>45.660442352294901</v>
      </c>
      <c r="K436" s="8"/>
      <c r="L436" s="8">
        <v>435</v>
      </c>
      <c r="M436" s="8">
        <v>114.893058776855</v>
      </c>
      <c r="N436" s="8">
        <v>45.009880065917898</v>
      </c>
      <c r="P436" s="8">
        <f t="shared" si="27"/>
        <v>35.015198707580488</v>
      </c>
      <c r="Q436">
        <v>435</v>
      </c>
      <c r="R436">
        <v>4.4147701263427699</v>
      </c>
      <c r="S436">
        <v>17.6939888000488</v>
      </c>
      <c r="U436">
        <v>435</v>
      </c>
      <c r="V436">
        <v>20.824199676513601</v>
      </c>
      <c r="W436">
        <v>17.8003234863281</v>
      </c>
      <c r="Y436">
        <v>435</v>
      </c>
      <c r="Z436">
        <v>9.7762289047241193</v>
      </c>
      <c r="AA436">
        <v>17.771770477294901</v>
      </c>
    </row>
    <row r="437" spans="1:27" x14ac:dyDescent="0.25">
      <c r="A437" s="8">
        <f t="shared" si="24"/>
        <v>436</v>
      </c>
      <c r="B437" s="8">
        <f t="shared" si="25"/>
        <v>1</v>
      </c>
      <c r="C437" s="8">
        <f t="shared" si="26"/>
        <v>293.04457855224558</v>
      </c>
      <c r="D437" s="8">
        <v>436</v>
      </c>
      <c r="E437" s="8">
        <v>106.281211853027</v>
      </c>
      <c r="F437" s="8">
        <v>43.207645416259702</v>
      </c>
      <c r="G437" s="8"/>
      <c r="H437" s="8">
        <v>436</v>
      </c>
      <c r="I437" s="8">
        <v>110.16567230224599</v>
      </c>
      <c r="J437" s="8">
        <v>44.6473388671875</v>
      </c>
      <c r="K437" s="8"/>
      <c r="L437" s="8">
        <v>436</v>
      </c>
      <c r="M437" s="8">
        <v>76.597694396972599</v>
      </c>
      <c r="N437" s="8">
        <v>43.953525543212798</v>
      </c>
      <c r="P437" s="8">
        <f t="shared" si="27"/>
        <v>32.412612438201819</v>
      </c>
      <c r="Q437">
        <v>436</v>
      </c>
      <c r="R437">
        <v>2.0230350494384699</v>
      </c>
      <c r="S437">
        <v>38.781883239746001</v>
      </c>
      <c r="U437">
        <v>436</v>
      </c>
      <c r="V437">
        <v>24.261100769042901</v>
      </c>
      <c r="W437">
        <v>39.368629455566399</v>
      </c>
      <c r="Y437">
        <v>436</v>
      </c>
      <c r="Z437">
        <v>6.1284766197204501</v>
      </c>
      <c r="AA437">
        <v>39.724651336669901</v>
      </c>
    </row>
    <row r="438" spans="1:27" x14ac:dyDescent="0.25">
      <c r="A438" s="8">
        <f t="shared" si="24"/>
        <v>437</v>
      </c>
      <c r="B438" s="8">
        <f t="shared" si="25"/>
        <v>1</v>
      </c>
      <c r="C438" s="8">
        <f t="shared" si="26"/>
        <v>58.253034591674705</v>
      </c>
      <c r="D438" s="8">
        <v>437</v>
      </c>
      <c r="E438" s="8">
        <v>18.9569091796875</v>
      </c>
      <c r="F438" s="8">
        <v>49.347316741943303</v>
      </c>
      <c r="G438" s="8"/>
      <c r="H438" s="8">
        <v>437</v>
      </c>
      <c r="I438" s="8">
        <v>22.958555221557599</v>
      </c>
      <c r="J438" s="8">
        <v>50.6289672851562</v>
      </c>
      <c r="K438" s="8"/>
      <c r="L438" s="8">
        <v>437</v>
      </c>
      <c r="M438" s="8">
        <v>16.337570190429599</v>
      </c>
      <c r="N438" s="8">
        <v>49.790096282958899</v>
      </c>
      <c r="P438" s="8">
        <f t="shared" si="27"/>
        <v>36.349999904632512</v>
      </c>
      <c r="Q438">
        <v>437</v>
      </c>
      <c r="R438">
        <v>6.0999999046325604</v>
      </c>
      <c r="S438">
        <v>22.999082565307599</v>
      </c>
      <c r="U438">
        <v>437</v>
      </c>
      <c r="V438">
        <v>21.8666667938232</v>
      </c>
      <c r="W438">
        <v>22.770362854003899</v>
      </c>
      <c r="Y438">
        <v>437</v>
      </c>
      <c r="Z438">
        <v>8.3833332061767507</v>
      </c>
      <c r="AA438">
        <v>22.730869293212798</v>
      </c>
    </row>
    <row r="439" spans="1:27" x14ac:dyDescent="0.25">
      <c r="A439" s="8">
        <f t="shared" si="24"/>
        <v>438</v>
      </c>
      <c r="B439" s="8">
        <f t="shared" si="25"/>
        <v>1</v>
      </c>
      <c r="C439" s="8">
        <f t="shared" si="26"/>
        <v>358.7205581665026</v>
      </c>
      <c r="D439" s="8">
        <v>438</v>
      </c>
      <c r="E439" s="8">
        <v>122.73519897460901</v>
      </c>
      <c r="F439" s="8">
        <v>46.707683563232401</v>
      </c>
      <c r="G439" s="8"/>
      <c r="H439" s="8">
        <v>438</v>
      </c>
      <c r="I439" s="8">
        <v>140.39254760742099</v>
      </c>
      <c r="J439" s="8">
        <v>48.0621948242187</v>
      </c>
      <c r="K439" s="8"/>
      <c r="L439" s="8">
        <v>438</v>
      </c>
      <c r="M439" s="8">
        <v>95.592811584472599</v>
      </c>
      <c r="N439" s="8">
        <v>47.185523986816399</v>
      </c>
      <c r="P439" s="8">
        <f t="shared" si="27"/>
        <v>6.7071429491042913</v>
      </c>
      <c r="Q439">
        <v>438</v>
      </c>
      <c r="R439">
        <v>0.77499997615814198</v>
      </c>
      <c r="S439">
        <v>45.016506195068303</v>
      </c>
      <c r="U439">
        <v>438</v>
      </c>
      <c r="V439">
        <v>3.8321430683135902</v>
      </c>
      <c r="W439">
        <v>44.559207916259702</v>
      </c>
      <c r="Y439">
        <v>438</v>
      </c>
      <c r="Z439">
        <v>2.0999999046325599</v>
      </c>
      <c r="AA439">
        <v>44.379917144775298</v>
      </c>
    </row>
    <row r="440" spans="1:27" x14ac:dyDescent="0.25">
      <c r="A440" s="8">
        <f t="shared" si="24"/>
        <v>439</v>
      </c>
      <c r="B440" s="8">
        <f t="shared" si="25"/>
        <v>1</v>
      </c>
      <c r="C440" s="8">
        <f t="shared" si="26"/>
        <v>28.275075912475497</v>
      </c>
      <c r="D440" s="8">
        <v>439</v>
      </c>
      <c r="E440" s="8">
        <v>9.9038820266723597</v>
      </c>
      <c r="F440" s="8">
        <v>47.688831329345703</v>
      </c>
      <c r="G440" s="8"/>
      <c r="H440" s="8">
        <v>439</v>
      </c>
      <c r="I440" s="8">
        <v>11.0095958709716</v>
      </c>
      <c r="J440" s="8">
        <v>48.759536743163999</v>
      </c>
      <c r="K440" s="8"/>
      <c r="L440" s="8">
        <v>439</v>
      </c>
      <c r="M440" s="8">
        <v>7.3615980148315403</v>
      </c>
      <c r="N440" s="8">
        <v>48.282821655273402</v>
      </c>
      <c r="P440" s="8">
        <f t="shared" si="27"/>
        <v>22.17519330978385</v>
      </c>
      <c r="Q440">
        <v>439</v>
      </c>
      <c r="R440">
        <v>3.3892064094543399</v>
      </c>
      <c r="S440">
        <v>39.725425720214801</v>
      </c>
      <c r="U440">
        <v>439</v>
      </c>
      <c r="V440">
        <v>12.4629707336425</v>
      </c>
      <c r="W440">
        <v>40.400028228759702</v>
      </c>
      <c r="Y440">
        <v>439</v>
      </c>
      <c r="Z440">
        <v>6.3230161666870099</v>
      </c>
      <c r="AA440">
        <v>41.169929504394503</v>
      </c>
    </row>
    <row r="441" spans="1:27" x14ac:dyDescent="0.25">
      <c r="A441" s="8">
        <f t="shared" si="24"/>
        <v>440</v>
      </c>
      <c r="B441" s="8">
        <f t="shared" si="25"/>
        <v>1</v>
      </c>
      <c r="C441" s="8">
        <f t="shared" si="26"/>
        <v>144.44390106201161</v>
      </c>
      <c r="D441" s="8">
        <v>440</v>
      </c>
      <c r="E441" s="8">
        <v>50.049232482910099</v>
      </c>
      <c r="F441" s="8">
        <v>45.217788696288999</v>
      </c>
      <c r="G441" s="8"/>
      <c r="H441" s="8">
        <v>440</v>
      </c>
      <c r="I441" s="8">
        <v>56.323009490966797</v>
      </c>
      <c r="J441" s="8">
        <v>46.262172698974602</v>
      </c>
      <c r="K441" s="8"/>
      <c r="L441" s="8">
        <v>440</v>
      </c>
      <c r="M441" s="8">
        <v>38.071659088134702</v>
      </c>
      <c r="N441" s="8">
        <v>45.797267913818303</v>
      </c>
      <c r="P441" s="8">
        <f t="shared" si="27"/>
        <v>37.469705343246453</v>
      </c>
      <c r="Q441">
        <v>440</v>
      </c>
      <c r="R441">
        <v>2.4332211017608598</v>
      </c>
      <c r="S441">
        <v>47.6673774719238</v>
      </c>
      <c r="U441">
        <v>440</v>
      </c>
      <c r="V441">
        <v>27.450067520141602</v>
      </c>
      <c r="W441">
        <v>48.250732421875</v>
      </c>
      <c r="Y441">
        <v>440</v>
      </c>
      <c r="Z441">
        <v>7.5864167213439897</v>
      </c>
      <c r="AA441">
        <v>48.630908966064403</v>
      </c>
    </row>
    <row r="442" spans="1:27" x14ac:dyDescent="0.25">
      <c r="A442" s="8">
        <f t="shared" si="24"/>
        <v>441</v>
      </c>
      <c r="B442" s="8">
        <f t="shared" si="25"/>
        <v>1</v>
      </c>
      <c r="C442" s="8">
        <f t="shared" si="26"/>
        <v>0.4822403788566581</v>
      </c>
      <c r="D442" s="8">
        <v>441</v>
      </c>
      <c r="E442" s="8">
        <v>0.292254298925399</v>
      </c>
      <c r="F442" s="8">
        <v>13.662440299987701</v>
      </c>
      <c r="G442" s="8"/>
      <c r="H442" s="8">
        <v>441</v>
      </c>
      <c r="I442" s="8">
        <v>9.3013599514961201E-2</v>
      </c>
      <c r="J442" s="8">
        <v>13.9220714569091</v>
      </c>
      <c r="K442" s="8"/>
      <c r="L442" s="8">
        <v>441</v>
      </c>
      <c r="M442" s="8">
        <v>9.6972480416297899E-2</v>
      </c>
      <c r="N442" s="8">
        <v>13.854620933532701</v>
      </c>
      <c r="P442" s="8">
        <f t="shared" si="27"/>
        <v>6.2844527959823493</v>
      </c>
      <c r="Q442">
        <v>441</v>
      </c>
      <c r="R442">
        <v>2.1146821975707999</v>
      </c>
      <c r="S442">
        <v>13.626426696777299</v>
      </c>
      <c r="U442">
        <v>441</v>
      </c>
      <c r="V442">
        <v>3.0516040325164702</v>
      </c>
      <c r="W442">
        <v>13.743140220641999</v>
      </c>
      <c r="Y442">
        <v>441</v>
      </c>
      <c r="Z442">
        <v>1.1181665658950799</v>
      </c>
      <c r="AA442">
        <v>13.6359043121337</v>
      </c>
    </row>
    <row r="443" spans="1:27" x14ac:dyDescent="0.25">
      <c r="A443" s="8">
        <f t="shared" si="24"/>
        <v>442</v>
      </c>
      <c r="B443" s="8">
        <f t="shared" si="25"/>
        <v>1</v>
      </c>
      <c r="C443" s="8">
        <f t="shared" si="26"/>
        <v>13.93447971343992</v>
      </c>
      <c r="D443" s="8">
        <v>442</v>
      </c>
      <c r="E443" s="8">
        <v>5.3119382858276296</v>
      </c>
      <c r="F443" s="8">
        <v>20.060480117797798</v>
      </c>
      <c r="G443" s="8"/>
      <c r="H443" s="8">
        <v>442</v>
      </c>
      <c r="I443" s="8">
        <v>5.0305814743041903</v>
      </c>
      <c r="J443" s="8">
        <v>20.923780441284102</v>
      </c>
      <c r="K443" s="8"/>
      <c r="L443" s="8">
        <v>442</v>
      </c>
      <c r="M443" s="8">
        <v>3.5919599533081001</v>
      </c>
      <c r="N443" s="8">
        <v>20.6171550750732</v>
      </c>
      <c r="P443" s="8">
        <f t="shared" si="27"/>
        <v>17.445385694503678</v>
      </c>
      <c r="Q443">
        <v>442</v>
      </c>
      <c r="R443">
        <v>2.3363635540008501</v>
      </c>
      <c r="S443">
        <v>25.131097793579102</v>
      </c>
      <c r="U443">
        <v>442</v>
      </c>
      <c r="V443">
        <v>11.035789489746</v>
      </c>
      <c r="W443">
        <v>25.3213195800781</v>
      </c>
      <c r="Y443">
        <v>442</v>
      </c>
      <c r="Z443">
        <v>4.0732326507568297</v>
      </c>
      <c r="AA443">
        <v>25.371187210083001</v>
      </c>
    </row>
    <row r="444" spans="1:27" x14ac:dyDescent="0.25">
      <c r="A444" s="8">
        <f t="shared" si="24"/>
        <v>443</v>
      </c>
      <c r="B444" s="8">
        <f t="shared" si="25"/>
        <v>1</v>
      </c>
      <c r="C444" s="8">
        <f t="shared" si="26"/>
        <v>13.93447971343992</v>
      </c>
      <c r="D444" s="8">
        <v>443</v>
      </c>
      <c r="E444" s="8">
        <v>5.3119382858276296</v>
      </c>
      <c r="F444" s="8">
        <v>20.060480117797798</v>
      </c>
      <c r="G444" s="8"/>
      <c r="H444" s="8">
        <v>443</v>
      </c>
      <c r="I444" s="8">
        <v>5.0305814743041903</v>
      </c>
      <c r="J444" s="8">
        <v>20.923780441284102</v>
      </c>
      <c r="K444" s="8"/>
      <c r="L444" s="8">
        <v>443</v>
      </c>
      <c r="M444" s="8">
        <v>3.5919599533081001</v>
      </c>
      <c r="N444" s="8">
        <v>20.6171550750732</v>
      </c>
      <c r="P444" s="8">
        <f t="shared" si="27"/>
        <v>19.331183433532619</v>
      </c>
      <c r="Q444">
        <v>443</v>
      </c>
      <c r="R444">
        <v>4.11925840377807</v>
      </c>
      <c r="S444">
        <v>25.133190155029201</v>
      </c>
      <c r="U444">
        <v>443</v>
      </c>
      <c r="V444">
        <v>12.878591537475501</v>
      </c>
      <c r="W444">
        <v>25.260066986083899</v>
      </c>
      <c r="Y444">
        <v>443</v>
      </c>
      <c r="Z444">
        <v>2.3333334922790501</v>
      </c>
      <c r="AA444">
        <v>25.400127410888601</v>
      </c>
    </row>
    <row r="445" spans="1:27" x14ac:dyDescent="0.25">
      <c r="A445" s="8">
        <f t="shared" si="24"/>
        <v>444</v>
      </c>
      <c r="B445" s="8">
        <f t="shared" si="25"/>
        <v>1</v>
      </c>
      <c r="C445" s="8">
        <f t="shared" si="26"/>
        <v>202.39721298217762</v>
      </c>
      <c r="D445" s="8">
        <v>444</v>
      </c>
      <c r="E445" s="8">
        <v>77.996818542480398</v>
      </c>
      <c r="F445" s="8">
        <v>67.169898986816406</v>
      </c>
      <c r="G445" s="8"/>
      <c r="H445" s="8">
        <v>444</v>
      </c>
      <c r="I445" s="8">
        <v>69.90771484375</v>
      </c>
      <c r="J445" s="8">
        <v>71.502014160156193</v>
      </c>
      <c r="K445" s="8"/>
      <c r="L445" s="8">
        <v>444</v>
      </c>
      <c r="M445" s="8">
        <v>54.492679595947202</v>
      </c>
      <c r="N445" s="8">
        <v>67.1217041015625</v>
      </c>
      <c r="P445" s="8">
        <f t="shared" si="27"/>
        <v>0</v>
      </c>
      <c r="Q445">
        <v>444</v>
      </c>
      <c r="R445">
        <v>0</v>
      </c>
      <c r="S445">
        <v>7.0898876190185502</v>
      </c>
      <c r="U445">
        <v>444</v>
      </c>
      <c r="V445">
        <v>0</v>
      </c>
      <c r="W445">
        <v>7.0505924224853498</v>
      </c>
      <c r="Y445">
        <v>444</v>
      </c>
      <c r="Z445">
        <v>0</v>
      </c>
      <c r="AA445">
        <v>7.0367541313171298</v>
      </c>
    </row>
    <row r="446" spans="1:27" x14ac:dyDescent="0.25">
      <c r="A446" s="8">
        <f t="shared" si="24"/>
        <v>445</v>
      </c>
      <c r="B446" s="8">
        <f t="shared" si="25"/>
        <v>1</v>
      </c>
      <c r="C446" s="8">
        <f t="shared" si="26"/>
        <v>124.4253559112548</v>
      </c>
      <c r="D446" s="8">
        <v>445</v>
      </c>
      <c r="E446" s="8">
        <v>44.618480682372997</v>
      </c>
      <c r="F446" s="8">
        <v>36.075344085693303</v>
      </c>
      <c r="G446" s="8"/>
      <c r="H446" s="8">
        <v>445</v>
      </c>
      <c r="I446" s="8">
        <v>48.589542388916001</v>
      </c>
      <c r="J446" s="8">
        <v>36.932998657226499</v>
      </c>
      <c r="K446" s="8"/>
      <c r="L446" s="8">
        <v>445</v>
      </c>
      <c r="M446" s="8">
        <v>31.217332839965799</v>
      </c>
      <c r="N446" s="8">
        <v>36.461170196533203</v>
      </c>
      <c r="P446" s="8">
        <f t="shared" si="27"/>
        <v>23.95450592041006</v>
      </c>
      <c r="Q446">
        <v>445</v>
      </c>
      <c r="R446">
        <v>3.9011173248290998</v>
      </c>
      <c r="S446">
        <v>21.036897659301701</v>
      </c>
      <c r="U446">
        <v>445</v>
      </c>
      <c r="V446">
        <v>13.3092498779296</v>
      </c>
      <c r="W446">
        <v>21.610731124877901</v>
      </c>
      <c r="Y446">
        <v>445</v>
      </c>
      <c r="Z446">
        <v>6.7441387176513601</v>
      </c>
      <c r="AA446">
        <v>21.9934177398681</v>
      </c>
    </row>
    <row r="447" spans="1:27" x14ac:dyDescent="0.25">
      <c r="A447" s="8">
        <f t="shared" si="24"/>
        <v>446</v>
      </c>
      <c r="B447" s="8">
        <f t="shared" si="25"/>
        <v>1</v>
      </c>
      <c r="C447" s="8">
        <f t="shared" si="26"/>
        <v>251.06157684326169</v>
      </c>
      <c r="D447" s="8">
        <v>446</v>
      </c>
      <c r="E447" s="8">
        <v>90.930564880371094</v>
      </c>
      <c r="F447" s="8">
        <v>33.983222961425703</v>
      </c>
      <c r="G447" s="8"/>
      <c r="H447" s="8">
        <v>446</v>
      </c>
      <c r="I447" s="8">
        <v>90.4495849609375</v>
      </c>
      <c r="J447" s="8">
        <v>34.645824432372997</v>
      </c>
      <c r="K447" s="8"/>
      <c r="L447" s="8">
        <v>446</v>
      </c>
      <c r="M447" s="8">
        <v>69.681427001953097</v>
      </c>
      <c r="N447" s="8">
        <v>34.417304992675703</v>
      </c>
      <c r="P447" s="8">
        <f t="shared" si="27"/>
        <v>16.64999985694881</v>
      </c>
      <c r="Q447">
        <v>446</v>
      </c>
      <c r="R447">
        <v>2.32500004768371</v>
      </c>
      <c r="S447">
        <v>18.018457412719702</v>
      </c>
      <c r="U447">
        <v>446</v>
      </c>
      <c r="V447">
        <v>11.324999809265099</v>
      </c>
      <c r="W447">
        <v>18.046251296996999</v>
      </c>
      <c r="Y447">
        <v>446</v>
      </c>
      <c r="Z447">
        <v>3</v>
      </c>
      <c r="AA447">
        <v>17.9828586578369</v>
      </c>
    </row>
    <row r="448" spans="1:27" x14ac:dyDescent="0.25">
      <c r="A448" s="8">
        <f t="shared" si="24"/>
        <v>447</v>
      </c>
      <c r="B448" s="8">
        <f t="shared" si="25"/>
        <v>1</v>
      </c>
      <c r="C448" s="8">
        <f t="shared" si="26"/>
        <v>19.474367141723622</v>
      </c>
      <c r="D448" s="8">
        <v>447</v>
      </c>
      <c r="E448" s="8">
        <v>8.2607994079589808</v>
      </c>
      <c r="F448" s="8">
        <v>45.611351013183501</v>
      </c>
      <c r="G448" s="8"/>
      <c r="H448" s="8">
        <v>447</v>
      </c>
      <c r="I448" s="8">
        <v>6.5041117668151802</v>
      </c>
      <c r="J448" s="8">
        <v>46.478103637695298</v>
      </c>
      <c r="K448" s="8"/>
      <c r="L448" s="8">
        <v>447</v>
      </c>
      <c r="M448" s="8">
        <v>4.7094559669494602</v>
      </c>
      <c r="N448" s="8">
        <v>46.051979064941399</v>
      </c>
      <c r="P448" s="8">
        <f t="shared" si="27"/>
        <v>57.518840789794801</v>
      </c>
      <c r="Q448">
        <v>447</v>
      </c>
      <c r="R448">
        <v>10.670000076293899</v>
      </c>
      <c r="S448">
        <v>41.725212097167898</v>
      </c>
      <c r="U448">
        <v>447</v>
      </c>
      <c r="V448">
        <v>34.980968475341797</v>
      </c>
      <c r="W448">
        <v>42.438484191894503</v>
      </c>
      <c r="Y448">
        <v>447</v>
      </c>
      <c r="Z448">
        <v>11.8678722381591</v>
      </c>
      <c r="AA448">
        <v>42.820240020751903</v>
      </c>
    </row>
    <row r="449" spans="1:27" x14ac:dyDescent="0.25">
      <c r="A449" s="8">
        <f t="shared" si="24"/>
        <v>448</v>
      </c>
      <c r="B449" s="8">
        <f t="shared" si="25"/>
        <v>1</v>
      </c>
      <c r="C449" s="8">
        <f t="shared" si="26"/>
        <v>330.1487960815424</v>
      </c>
      <c r="D449" s="8">
        <v>448</v>
      </c>
      <c r="E449" s="8">
        <v>124.304306030273</v>
      </c>
      <c r="F449" s="8">
        <v>65.058876037597599</v>
      </c>
      <c r="G449" s="8"/>
      <c r="H449" s="8">
        <v>448</v>
      </c>
      <c r="I449" s="8">
        <v>114.121124267578</v>
      </c>
      <c r="J449" s="8">
        <v>66.045547485351506</v>
      </c>
      <c r="K449" s="8"/>
      <c r="L449" s="8">
        <v>448</v>
      </c>
      <c r="M449" s="8">
        <v>91.723365783691406</v>
      </c>
      <c r="N449" s="8">
        <v>65.562911987304602</v>
      </c>
      <c r="P449" s="8">
        <f t="shared" si="27"/>
        <v>17.773795604705782</v>
      </c>
      <c r="Q449">
        <v>448</v>
      </c>
      <c r="R449">
        <v>3.0677182674407901</v>
      </c>
      <c r="S449">
        <v>21.1601657867431</v>
      </c>
      <c r="U449">
        <v>448</v>
      </c>
      <c r="V449">
        <v>11.516765594482401</v>
      </c>
      <c r="W449">
        <v>21.8995456695556</v>
      </c>
      <c r="Y449">
        <v>448</v>
      </c>
      <c r="Z449">
        <v>3.1893117427825901</v>
      </c>
      <c r="AA449">
        <v>21.950311660766602</v>
      </c>
    </row>
    <row r="450" spans="1:27" x14ac:dyDescent="0.25">
      <c r="A450" s="8">
        <f t="shared" si="24"/>
        <v>449</v>
      </c>
      <c r="B450" s="8">
        <f t="shared" si="25"/>
        <v>1</v>
      </c>
      <c r="C450" s="8">
        <f t="shared" si="26"/>
        <v>598.19380187988202</v>
      </c>
      <c r="D450" s="8">
        <v>449</v>
      </c>
      <c r="E450" s="8">
        <v>213.85333251953099</v>
      </c>
      <c r="F450" s="8">
        <v>66.43994140625</v>
      </c>
      <c r="G450" s="8"/>
      <c r="H450" s="8">
        <v>449</v>
      </c>
      <c r="I450" s="8">
        <v>229.195556640625</v>
      </c>
      <c r="J450" s="8">
        <v>69.444404602050696</v>
      </c>
      <c r="K450" s="8"/>
      <c r="L450" s="8">
        <v>449</v>
      </c>
      <c r="M450" s="8">
        <v>155.14491271972599</v>
      </c>
      <c r="N450" s="8">
        <v>67.147888183593693</v>
      </c>
      <c r="P450" s="8">
        <f t="shared" si="27"/>
        <v>90.828420639037901</v>
      </c>
      <c r="Q450">
        <v>449</v>
      </c>
      <c r="R450">
        <v>18.771587371826101</v>
      </c>
      <c r="S450">
        <v>42.893272399902301</v>
      </c>
      <c r="U450">
        <v>449</v>
      </c>
      <c r="V450">
        <v>55.826835632324197</v>
      </c>
      <c r="W450">
        <v>43.869224548339801</v>
      </c>
      <c r="Y450">
        <v>449</v>
      </c>
      <c r="Z450">
        <v>16.229997634887599</v>
      </c>
      <c r="AA450">
        <v>44.135238647460902</v>
      </c>
    </row>
    <row r="451" spans="1:27" x14ac:dyDescent="0.25">
      <c r="A451" s="8">
        <f t="shared" ref="A451:A514" si="28">IF(D451="","",D451)</f>
        <v>450</v>
      </c>
      <c r="B451" s="8">
        <f t="shared" ref="B451:B514" si="29">IF(OR(D451&lt;&gt;H451,H451&lt;&gt;L451,D451&lt;&gt;L451),0,1)</f>
        <v>1</v>
      </c>
      <c r="C451" s="8">
        <f t="shared" ref="C451:C514" si="30">SUM(E451,I451,M451)</f>
        <v>110.63602638244619</v>
      </c>
      <c r="D451" s="8">
        <v>450</v>
      </c>
      <c r="E451" s="8">
        <v>43.454357147216797</v>
      </c>
      <c r="F451" s="8">
        <v>52.653873443603501</v>
      </c>
      <c r="G451" s="8"/>
      <c r="H451" s="8">
        <v>450</v>
      </c>
      <c r="I451" s="8">
        <v>45.747386932372997</v>
      </c>
      <c r="J451" s="8">
        <v>54.224529266357401</v>
      </c>
      <c r="K451" s="8"/>
      <c r="L451" s="8">
        <v>450</v>
      </c>
      <c r="M451" s="8">
        <v>21.434282302856399</v>
      </c>
      <c r="N451" s="8">
        <v>53.300533294677699</v>
      </c>
      <c r="P451" s="8">
        <f t="shared" ref="P451:P514" si="31">R451+V451+Z451</f>
        <v>24.521534919738691</v>
      </c>
      <c r="Q451">
        <v>450</v>
      </c>
      <c r="R451">
        <v>4.2188777923583896</v>
      </c>
      <c r="S451">
        <v>25.915468215942301</v>
      </c>
      <c r="U451">
        <v>450</v>
      </c>
      <c r="V451">
        <v>14.3930759429931</v>
      </c>
      <c r="W451">
        <v>26.445550918579102</v>
      </c>
      <c r="Y451">
        <v>450</v>
      </c>
      <c r="Z451">
        <v>5.9095811843871999</v>
      </c>
      <c r="AA451">
        <v>26.435491561889599</v>
      </c>
    </row>
    <row r="452" spans="1:27" x14ac:dyDescent="0.25">
      <c r="A452" s="8">
        <f t="shared" si="28"/>
        <v>451</v>
      </c>
      <c r="B452" s="8">
        <f t="shared" si="29"/>
        <v>1</v>
      </c>
      <c r="C452" s="8">
        <f t="shared" si="30"/>
        <v>92.262430191039897</v>
      </c>
      <c r="D452" s="8">
        <v>451</v>
      </c>
      <c r="E452" s="8">
        <v>41.567867279052699</v>
      </c>
      <c r="F452" s="8">
        <v>51.577293395996001</v>
      </c>
      <c r="G452" s="8"/>
      <c r="H452" s="8">
        <v>451</v>
      </c>
      <c r="I452" s="8">
        <v>30.491289138793899</v>
      </c>
      <c r="J452" s="8">
        <v>54.682193756103501</v>
      </c>
      <c r="K452" s="8"/>
      <c r="L452" s="8">
        <v>451</v>
      </c>
      <c r="M452" s="8">
        <v>20.203273773193299</v>
      </c>
      <c r="N452" s="8">
        <v>52.623802185058501</v>
      </c>
      <c r="P452" s="8">
        <f t="shared" si="31"/>
        <v>34.265389919280928</v>
      </c>
      <c r="Q452">
        <v>451</v>
      </c>
      <c r="R452">
        <v>5.7470784187316797</v>
      </c>
      <c r="S452">
        <v>27.171882629394499</v>
      </c>
      <c r="U452">
        <v>451</v>
      </c>
      <c r="V452">
        <v>19.518220901489201</v>
      </c>
      <c r="W452">
        <v>27.7632732391357</v>
      </c>
      <c r="Y452">
        <v>451</v>
      </c>
      <c r="Z452">
        <v>9.0000905990600497</v>
      </c>
      <c r="AA452">
        <v>27.867504119873001</v>
      </c>
    </row>
    <row r="453" spans="1:27" x14ac:dyDescent="0.25">
      <c r="A453" s="8">
        <f t="shared" si="28"/>
        <v>452</v>
      </c>
      <c r="B453" s="8">
        <f t="shared" si="29"/>
        <v>1</v>
      </c>
      <c r="C453" s="8">
        <f t="shared" si="30"/>
        <v>2.6841488331556289</v>
      </c>
      <c r="D453" s="8">
        <v>452</v>
      </c>
      <c r="E453" s="8">
        <v>1.7396314144134499</v>
      </c>
      <c r="F453" s="8">
        <v>19.3220310211181</v>
      </c>
      <c r="G453" s="8"/>
      <c r="H453" s="8">
        <v>452</v>
      </c>
      <c r="I453" s="8">
        <v>0.74677985906600897</v>
      </c>
      <c r="J453" s="8">
        <v>20.028734207153299</v>
      </c>
      <c r="K453" s="8"/>
      <c r="L453" s="8">
        <v>452</v>
      </c>
      <c r="M453" s="8">
        <v>0.19773755967616999</v>
      </c>
      <c r="N453" s="8">
        <v>19.598035812377901</v>
      </c>
      <c r="P453" s="8">
        <f t="shared" si="31"/>
        <v>46.30186796188336</v>
      </c>
      <c r="Q453">
        <v>452</v>
      </c>
      <c r="R453">
        <v>4.6293606758117596</v>
      </c>
      <c r="S453">
        <v>50.339286804199197</v>
      </c>
      <c r="U453">
        <v>452</v>
      </c>
      <c r="V453">
        <v>29.376661300659102</v>
      </c>
      <c r="W453">
        <v>52.085792541503899</v>
      </c>
      <c r="Y453">
        <v>452</v>
      </c>
      <c r="Z453">
        <v>12.2958459854125</v>
      </c>
      <c r="AA453">
        <v>52.997528076171797</v>
      </c>
    </row>
    <row r="454" spans="1:27" x14ac:dyDescent="0.25">
      <c r="A454" s="8">
        <f t="shared" si="28"/>
        <v>453</v>
      </c>
      <c r="B454" s="8">
        <f t="shared" si="29"/>
        <v>1</v>
      </c>
      <c r="C454" s="8">
        <f t="shared" si="30"/>
        <v>152.55244445800781</v>
      </c>
      <c r="D454" s="8">
        <v>453</v>
      </c>
      <c r="E454" s="8">
        <v>51.781227111816399</v>
      </c>
      <c r="F454" s="8">
        <v>23.287775039672798</v>
      </c>
      <c r="G454" s="8"/>
      <c r="H454" s="8">
        <v>453</v>
      </c>
      <c r="I454" s="8">
        <v>61.629749298095703</v>
      </c>
      <c r="J454" s="8">
        <v>26.2957038879394</v>
      </c>
      <c r="K454" s="8"/>
      <c r="L454" s="8">
        <v>453</v>
      </c>
      <c r="M454" s="8">
        <v>39.141468048095703</v>
      </c>
      <c r="N454" s="8">
        <v>22.901346206665</v>
      </c>
      <c r="P454" s="8">
        <f t="shared" si="31"/>
        <v>39.224618196487349</v>
      </c>
      <c r="Q454">
        <v>453</v>
      </c>
      <c r="R454">
        <v>3.9893610477447501</v>
      </c>
      <c r="S454">
        <v>46.634048461913999</v>
      </c>
      <c r="U454">
        <v>453</v>
      </c>
      <c r="V454">
        <v>23.987586975097599</v>
      </c>
      <c r="W454">
        <v>48.327789306640597</v>
      </c>
      <c r="Y454">
        <v>453</v>
      </c>
      <c r="Z454">
        <v>11.247670173645</v>
      </c>
      <c r="AA454">
        <v>48.968929290771399</v>
      </c>
    </row>
    <row r="455" spans="1:27" x14ac:dyDescent="0.25">
      <c r="A455" s="8">
        <f t="shared" si="28"/>
        <v>454</v>
      </c>
      <c r="B455" s="8">
        <f t="shared" si="29"/>
        <v>1</v>
      </c>
      <c r="C455" s="8">
        <f t="shared" si="30"/>
        <v>128.17460823059059</v>
      </c>
      <c r="D455" s="8">
        <v>454</v>
      </c>
      <c r="E455" s="8">
        <v>50.408042907714801</v>
      </c>
      <c r="F455" s="8">
        <v>63.5649604797363</v>
      </c>
      <c r="G455" s="8"/>
      <c r="H455" s="8">
        <v>454</v>
      </c>
      <c r="I455" s="8">
        <v>50.813045501708899</v>
      </c>
      <c r="J455" s="8">
        <v>64.712547302246094</v>
      </c>
      <c r="K455" s="8"/>
      <c r="L455" s="8">
        <v>454</v>
      </c>
      <c r="M455" s="8">
        <v>26.9535198211669</v>
      </c>
      <c r="N455" s="8">
        <v>64.274307250976506</v>
      </c>
      <c r="P455" s="8">
        <f t="shared" si="31"/>
        <v>81.839183807372905</v>
      </c>
      <c r="Q455">
        <v>454</v>
      </c>
      <c r="R455">
        <v>10.5608463287353</v>
      </c>
      <c r="S455">
        <v>50.103359222412102</v>
      </c>
      <c r="U455">
        <v>454</v>
      </c>
      <c r="V455">
        <v>53.977046966552699</v>
      </c>
      <c r="W455">
        <v>51.284194946288999</v>
      </c>
      <c r="Y455">
        <v>454</v>
      </c>
      <c r="Z455">
        <v>17.301290512084901</v>
      </c>
      <c r="AA455">
        <v>51.662601470947202</v>
      </c>
    </row>
    <row r="456" spans="1:27" x14ac:dyDescent="0.25">
      <c r="A456" s="8">
        <f t="shared" si="28"/>
        <v>455</v>
      </c>
      <c r="B456" s="8">
        <f t="shared" si="29"/>
        <v>1</v>
      </c>
      <c r="C456" s="8">
        <f t="shared" si="30"/>
        <v>226.18967437744132</v>
      </c>
      <c r="D456" s="8">
        <v>455</v>
      </c>
      <c r="E456" s="8">
        <v>96.508995056152301</v>
      </c>
      <c r="F456" s="8">
        <v>66.016349792480398</v>
      </c>
      <c r="G456" s="8"/>
      <c r="H456" s="8">
        <v>455</v>
      </c>
      <c r="I456" s="8">
        <v>83.981475830078097</v>
      </c>
      <c r="J456" s="8">
        <v>69.817687988281193</v>
      </c>
      <c r="K456" s="8"/>
      <c r="L456" s="8">
        <v>455</v>
      </c>
      <c r="M456" s="8">
        <v>45.699203491210902</v>
      </c>
      <c r="N456" s="8">
        <v>67.836509704589801</v>
      </c>
      <c r="P456" s="8">
        <f t="shared" si="31"/>
        <v>42.854386329650794</v>
      </c>
      <c r="Q456">
        <v>455</v>
      </c>
      <c r="R456">
        <v>5.50813436508178</v>
      </c>
      <c r="S456">
        <v>44.787376403808501</v>
      </c>
      <c r="U456">
        <v>455</v>
      </c>
      <c r="V456">
        <v>30.0327835083007</v>
      </c>
      <c r="W456">
        <v>45.8131103515625</v>
      </c>
      <c r="Y456">
        <v>455</v>
      </c>
      <c r="Z456">
        <v>7.3134684562683097</v>
      </c>
      <c r="AA456">
        <v>46.134666442871001</v>
      </c>
    </row>
    <row r="457" spans="1:27" x14ac:dyDescent="0.25">
      <c r="A457" s="8">
        <f t="shared" si="28"/>
        <v>456</v>
      </c>
      <c r="B457" s="8">
        <f t="shared" si="29"/>
        <v>1</v>
      </c>
      <c r="C457" s="8">
        <f t="shared" si="30"/>
        <v>55.679647445678604</v>
      </c>
      <c r="D457" s="8">
        <v>456</v>
      </c>
      <c r="E457" s="8">
        <v>19.478908538818299</v>
      </c>
      <c r="F457" s="8">
        <v>31.466770172119102</v>
      </c>
      <c r="G457" s="8"/>
      <c r="H457" s="8">
        <v>456</v>
      </c>
      <c r="I457" s="8">
        <v>20.4874458312988</v>
      </c>
      <c r="J457" s="8">
        <v>33.015918731689403</v>
      </c>
      <c r="K457" s="8"/>
      <c r="L457" s="8">
        <v>456</v>
      </c>
      <c r="M457" s="8">
        <v>15.7132930755615</v>
      </c>
      <c r="N457" s="8">
        <v>32.0029487609863</v>
      </c>
      <c r="P457" s="8">
        <f t="shared" si="31"/>
        <v>24.56438922882073</v>
      </c>
      <c r="Q457">
        <v>456</v>
      </c>
      <c r="R457">
        <v>4.6808791160583496</v>
      </c>
      <c r="S457">
        <v>60.813510894775298</v>
      </c>
      <c r="U457">
        <v>456</v>
      </c>
      <c r="V457">
        <v>13.326367378234799</v>
      </c>
      <c r="W457">
        <v>61.965034484863203</v>
      </c>
      <c r="Y457">
        <v>456</v>
      </c>
      <c r="Z457">
        <v>6.5571427345275799</v>
      </c>
      <c r="AA457">
        <v>63.955162048339801</v>
      </c>
    </row>
    <row r="458" spans="1:27" x14ac:dyDescent="0.25">
      <c r="A458" s="8">
        <f t="shared" si="28"/>
        <v>457</v>
      </c>
      <c r="B458" s="8">
        <f t="shared" si="29"/>
        <v>1</v>
      </c>
      <c r="C458" s="8">
        <f t="shared" si="30"/>
        <v>218.79815673828111</v>
      </c>
      <c r="D458" s="8">
        <v>457</v>
      </c>
      <c r="E458" s="8">
        <v>84.649696350097599</v>
      </c>
      <c r="F458" s="8">
        <v>72.761871337890597</v>
      </c>
      <c r="G458" s="8"/>
      <c r="H458" s="8">
        <v>457</v>
      </c>
      <c r="I458" s="8">
        <v>79.773567199707003</v>
      </c>
      <c r="J458" s="8">
        <v>74.29296875</v>
      </c>
      <c r="K458" s="8"/>
      <c r="L458" s="8">
        <v>457</v>
      </c>
      <c r="M458" s="8">
        <v>54.374893188476499</v>
      </c>
      <c r="N458" s="8">
        <v>73.517562866210895</v>
      </c>
      <c r="P458" s="8">
        <f t="shared" si="31"/>
        <v>14.861838698387142</v>
      </c>
      <c r="Q458">
        <v>457</v>
      </c>
      <c r="R458">
        <v>1.84417617321014</v>
      </c>
      <c r="S458">
        <v>63.630603790283203</v>
      </c>
      <c r="U458">
        <v>457</v>
      </c>
      <c r="V458">
        <v>8.1605195999145508</v>
      </c>
      <c r="W458">
        <v>62.3177490234375</v>
      </c>
      <c r="Y458">
        <v>457</v>
      </c>
      <c r="Z458">
        <v>4.8571429252624503</v>
      </c>
      <c r="AA458">
        <v>62.298610687255803</v>
      </c>
    </row>
    <row r="459" spans="1:27" x14ac:dyDescent="0.25">
      <c r="A459" s="8">
        <f t="shared" si="28"/>
        <v>458</v>
      </c>
      <c r="B459" s="8">
        <f t="shared" si="29"/>
        <v>1</v>
      </c>
      <c r="C459" s="8">
        <f t="shared" si="30"/>
        <v>457.75157165527196</v>
      </c>
      <c r="D459" s="8">
        <v>458</v>
      </c>
      <c r="E459" s="8">
        <v>174.67396545410099</v>
      </c>
      <c r="F459" s="8">
        <v>74.242721557617102</v>
      </c>
      <c r="G459" s="8"/>
      <c r="H459" s="8">
        <v>458</v>
      </c>
      <c r="I459" s="8">
        <v>162.041259765625</v>
      </c>
      <c r="J459" s="8">
        <v>76.711456298828097</v>
      </c>
      <c r="K459" s="8"/>
      <c r="L459" s="8">
        <v>458</v>
      </c>
      <c r="M459" s="8">
        <v>121.03634643554599</v>
      </c>
      <c r="N459" s="8">
        <v>74.946876525878906</v>
      </c>
      <c r="P459" s="8">
        <f t="shared" si="31"/>
        <v>59.465760231017889</v>
      </c>
      <c r="Q459">
        <v>458</v>
      </c>
      <c r="R459">
        <v>9.9056739807128906</v>
      </c>
      <c r="S459">
        <v>37.736942291259702</v>
      </c>
      <c r="U459">
        <v>458</v>
      </c>
      <c r="V459">
        <v>34.474910736083899</v>
      </c>
      <c r="W459">
        <v>38.757007598876903</v>
      </c>
      <c r="Y459">
        <v>458</v>
      </c>
      <c r="Z459">
        <v>15.085175514221101</v>
      </c>
      <c r="AA459">
        <v>39.235889434814403</v>
      </c>
    </row>
    <row r="460" spans="1:27" x14ac:dyDescent="0.25">
      <c r="A460" s="8">
        <f t="shared" si="28"/>
        <v>459</v>
      </c>
      <c r="B460" s="8">
        <f t="shared" si="29"/>
        <v>1</v>
      </c>
      <c r="C460" s="8">
        <f t="shared" si="30"/>
        <v>91.550321578979407</v>
      </c>
      <c r="D460" s="8">
        <v>459</v>
      </c>
      <c r="E460" s="8">
        <v>34.934799194335902</v>
      </c>
      <c r="F460" s="8">
        <v>74.242721557617102</v>
      </c>
      <c r="G460" s="8"/>
      <c r="H460" s="8">
        <v>459</v>
      </c>
      <c r="I460" s="8">
        <v>32.408252716064403</v>
      </c>
      <c r="J460" s="8">
        <v>76.711456298828097</v>
      </c>
      <c r="K460" s="8"/>
      <c r="L460" s="8">
        <v>459</v>
      </c>
      <c r="M460" s="8">
        <v>24.207269668579102</v>
      </c>
      <c r="N460" s="8">
        <v>74.946876525878906</v>
      </c>
      <c r="P460" s="8">
        <f t="shared" si="31"/>
        <v>77.731574058532502</v>
      </c>
      <c r="Q460">
        <v>459</v>
      </c>
      <c r="R460">
        <v>12.873383522033601</v>
      </c>
      <c r="S460">
        <v>39.567134857177699</v>
      </c>
      <c r="U460">
        <v>459</v>
      </c>
      <c r="V460">
        <v>46.158798217773402</v>
      </c>
      <c r="W460">
        <v>40.367050170898402</v>
      </c>
      <c r="Y460">
        <v>459</v>
      </c>
      <c r="Z460">
        <v>18.699392318725501</v>
      </c>
      <c r="AA460">
        <v>40.589454650878899</v>
      </c>
    </row>
    <row r="461" spans="1:27" x14ac:dyDescent="0.25">
      <c r="A461" s="8">
        <f t="shared" si="28"/>
        <v>460</v>
      </c>
      <c r="B461" s="8">
        <f t="shared" si="29"/>
        <v>1</v>
      </c>
      <c r="C461" s="8">
        <f t="shared" si="30"/>
        <v>506.06826782226301</v>
      </c>
      <c r="D461" s="8">
        <v>460</v>
      </c>
      <c r="E461" s="8">
        <v>203.92231750488199</v>
      </c>
      <c r="F461" s="8">
        <v>64.194107055664006</v>
      </c>
      <c r="G461" s="8"/>
      <c r="H461" s="8">
        <v>460</v>
      </c>
      <c r="I461" s="8">
        <v>175.234603881835</v>
      </c>
      <c r="J461" s="8">
        <v>69.185165405273395</v>
      </c>
      <c r="K461" s="8"/>
      <c r="L461" s="8">
        <v>460</v>
      </c>
      <c r="M461" s="8">
        <v>126.91134643554599</v>
      </c>
      <c r="N461" s="8">
        <v>65.0411376953125</v>
      </c>
      <c r="P461" s="8">
        <f t="shared" si="31"/>
        <v>24.416028022766099</v>
      </c>
      <c r="Q461">
        <v>460</v>
      </c>
      <c r="R461">
        <v>3.4151763916015598</v>
      </c>
      <c r="S461">
        <v>102.573600769042</v>
      </c>
      <c r="U461">
        <v>460</v>
      </c>
      <c r="V461">
        <v>16.319301605224599</v>
      </c>
      <c r="W461">
        <v>102.68560028076099</v>
      </c>
      <c r="Y461">
        <v>460</v>
      </c>
      <c r="Z461">
        <v>4.6815500259399396</v>
      </c>
      <c r="AA461">
        <v>108.356140136718</v>
      </c>
    </row>
    <row r="462" spans="1:27" x14ac:dyDescent="0.25">
      <c r="A462" s="8">
        <f t="shared" si="28"/>
        <v>461</v>
      </c>
      <c r="B462" s="8">
        <f t="shared" si="29"/>
        <v>1</v>
      </c>
      <c r="C462" s="8">
        <f t="shared" si="30"/>
        <v>136.39451980590812</v>
      </c>
      <c r="D462" s="8">
        <v>461</v>
      </c>
      <c r="E462" s="8">
        <v>45.082973480224602</v>
      </c>
      <c r="F462" s="8">
        <v>61.792427062988203</v>
      </c>
      <c r="G462" s="8"/>
      <c r="H462" s="8">
        <v>461</v>
      </c>
      <c r="I462" s="8">
        <v>47.668624877929602</v>
      </c>
      <c r="J462" s="8">
        <v>66.412300109863196</v>
      </c>
      <c r="K462" s="8"/>
      <c r="L462" s="8">
        <v>461</v>
      </c>
      <c r="M462" s="8">
        <v>43.642921447753899</v>
      </c>
      <c r="N462" s="8">
        <v>62.665706634521399</v>
      </c>
      <c r="P462" s="8">
        <f t="shared" si="31"/>
        <v>28.645786046981783</v>
      </c>
      <c r="Q462">
        <v>461</v>
      </c>
      <c r="R462">
        <v>3.1872575283050502</v>
      </c>
      <c r="S462">
        <v>41.036327362060497</v>
      </c>
      <c r="U462">
        <v>461</v>
      </c>
      <c r="V462">
        <v>17.182670593261701</v>
      </c>
      <c r="W462">
        <v>42.255077362060497</v>
      </c>
      <c r="Y462">
        <v>461</v>
      </c>
      <c r="Z462">
        <v>8.2758579254150302</v>
      </c>
      <c r="AA462">
        <v>43.471920013427699</v>
      </c>
    </row>
    <row r="463" spans="1:27" x14ac:dyDescent="0.25">
      <c r="A463" s="8">
        <f t="shared" si="28"/>
        <v>462</v>
      </c>
      <c r="B463" s="8">
        <f t="shared" si="29"/>
        <v>1</v>
      </c>
      <c r="C463" s="8">
        <f t="shared" si="30"/>
        <v>178.25625228881822</v>
      </c>
      <c r="D463" s="8">
        <v>462</v>
      </c>
      <c r="E463" s="8">
        <v>67.730545043945298</v>
      </c>
      <c r="F463" s="8">
        <v>58.996021270751903</v>
      </c>
      <c r="G463" s="8"/>
      <c r="H463" s="8">
        <v>462</v>
      </c>
      <c r="I463" s="8">
        <v>73.414321899414006</v>
      </c>
      <c r="J463" s="8">
        <v>64.473487854003906</v>
      </c>
      <c r="K463" s="8"/>
      <c r="L463" s="8">
        <v>462</v>
      </c>
      <c r="M463" s="8">
        <v>37.111385345458899</v>
      </c>
      <c r="N463" s="8">
        <v>60.481182098388601</v>
      </c>
      <c r="P463" s="8">
        <f t="shared" si="31"/>
        <v>9.1073703765869105</v>
      </c>
      <c r="Q463">
        <v>462</v>
      </c>
      <c r="R463">
        <v>1.31601238250732</v>
      </c>
      <c r="S463">
        <v>40.735645294189403</v>
      </c>
      <c r="U463">
        <v>462</v>
      </c>
      <c r="V463">
        <v>5.5192632675170898</v>
      </c>
      <c r="W463">
        <v>42.626548767089801</v>
      </c>
      <c r="Y463">
        <v>462</v>
      </c>
      <c r="Z463">
        <v>2.2720947265625</v>
      </c>
      <c r="AA463">
        <v>43.991344451904297</v>
      </c>
    </row>
    <row r="464" spans="1:27" x14ac:dyDescent="0.25">
      <c r="A464" s="8">
        <f t="shared" si="28"/>
        <v>463</v>
      </c>
      <c r="B464" s="8">
        <f t="shared" si="29"/>
        <v>1</v>
      </c>
      <c r="C464" s="8">
        <f t="shared" si="30"/>
        <v>57.133217811584394</v>
      </c>
      <c r="D464" s="8">
        <v>463</v>
      </c>
      <c r="E464" s="8">
        <v>21.4451389312744</v>
      </c>
      <c r="F464" s="8">
        <v>61.151363372802699</v>
      </c>
      <c r="G464" s="8"/>
      <c r="H464" s="8">
        <v>463</v>
      </c>
      <c r="I464" s="8">
        <v>21.689874649047798</v>
      </c>
      <c r="J464" s="8">
        <v>63.944164276122997</v>
      </c>
      <c r="K464" s="8"/>
      <c r="L464" s="8">
        <v>463</v>
      </c>
      <c r="M464" s="8">
        <v>13.9982042312622</v>
      </c>
      <c r="N464" s="8">
        <v>62.791805267333899</v>
      </c>
      <c r="P464" s="8">
        <f t="shared" si="31"/>
        <v>12.04826807975768</v>
      </c>
      <c r="Q464">
        <v>463</v>
      </c>
      <c r="R464">
        <v>1.38020348548889</v>
      </c>
      <c r="S464">
        <v>56.346366882324197</v>
      </c>
      <c r="U464">
        <v>463</v>
      </c>
      <c r="V464">
        <v>7.4640846252441397</v>
      </c>
      <c r="W464">
        <v>58.102176666259702</v>
      </c>
      <c r="Y464">
        <v>463</v>
      </c>
      <c r="Z464">
        <v>3.2039799690246502</v>
      </c>
      <c r="AA464">
        <v>59.140571594238203</v>
      </c>
    </row>
    <row r="465" spans="1:27" x14ac:dyDescent="0.25">
      <c r="A465" s="8">
        <f t="shared" si="28"/>
        <v>464</v>
      </c>
      <c r="B465" s="8">
        <f t="shared" si="29"/>
        <v>1</v>
      </c>
      <c r="C465" s="8">
        <f t="shared" si="30"/>
        <v>401.14592742919791</v>
      </c>
      <c r="D465" s="8">
        <v>464</v>
      </c>
      <c r="E465" s="8">
        <v>150.39219665527301</v>
      </c>
      <c r="F465" s="8">
        <v>60.010181427001903</v>
      </c>
      <c r="G465" s="8"/>
      <c r="H465" s="8">
        <v>464</v>
      </c>
      <c r="I465" s="8">
        <v>152.67866516113199</v>
      </c>
      <c r="J465" s="8">
        <v>62.823253631591797</v>
      </c>
      <c r="K465" s="8"/>
      <c r="L465" s="8">
        <v>464</v>
      </c>
      <c r="M465" s="8">
        <v>98.075065612792898</v>
      </c>
      <c r="N465" s="8">
        <v>61.665279388427699</v>
      </c>
      <c r="P465" s="8">
        <f t="shared" si="31"/>
        <v>33.369533300399766</v>
      </c>
      <c r="Q465">
        <v>464</v>
      </c>
      <c r="R465">
        <v>3.7450196743011399</v>
      </c>
      <c r="S465">
        <v>40.826980590820298</v>
      </c>
      <c r="U465">
        <v>464</v>
      </c>
      <c r="V465">
        <v>20.1273193359375</v>
      </c>
      <c r="W465">
        <v>42.399890899658203</v>
      </c>
      <c r="Y465">
        <v>464</v>
      </c>
      <c r="Z465">
        <v>9.4971942901611293</v>
      </c>
      <c r="AA465">
        <v>44.562808990478501</v>
      </c>
    </row>
    <row r="466" spans="1:27" x14ac:dyDescent="0.25">
      <c r="A466" s="8">
        <f t="shared" si="28"/>
        <v>465</v>
      </c>
      <c r="B466" s="8">
        <f t="shared" si="29"/>
        <v>1</v>
      </c>
      <c r="C466" s="8">
        <f t="shared" si="30"/>
        <v>115.515354156494</v>
      </c>
      <c r="D466" s="8">
        <v>465</v>
      </c>
      <c r="E466" s="8">
        <v>43.292335510253899</v>
      </c>
      <c r="F466" s="8">
        <v>59.133071899413999</v>
      </c>
      <c r="G466" s="8"/>
      <c r="H466" s="8">
        <v>465</v>
      </c>
      <c r="I466" s="8">
        <v>43.952873229980398</v>
      </c>
      <c r="J466" s="8">
        <v>61.946117401122997</v>
      </c>
      <c r="K466" s="8"/>
      <c r="L466" s="8">
        <v>465</v>
      </c>
      <c r="M466" s="8">
        <v>28.270145416259702</v>
      </c>
      <c r="N466" s="8">
        <v>60.788158416747997</v>
      </c>
      <c r="P466" s="8">
        <f t="shared" si="31"/>
        <v>27.957697868347147</v>
      </c>
      <c r="Q466">
        <v>465</v>
      </c>
      <c r="R466">
        <v>3.0324134826660099</v>
      </c>
      <c r="S466">
        <v>41.176883697509702</v>
      </c>
      <c r="U466">
        <v>465</v>
      </c>
      <c r="V466">
        <v>17.1553840637207</v>
      </c>
      <c r="W466">
        <v>42.681015014648402</v>
      </c>
      <c r="Y466">
        <v>465</v>
      </c>
      <c r="Z466">
        <v>7.7699003219604403</v>
      </c>
      <c r="AA466">
        <v>44.175559997558501</v>
      </c>
    </row>
    <row r="467" spans="1:27" x14ac:dyDescent="0.25">
      <c r="A467" s="8">
        <f t="shared" si="28"/>
        <v>466</v>
      </c>
      <c r="B467" s="8">
        <f t="shared" si="29"/>
        <v>1</v>
      </c>
      <c r="C467" s="8">
        <f t="shared" si="30"/>
        <v>566.05131530761696</v>
      </c>
      <c r="D467" s="8">
        <v>466</v>
      </c>
      <c r="E467" s="8">
        <v>218.947265625</v>
      </c>
      <c r="F467" s="8">
        <v>62.024257659912102</v>
      </c>
      <c r="G467" s="8"/>
      <c r="H467" s="8">
        <v>466</v>
      </c>
      <c r="I467" s="8">
        <v>196.62748718261699</v>
      </c>
      <c r="J467" s="8">
        <v>64.331398010253906</v>
      </c>
      <c r="K467" s="8"/>
      <c r="L467" s="8">
        <v>466</v>
      </c>
      <c r="M467" s="8">
        <v>150.4765625</v>
      </c>
      <c r="N467" s="8">
        <v>63.458015441894503</v>
      </c>
      <c r="P467" s="8">
        <f t="shared" si="31"/>
        <v>11.95810151100158</v>
      </c>
      <c r="Q467">
        <v>466</v>
      </c>
      <c r="R467">
        <v>1.1873433589935301</v>
      </c>
      <c r="S467">
        <v>33.057884216308501</v>
      </c>
      <c r="U467">
        <v>466</v>
      </c>
      <c r="V467">
        <v>7.2167859077453604</v>
      </c>
      <c r="W467">
        <v>34.107688903808501</v>
      </c>
      <c r="Y467">
        <v>466</v>
      </c>
      <c r="Z467">
        <v>3.55397224426269</v>
      </c>
      <c r="AA467">
        <v>35.325420379638601</v>
      </c>
    </row>
    <row r="468" spans="1:27" x14ac:dyDescent="0.25">
      <c r="A468" s="8">
        <f t="shared" si="28"/>
        <v>467</v>
      </c>
      <c r="B468" s="8">
        <f t="shared" si="29"/>
        <v>1</v>
      </c>
      <c r="C468" s="8">
        <f t="shared" si="30"/>
        <v>64.772436141967603</v>
      </c>
      <c r="D468" s="8">
        <v>467</v>
      </c>
      <c r="E468" s="8">
        <v>21.812412261962798</v>
      </c>
      <c r="F468" s="8">
        <v>80.500076293945298</v>
      </c>
      <c r="G468" s="8"/>
      <c r="H468" s="8">
        <v>467</v>
      </c>
      <c r="I468" s="8">
        <v>26.541728973388601</v>
      </c>
      <c r="J468" s="8">
        <v>82.821250915527301</v>
      </c>
      <c r="K468" s="8"/>
      <c r="L468" s="8">
        <v>467</v>
      </c>
      <c r="M468" s="8">
        <v>16.4182949066162</v>
      </c>
      <c r="N468" s="8">
        <v>81.576072692871094</v>
      </c>
      <c r="P468" s="8">
        <f t="shared" si="31"/>
        <v>66.71025753021226</v>
      </c>
      <c r="Q468">
        <v>467</v>
      </c>
      <c r="R468">
        <v>8.4919652938842702</v>
      </c>
      <c r="S468">
        <v>69.839637756347599</v>
      </c>
      <c r="U468">
        <v>467</v>
      </c>
      <c r="V468">
        <v>40.781120300292898</v>
      </c>
      <c r="W468">
        <v>72.134269714355398</v>
      </c>
      <c r="Y468">
        <v>467</v>
      </c>
      <c r="Z468">
        <v>17.437171936035099</v>
      </c>
      <c r="AA468">
        <v>74.309013366699205</v>
      </c>
    </row>
    <row r="469" spans="1:27" x14ac:dyDescent="0.25">
      <c r="A469" s="8">
        <f t="shared" si="28"/>
        <v>468</v>
      </c>
      <c r="B469" s="8">
        <f t="shared" si="29"/>
        <v>1</v>
      </c>
      <c r="C469" s="8">
        <f t="shared" si="30"/>
        <v>69.868759155273295</v>
      </c>
      <c r="D469" s="8">
        <v>468</v>
      </c>
      <c r="E469" s="8">
        <v>24.482988357543899</v>
      </c>
      <c r="F469" s="8">
        <v>36.439292907714801</v>
      </c>
      <c r="G469" s="8"/>
      <c r="H469" s="8">
        <v>468</v>
      </c>
      <c r="I469" s="8">
        <v>28.763750076293899</v>
      </c>
      <c r="J469" s="8">
        <v>38.715824127197202</v>
      </c>
      <c r="K469" s="8"/>
      <c r="L469" s="8">
        <v>468</v>
      </c>
      <c r="M469" s="8">
        <v>16.622020721435501</v>
      </c>
      <c r="N469" s="8">
        <v>37.468990325927699</v>
      </c>
      <c r="P469" s="8">
        <f t="shared" si="31"/>
        <v>117.1028938293456</v>
      </c>
      <c r="Q469">
        <v>468</v>
      </c>
      <c r="R469">
        <v>18.279115676879801</v>
      </c>
      <c r="S469">
        <v>70.538070678710895</v>
      </c>
      <c r="U469">
        <v>468</v>
      </c>
      <c r="V469">
        <v>74.091117858886705</v>
      </c>
      <c r="W469">
        <v>73.161628723144503</v>
      </c>
      <c r="Y469">
        <v>468</v>
      </c>
      <c r="Z469">
        <v>24.732660293579102</v>
      </c>
      <c r="AA469">
        <v>74.464027404785099</v>
      </c>
    </row>
    <row r="470" spans="1:27" x14ac:dyDescent="0.25">
      <c r="A470" s="8">
        <f t="shared" si="28"/>
        <v>469</v>
      </c>
      <c r="B470" s="8">
        <f t="shared" si="29"/>
        <v>1</v>
      </c>
      <c r="C470" s="8">
        <f t="shared" si="30"/>
        <v>203.96502685546869</v>
      </c>
      <c r="D470" s="8">
        <v>469</v>
      </c>
      <c r="E470" s="8">
        <v>85.844757080078097</v>
      </c>
      <c r="F470" s="8">
        <v>36.687984466552699</v>
      </c>
      <c r="G470" s="8"/>
      <c r="H470" s="8">
        <v>469</v>
      </c>
      <c r="I470" s="8">
        <v>66.932937622070298</v>
      </c>
      <c r="J470" s="8">
        <v>38.588436126708899</v>
      </c>
      <c r="K470" s="8"/>
      <c r="L470" s="8">
        <v>469</v>
      </c>
      <c r="M470" s="8">
        <v>51.187332153320298</v>
      </c>
      <c r="N470" s="8">
        <v>37.147624969482401</v>
      </c>
      <c r="P470" s="8">
        <f t="shared" si="31"/>
        <v>1413.603759765623</v>
      </c>
      <c r="Q470">
        <v>469</v>
      </c>
      <c r="R470">
        <v>194.65585327148401</v>
      </c>
      <c r="S470">
        <v>58.468788146972599</v>
      </c>
      <c r="U470">
        <v>469</v>
      </c>
      <c r="V470">
        <v>900.68475341796795</v>
      </c>
      <c r="W470">
        <v>59.28560256958</v>
      </c>
      <c r="Y470">
        <v>469</v>
      </c>
      <c r="Z470">
        <v>318.26315307617102</v>
      </c>
      <c r="AA470">
        <v>60.630516052246001</v>
      </c>
    </row>
    <row r="471" spans="1:27" x14ac:dyDescent="0.25">
      <c r="A471" s="8">
        <f t="shared" si="28"/>
        <v>470</v>
      </c>
      <c r="B471" s="8">
        <f t="shared" si="29"/>
        <v>1</v>
      </c>
      <c r="C471" s="8">
        <f t="shared" si="30"/>
        <v>170.42173004150379</v>
      </c>
      <c r="D471" s="8">
        <v>470</v>
      </c>
      <c r="E471" s="8">
        <v>62.467636108398402</v>
      </c>
      <c r="F471" s="8">
        <v>46.011806488037102</v>
      </c>
      <c r="G471" s="8"/>
      <c r="H471" s="8">
        <v>470</v>
      </c>
      <c r="I471" s="8">
        <v>62.0739135742187</v>
      </c>
      <c r="J471" s="8">
        <v>46.732624053955</v>
      </c>
      <c r="K471" s="8"/>
      <c r="L471" s="8">
        <v>470</v>
      </c>
      <c r="M471" s="8">
        <v>45.880180358886697</v>
      </c>
      <c r="N471" s="8">
        <v>46.50777053833</v>
      </c>
      <c r="P471" s="8">
        <f t="shared" si="31"/>
        <v>822.60432434081895</v>
      </c>
      <c r="Q471">
        <v>470</v>
      </c>
      <c r="R471">
        <v>113.311431884765</v>
      </c>
      <c r="S471">
        <v>59.077049255371001</v>
      </c>
      <c r="U471">
        <v>470</v>
      </c>
      <c r="V471">
        <v>542.11212158203102</v>
      </c>
      <c r="W471">
        <v>58.475811004638601</v>
      </c>
      <c r="Y471">
        <v>470</v>
      </c>
      <c r="Z471">
        <v>167.18077087402301</v>
      </c>
      <c r="AA471">
        <v>58.410507202148402</v>
      </c>
    </row>
    <row r="472" spans="1:27" x14ac:dyDescent="0.25">
      <c r="A472" s="8">
        <f t="shared" si="28"/>
        <v>471</v>
      </c>
      <c r="B472" s="8">
        <f t="shared" si="29"/>
        <v>1</v>
      </c>
      <c r="C472" s="8">
        <f t="shared" si="30"/>
        <v>85.210865020751797</v>
      </c>
      <c r="D472" s="8">
        <v>471</v>
      </c>
      <c r="E472" s="8">
        <v>31.233818054199201</v>
      </c>
      <c r="F472" s="8">
        <v>46.011806488037102</v>
      </c>
      <c r="G472" s="8"/>
      <c r="H472" s="8">
        <v>471</v>
      </c>
      <c r="I472" s="8">
        <v>31.0369567871093</v>
      </c>
      <c r="J472" s="8">
        <v>46.732624053955</v>
      </c>
      <c r="K472" s="8"/>
      <c r="L472" s="8">
        <v>471</v>
      </c>
      <c r="M472" s="8">
        <v>22.940090179443299</v>
      </c>
      <c r="N472" s="8">
        <v>46.50777053833</v>
      </c>
      <c r="P472" s="8">
        <f t="shared" si="31"/>
        <v>473.28409194946198</v>
      </c>
      <c r="Q472">
        <v>471</v>
      </c>
      <c r="R472">
        <v>29.844913482666001</v>
      </c>
      <c r="S472">
        <v>44.174552917480398</v>
      </c>
      <c r="U472">
        <v>471</v>
      </c>
      <c r="V472">
        <v>322.59521484375</v>
      </c>
      <c r="W472">
        <v>46.052234649658203</v>
      </c>
      <c r="Y472">
        <v>471</v>
      </c>
      <c r="Z472">
        <v>120.84396362304599</v>
      </c>
      <c r="AA472">
        <v>48.557212829589801</v>
      </c>
    </row>
    <row r="473" spans="1:27" x14ac:dyDescent="0.25">
      <c r="A473" s="8">
        <f t="shared" si="28"/>
        <v>472</v>
      </c>
      <c r="B473" s="8">
        <f t="shared" si="29"/>
        <v>1</v>
      </c>
      <c r="C473" s="8">
        <f t="shared" si="30"/>
        <v>100.82162666320789</v>
      </c>
      <c r="D473" s="8">
        <v>472</v>
      </c>
      <c r="E473" s="8">
        <v>36.548896789550703</v>
      </c>
      <c r="F473" s="8">
        <v>51.2567138671875</v>
      </c>
      <c r="G473" s="8"/>
      <c r="H473" s="8">
        <v>472</v>
      </c>
      <c r="I473" s="8">
        <v>36.364112854003899</v>
      </c>
      <c r="J473" s="8">
        <v>52.315685272216797</v>
      </c>
      <c r="K473" s="8"/>
      <c r="L473" s="8">
        <v>472</v>
      </c>
      <c r="M473" s="8">
        <v>27.908617019653299</v>
      </c>
      <c r="N473" s="8">
        <v>51.893356323242102</v>
      </c>
      <c r="P473" s="8">
        <f t="shared" si="31"/>
        <v>781.00936889648392</v>
      </c>
      <c r="Q473">
        <v>472</v>
      </c>
      <c r="R473">
        <v>137.57450866699199</v>
      </c>
      <c r="S473">
        <v>40.7431640625</v>
      </c>
      <c r="U473">
        <v>472</v>
      </c>
      <c r="V473">
        <v>519.29052734375</v>
      </c>
      <c r="W473">
        <v>42.637870788574197</v>
      </c>
      <c r="Y473">
        <v>472</v>
      </c>
      <c r="Z473">
        <v>124.144332885742</v>
      </c>
      <c r="AA473">
        <v>44.048870086669901</v>
      </c>
    </row>
    <row r="474" spans="1:27" x14ac:dyDescent="0.25">
      <c r="A474" s="8">
        <f t="shared" si="28"/>
        <v>473</v>
      </c>
      <c r="B474" s="8">
        <f t="shared" si="29"/>
        <v>1</v>
      </c>
      <c r="C474" s="8">
        <f t="shared" si="30"/>
        <v>403.28650665283101</v>
      </c>
      <c r="D474" s="8">
        <v>473</v>
      </c>
      <c r="E474" s="8">
        <v>146.19558715820301</v>
      </c>
      <c r="F474" s="8">
        <v>51.2567138671875</v>
      </c>
      <c r="G474" s="8"/>
      <c r="H474" s="8">
        <v>473</v>
      </c>
      <c r="I474" s="8">
        <v>145.456451416015</v>
      </c>
      <c r="J474" s="8">
        <v>52.315685272216797</v>
      </c>
      <c r="K474" s="8"/>
      <c r="L474" s="8">
        <v>473</v>
      </c>
      <c r="M474" s="8">
        <v>111.634468078613</v>
      </c>
      <c r="N474" s="8">
        <v>51.893356323242102</v>
      </c>
      <c r="P474" s="8">
        <f t="shared" si="31"/>
        <v>64.636527061462274</v>
      </c>
      <c r="Q474">
        <v>473</v>
      </c>
      <c r="R474">
        <v>4.75895023345947</v>
      </c>
      <c r="S474">
        <v>40.83638381958</v>
      </c>
      <c r="U474">
        <v>473</v>
      </c>
      <c r="V474">
        <v>42.879478454589801</v>
      </c>
      <c r="W474">
        <v>42.902137756347599</v>
      </c>
      <c r="Y474">
        <v>473</v>
      </c>
      <c r="Z474">
        <v>16.998098373413001</v>
      </c>
      <c r="AA474">
        <v>46.608425140380803</v>
      </c>
    </row>
    <row r="475" spans="1:27" x14ac:dyDescent="0.25">
      <c r="A475" s="8">
        <f t="shared" si="28"/>
        <v>474</v>
      </c>
      <c r="B475" s="8">
        <f t="shared" si="29"/>
        <v>1</v>
      </c>
      <c r="C475" s="8">
        <f t="shared" si="30"/>
        <v>100.82162666320789</v>
      </c>
      <c r="D475" s="8">
        <v>474</v>
      </c>
      <c r="E475" s="8">
        <v>36.548896789550703</v>
      </c>
      <c r="F475" s="8">
        <v>51.2567138671875</v>
      </c>
      <c r="G475" s="8"/>
      <c r="H475" s="8">
        <v>474</v>
      </c>
      <c r="I475" s="8">
        <v>36.364112854003899</v>
      </c>
      <c r="J475" s="8">
        <v>52.315685272216797</v>
      </c>
      <c r="K475" s="8"/>
      <c r="L475" s="8">
        <v>474</v>
      </c>
      <c r="M475" s="8">
        <v>27.908617019653299</v>
      </c>
      <c r="N475" s="8">
        <v>51.893356323242102</v>
      </c>
      <c r="P475" s="8">
        <f t="shared" si="31"/>
        <v>1190.1366958618155</v>
      </c>
      <c r="Q475">
        <v>474</v>
      </c>
      <c r="R475">
        <v>65.307411193847599</v>
      </c>
      <c r="S475">
        <v>35.564079284667898</v>
      </c>
      <c r="U475">
        <v>474</v>
      </c>
      <c r="V475">
        <v>780.77191162109295</v>
      </c>
      <c r="W475">
        <v>36.553421020507798</v>
      </c>
      <c r="Y475">
        <v>474</v>
      </c>
      <c r="Z475">
        <v>344.057373046875</v>
      </c>
      <c r="AA475">
        <v>39.325969696044901</v>
      </c>
    </row>
    <row r="476" spans="1:27" x14ac:dyDescent="0.25">
      <c r="A476" s="8">
        <f t="shared" si="28"/>
        <v>475</v>
      </c>
      <c r="B476" s="8">
        <f t="shared" si="29"/>
        <v>1</v>
      </c>
      <c r="C476" s="8">
        <f t="shared" si="30"/>
        <v>149.30329132080061</v>
      </c>
      <c r="D476" s="8">
        <v>475</v>
      </c>
      <c r="E476" s="8">
        <v>50.473972320556598</v>
      </c>
      <c r="F476" s="8">
        <v>55.923934936523402</v>
      </c>
      <c r="G476" s="8"/>
      <c r="H476" s="8">
        <v>475</v>
      </c>
      <c r="I476" s="8">
        <v>54.345630645751903</v>
      </c>
      <c r="J476" s="8">
        <v>58.729598999023402</v>
      </c>
      <c r="K476" s="8"/>
      <c r="L476" s="8">
        <v>475</v>
      </c>
      <c r="M476" s="8">
        <v>44.483688354492102</v>
      </c>
      <c r="N476" s="8">
        <v>56.290512084960902</v>
      </c>
      <c r="P476" s="8">
        <f t="shared" si="31"/>
        <v>160.40220069885186</v>
      </c>
      <c r="Q476">
        <v>475</v>
      </c>
      <c r="R476">
        <v>9.7292919158935494</v>
      </c>
      <c r="S476">
        <v>37.544509887695298</v>
      </c>
      <c r="U476">
        <v>475</v>
      </c>
      <c r="V476">
        <v>105.18791198730401</v>
      </c>
      <c r="W476">
        <v>38.5484008789062</v>
      </c>
      <c r="Y476">
        <v>475</v>
      </c>
      <c r="Z476">
        <v>45.484996795654297</v>
      </c>
      <c r="AA476">
        <v>41.240917205810497</v>
      </c>
    </row>
    <row r="477" spans="1:27" x14ac:dyDescent="0.25">
      <c r="A477" s="8">
        <f t="shared" si="28"/>
        <v>476</v>
      </c>
      <c r="B477" s="8">
        <f t="shared" si="29"/>
        <v>1</v>
      </c>
      <c r="C477" s="8">
        <f t="shared" si="30"/>
        <v>79.827583312988097</v>
      </c>
      <c r="D477" s="8">
        <v>476</v>
      </c>
      <c r="E477" s="8">
        <v>32.680126190185497</v>
      </c>
      <c r="F477" s="8">
        <v>56.552650451660099</v>
      </c>
      <c r="G477" s="8"/>
      <c r="H477" s="8">
        <v>476</v>
      </c>
      <c r="I477" s="8">
        <v>26.832471847534102</v>
      </c>
      <c r="J477" s="8">
        <v>58.462985992431598</v>
      </c>
      <c r="K477" s="8"/>
      <c r="L477" s="8">
        <v>476</v>
      </c>
      <c r="M477" s="8">
        <v>20.314985275268501</v>
      </c>
      <c r="N477" s="8">
        <v>57.641510009765597</v>
      </c>
      <c r="P477" s="8">
        <f t="shared" si="31"/>
        <v>3296.8358764648433</v>
      </c>
      <c r="Q477">
        <v>476</v>
      </c>
      <c r="R477">
        <v>682.54010009765602</v>
      </c>
      <c r="S477">
        <v>40.380943298339801</v>
      </c>
      <c r="U477">
        <v>476</v>
      </c>
      <c r="V477">
        <v>2159.7529296875</v>
      </c>
      <c r="W477">
        <v>41.4185180664062</v>
      </c>
      <c r="Y477">
        <v>476</v>
      </c>
      <c r="Z477">
        <v>454.54284667968699</v>
      </c>
      <c r="AA477">
        <v>42.829998016357401</v>
      </c>
    </row>
    <row r="478" spans="1:27" x14ac:dyDescent="0.25">
      <c r="A478" s="8">
        <f t="shared" si="28"/>
        <v>477</v>
      </c>
      <c r="B478" s="8">
        <f t="shared" si="29"/>
        <v>1</v>
      </c>
      <c r="C478" s="8">
        <f t="shared" si="30"/>
        <v>84.301432609558006</v>
      </c>
      <c r="D478" s="8">
        <v>477</v>
      </c>
      <c r="E478" s="8">
        <v>42.244625091552699</v>
      </c>
      <c r="F478" s="8">
        <v>58.798427581787102</v>
      </c>
      <c r="G478" s="8"/>
      <c r="H478" s="8">
        <v>477</v>
      </c>
      <c r="I478" s="8">
        <v>27.581567764282202</v>
      </c>
      <c r="J478" s="8">
        <v>63.070114135742102</v>
      </c>
      <c r="K478" s="8"/>
      <c r="L478" s="8">
        <v>477</v>
      </c>
      <c r="M478" s="8">
        <v>14.4752397537231</v>
      </c>
      <c r="N478" s="8">
        <v>59.128654479980398</v>
      </c>
      <c r="P478" s="8">
        <f t="shared" si="31"/>
        <v>337.97117614746003</v>
      </c>
      <c r="Q478">
        <v>477</v>
      </c>
      <c r="R478">
        <v>38.018798828125</v>
      </c>
      <c r="S478">
        <v>53.949878692626903</v>
      </c>
      <c r="U478">
        <v>477</v>
      </c>
      <c r="V478">
        <v>219.81297302246</v>
      </c>
      <c r="W478">
        <v>55.238327026367102</v>
      </c>
      <c r="Y478">
        <v>477</v>
      </c>
      <c r="Z478">
        <v>80.139404296875</v>
      </c>
      <c r="AA478">
        <v>58.9859619140625</v>
      </c>
    </row>
    <row r="479" spans="1:27" x14ac:dyDescent="0.25">
      <c r="A479" s="8">
        <f t="shared" si="28"/>
        <v>478</v>
      </c>
      <c r="B479" s="8">
        <f t="shared" si="29"/>
        <v>1</v>
      </c>
      <c r="C479" s="8">
        <f t="shared" si="30"/>
        <v>16.860286474227902</v>
      </c>
      <c r="D479" s="8">
        <v>478</v>
      </c>
      <c r="E479" s="8">
        <v>8.4489240646362305</v>
      </c>
      <c r="F479" s="8">
        <v>58.798427581787102</v>
      </c>
      <c r="G479" s="8"/>
      <c r="H479" s="8">
        <v>478</v>
      </c>
      <c r="I479" s="8">
        <v>5.5163145065307599</v>
      </c>
      <c r="J479" s="8">
        <v>63.070114135742102</v>
      </c>
      <c r="K479" s="8"/>
      <c r="L479" s="8">
        <v>478</v>
      </c>
      <c r="M479" s="8">
        <v>2.89504790306091</v>
      </c>
      <c r="N479" s="8">
        <v>59.128654479980398</v>
      </c>
      <c r="P479" s="8">
        <f t="shared" si="31"/>
        <v>66.926644802093421</v>
      </c>
      <c r="Q479">
        <v>478</v>
      </c>
      <c r="R479">
        <v>7.3729872703552202</v>
      </c>
      <c r="S479">
        <v>58.2859077453613</v>
      </c>
      <c r="U479">
        <v>478</v>
      </c>
      <c r="V479">
        <v>43.369178771972599</v>
      </c>
      <c r="W479">
        <v>60.062469482421797</v>
      </c>
      <c r="Y479">
        <v>478</v>
      </c>
      <c r="Z479">
        <v>16.1844787597656</v>
      </c>
      <c r="AA479">
        <v>63.574317932128899</v>
      </c>
    </row>
    <row r="480" spans="1:27" x14ac:dyDescent="0.25">
      <c r="A480" s="8">
        <f t="shared" si="28"/>
        <v>479</v>
      </c>
      <c r="B480" s="8">
        <f t="shared" si="29"/>
        <v>1</v>
      </c>
      <c r="C480" s="8">
        <f t="shared" si="30"/>
        <v>415.0018920898429</v>
      </c>
      <c r="D480" s="8">
        <v>479</v>
      </c>
      <c r="E480" s="8">
        <v>169.803955078125</v>
      </c>
      <c r="F480" s="8">
        <v>51.757537841796797</v>
      </c>
      <c r="G480" s="8"/>
      <c r="H480" s="8">
        <v>479</v>
      </c>
      <c r="I480" s="8">
        <v>147.67256164550699</v>
      </c>
      <c r="J480" s="8">
        <v>56.187416076660099</v>
      </c>
      <c r="K480" s="8"/>
      <c r="L480" s="8">
        <v>479</v>
      </c>
      <c r="M480" s="8">
        <v>97.525375366210895</v>
      </c>
      <c r="N480" s="8">
        <v>51.977554321288999</v>
      </c>
      <c r="P480" s="8">
        <f t="shared" si="31"/>
        <v>837.49168395995889</v>
      </c>
      <c r="Q480">
        <v>479</v>
      </c>
      <c r="R480">
        <v>156.18768310546801</v>
      </c>
      <c r="S480">
        <v>58.673252105712798</v>
      </c>
      <c r="U480">
        <v>479</v>
      </c>
      <c r="V480">
        <v>543.05487060546795</v>
      </c>
      <c r="W480">
        <v>59.661571502685497</v>
      </c>
      <c r="Y480">
        <v>479</v>
      </c>
      <c r="Z480">
        <v>138.24913024902301</v>
      </c>
      <c r="AA480">
        <v>60.963836669921797</v>
      </c>
    </row>
    <row r="481" spans="1:27" x14ac:dyDescent="0.25">
      <c r="A481" s="8">
        <f t="shared" si="28"/>
        <v>480</v>
      </c>
      <c r="B481" s="8">
        <f t="shared" si="29"/>
        <v>1</v>
      </c>
      <c r="C481" s="8">
        <f t="shared" si="30"/>
        <v>199.4468231201171</v>
      </c>
      <c r="D481" s="8">
        <v>480</v>
      </c>
      <c r="E481" s="8">
        <v>67.997322082519503</v>
      </c>
      <c r="F481" s="8">
        <v>52.441070556640597</v>
      </c>
      <c r="G481" s="8"/>
      <c r="H481" s="8">
        <v>480</v>
      </c>
      <c r="I481" s="8">
        <v>76.666687011718693</v>
      </c>
      <c r="J481" s="8">
        <v>53.8153076171875</v>
      </c>
      <c r="K481" s="8"/>
      <c r="L481" s="8">
        <v>480</v>
      </c>
      <c r="M481" s="8">
        <v>54.782814025878899</v>
      </c>
      <c r="N481" s="8">
        <v>53.379573822021399</v>
      </c>
      <c r="P481" s="8">
        <f t="shared" si="31"/>
        <v>6.6551545858383001</v>
      </c>
      <c r="Q481">
        <v>480</v>
      </c>
      <c r="R481">
        <v>1.4130263328552199</v>
      </c>
      <c r="S481">
        <v>69.768981933593693</v>
      </c>
      <c r="U481">
        <v>480</v>
      </c>
      <c r="V481">
        <v>3.8720502853393501</v>
      </c>
      <c r="W481">
        <v>72.071037292480398</v>
      </c>
      <c r="Y481">
        <v>480</v>
      </c>
      <c r="Z481">
        <v>1.37007796764373</v>
      </c>
      <c r="AA481">
        <v>75.626899719238196</v>
      </c>
    </row>
    <row r="482" spans="1:27" x14ac:dyDescent="0.25">
      <c r="A482" s="8">
        <f t="shared" si="28"/>
        <v>481</v>
      </c>
      <c r="B482" s="8">
        <f t="shared" si="29"/>
        <v>1</v>
      </c>
      <c r="C482" s="8">
        <f t="shared" si="30"/>
        <v>265.92911529540919</v>
      </c>
      <c r="D482" s="8">
        <v>481</v>
      </c>
      <c r="E482" s="8">
        <v>90.663101196289006</v>
      </c>
      <c r="F482" s="8">
        <v>52.441070556640597</v>
      </c>
      <c r="G482" s="8"/>
      <c r="H482" s="8">
        <v>481</v>
      </c>
      <c r="I482" s="8">
        <v>102.22225189208901</v>
      </c>
      <c r="J482" s="8">
        <v>53.8153076171875</v>
      </c>
      <c r="K482" s="8"/>
      <c r="L482" s="8">
        <v>481</v>
      </c>
      <c r="M482" s="8">
        <v>73.043762207031193</v>
      </c>
      <c r="N482" s="8">
        <v>53.379573822021399</v>
      </c>
      <c r="P482" s="8">
        <f t="shared" si="31"/>
        <v>90.813561439514018</v>
      </c>
      <c r="Q482">
        <v>481</v>
      </c>
      <c r="R482">
        <v>8.3265333175659109</v>
      </c>
      <c r="S482">
        <v>52.857368469238203</v>
      </c>
      <c r="U482">
        <v>481</v>
      </c>
      <c r="V482">
        <v>57.683132171630803</v>
      </c>
      <c r="W482">
        <v>54.324901580810497</v>
      </c>
      <c r="Y482">
        <v>481</v>
      </c>
      <c r="Z482">
        <v>24.803895950317301</v>
      </c>
      <c r="AA482">
        <v>57.488063812255803</v>
      </c>
    </row>
    <row r="483" spans="1:27" x14ac:dyDescent="0.25">
      <c r="A483" s="8">
        <f t="shared" si="28"/>
        <v>482</v>
      </c>
      <c r="B483" s="8">
        <f t="shared" si="29"/>
        <v>1</v>
      </c>
      <c r="C483" s="8">
        <f t="shared" si="30"/>
        <v>150.53048324584941</v>
      </c>
      <c r="D483" s="8">
        <v>482</v>
      </c>
      <c r="E483" s="8">
        <v>51.130607604980398</v>
      </c>
      <c r="F483" s="8">
        <v>51.745155334472599</v>
      </c>
      <c r="G483" s="8"/>
      <c r="H483" s="8">
        <v>482</v>
      </c>
      <c r="I483" s="8">
        <v>58.958930969238203</v>
      </c>
      <c r="J483" s="8">
        <v>52.692001342773402</v>
      </c>
      <c r="K483" s="8"/>
      <c r="L483" s="8">
        <v>482</v>
      </c>
      <c r="M483" s="8">
        <v>40.440944671630803</v>
      </c>
      <c r="N483" s="8">
        <v>52.1493530273437</v>
      </c>
      <c r="P483" s="8">
        <f t="shared" si="31"/>
        <v>135.84447669982902</v>
      </c>
      <c r="Q483">
        <v>482</v>
      </c>
      <c r="R483">
        <v>12.4560489654541</v>
      </c>
      <c r="S483">
        <v>52.345252990722599</v>
      </c>
      <c r="U483">
        <v>482</v>
      </c>
      <c r="V483">
        <v>86.382583618164006</v>
      </c>
      <c r="W483">
        <v>54.384983062744098</v>
      </c>
      <c r="Y483">
        <v>482</v>
      </c>
      <c r="Z483">
        <v>37.005844116210902</v>
      </c>
      <c r="AA483">
        <v>56.908611297607401</v>
      </c>
    </row>
    <row r="484" spans="1:27" x14ac:dyDescent="0.25">
      <c r="A484" s="8">
        <f t="shared" si="28"/>
        <v>483</v>
      </c>
      <c r="B484" s="8">
        <f t="shared" si="29"/>
        <v>1</v>
      </c>
      <c r="C484" s="8">
        <f t="shared" si="30"/>
        <v>75.265241622924705</v>
      </c>
      <c r="D484" s="8">
        <v>483</v>
      </c>
      <c r="E484" s="8">
        <v>25.565303802490199</v>
      </c>
      <c r="F484" s="8">
        <v>51.745155334472599</v>
      </c>
      <c r="G484" s="8"/>
      <c r="H484" s="8">
        <v>483</v>
      </c>
      <c r="I484" s="8">
        <v>29.479465484619102</v>
      </c>
      <c r="J484" s="8">
        <v>52.692001342773402</v>
      </c>
      <c r="K484" s="8"/>
      <c r="L484" s="8">
        <v>483</v>
      </c>
      <c r="M484" s="8">
        <v>20.220472335815401</v>
      </c>
      <c r="N484" s="8">
        <v>52.1493530273437</v>
      </c>
      <c r="P484" s="8">
        <f t="shared" si="31"/>
        <v>35.770093441009458</v>
      </c>
      <c r="Q484">
        <v>483</v>
      </c>
      <c r="R484">
        <v>2.3513970375061</v>
      </c>
      <c r="S484">
        <v>42.850341796875</v>
      </c>
      <c r="U484">
        <v>483</v>
      </c>
      <c r="V484">
        <v>24.0651130676269</v>
      </c>
      <c r="W484">
        <v>44.686195373535099</v>
      </c>
      <c r="Y484">
        <v>483</v>
      </c>
      <c r="Z484">
        <v>9.3535833358764595</v>
      </c>
      <c r="AA484">
        <v>46.465682983398402</v>
      </c>
    </row>
    <row r="485" spans="1:27" x14ac:dyDescent="0.25">
      <c r="A485" s="8">
        <f t="shared" si="28"/>
        <v>484</v>
      </c>
      <c r="B485" s="8">
        <f t="shared" si="29"/>
        <v>1</v>
      </c>
      <c r="C485" s="8">
        <f t="shared" si="30"/>
        <v>225.7957382202147</v>
      </c>
      <c r="D485" s="8">
        <v>484</v>
      </c>
      <c r="E485" s="8">
        <v>76.695915222167898</v>
      </c>
      <c r="F485" s="8">
        <v>51.745155334472599</v>
      </c>
      <c r="G485" s="8"/>
      <c r="H485" s="8">
        <v>484</v>
      </c>
      <c r="I485" s="8">
        <v>88.438407897949205</v>
      </c>
      <c r="J485" s="8">
        <v>52.692001342773402</v>
      </c>
      <c r="K485" s="8"/>
      <c r="L485" s="8">
        <v>484</v>
      </c>
      <c r="M485" s="8">
        <v>60.661415100097599</v>
      </c>
      <c r="N485" s="8">
        <v>52.1493530273437</v>
      </c>
      <c r="P485" s="8">
        <f t="shared" si="31"/>
        <v>34.017549276351872</v>
      </c>
      <c r="Q485">
        <v>484</v>
      </c>
      <c r="R485">
        <v>3.27355456352233</v>
      </c>
      <c r="S485">
        <v>79.242645263671804</v>
      </c>
      <c r="U485">
        <v>484</v>
      </c>
      <c r="V485">
        <v>21.193798065185501</v>
      </c>
      <c r="W485">
        <v>80.196884155273395</v>
      </c>
      <c r="Y485">
        <v>484</v>
      </c>
      <c r="Z485">
        <v>9.5501966476440394</v>
      </c>
      <c r="AA485">
        <v>81.361679077148395</v>
      </c>
    </row>
    <row r="486" spans="1:27" x14ac:dyDescent="0.25">
      <c r="A486" s="8">
        <f t="shared" si="28"/>
        <v>485</v>
      </c>
      <c r="B486" s="8">
        <f t="shared" si="29"/>
        <v>1</v>
      </c>
      <c r="C486" s="8">
        <f t="shared" si="30"/>
        <v>622.94291687011696</v>
      </c>
      <c r="D486" s="8">
        <v>485</v>
      </c>
      <c r="E486" s="8">
        <v>225.77638244628901</v>
      </c>
      <c r="F486" s="8">
        <v>69.422599792480398</v>
      </c>
      <c r="G486" s="8"/>
      <c r="H486" s="8">
        <v>485</v>
      </c>
      <c r="I486" s="8">
        <v>226.62283325195301</v>
      </c>
      <c r="J486" s="8">
        <v>74.911193847656193</v>
      </c>
      <c r="K486" s="8"/>
      <c r="L486" s="8">
        <v>485</v>
      </c>
      <c r="M486" s="8">
        <v>170.543701171875</v>
      </c>
      <c r="N486" s="8">
        <v>70.848533630371094</v>
      </c>
      <c r="P486" s="8">
        <f t="shared" si="31"/>
        <v>88.505483627319194</v>
      </c>
      <c r="Q486">
        <v>485</v>
      </c>
      <c r="R486">
        <v>8.0630874633788991</v>
      </c>
      <c r="S486">
        <v>67.893707275390597</v>
      </c>
      <c r="U486">
        <v>485</v>
      </c>
      <c r="V486">
        <v>54.9615058898925</v>
      </c>
      <c r="W486">
        <v>68.841484069824205</v>
      </c>
      <c r="Y486">
        <v>485</v>
      </c>
      <c r="Z486">
        <v>25.480890274047798</v>
      </c>
      <c r="AA486">
        <v>69.8525390625</v>
      </c>
    </row>
    <row r="487" spans="1:27" x14ac:dyDescent="0.25">
      <c r="A487" s="8">
        <f t="shared" si="28"/>
        <v>486</v>
      </c>
      <c r="B487" s="8">
        <f t="shared" si="29"/>
        <v>1</v>
      </c>
      <c r="C487" s="8">
        <f t="shared" si="30"/>
        <v>557.51584625244107</v>
      </c>
      <c r="D487" s="8">
        <v>486</v>
      </c>
      <c r="E487" s="8">
        <v>226.57870483398401</v>
      </c>
      <c r="F487" s="8">
        <v>71.894454956054602</v>
      </c>
      <c r="G487" s="8"/>
      <c r="H487" s="8">
        <v>486</v>
      </c>
      <c r="I487" s="8">
        <v>209.076904296875</v>
      </c>
      <c r="J487" s="8">
        <v>76.711746215820298</v>
      </c>
      <c r="K487" s="8"/>
      <c r="L487" s="8">
        <v>486</v>
      </c>
      <c r="M487" s="8">
        <v>121.860237121582</v>
      </c>
      <c r="N487" s="8">
        <v>72.754135131835895</v>
      </c>
      <c r="P487" s="8">
        <f t="shared" si="31"/>
        <v>140.991687774658</v>
      </c>
      <c r="Q487">
        <v>486</v>
      </c>
      <c r="R487">
        <v>32.1025581359863</v>
      </c>
      <c r="S487">
        <v>72.589172363281193</v>
      </c>
      <c r="U487">
        <v>486</v>
      </c>
      <c r="V487">
        <v>80.877754211425696</v>
      </c>
      <c r="W487">
        <v>71.777801513671804</v>
      </c>
      <c r="Y487">
        <v>486</v>
      </c>
      <c r="Z487">
        <v>28.011375427246001</v>
      </c>
      <c r="AA487">
        <v>71.288253784179602</v>
      </c>
    </row>
    <row r="488" spans="1:27" x14ac:dyDescent="0.25">
      <c r="A488" s="8">
        <f t="shared" si="28"/>
        <v>487</v>
      </c>
      <c r="B488" s="8">
        <f t="shared" si="29"/>
        <v>1</v>
      </c>
      <c r="C488" s="8">
        <f t="shared" si="30"/>
        <v>411.17910766601528</v>
      </c>
      <c r="D488" s="8">
        <v>487</v>
      </c>
      <c r="E488" s="8">
        <v>160.51101684570301</v>
      </c>
      <c r="F488" s="8">
        <v>39.155811309814403</v>
      </c>
      <c r="G488" s="8"/>
      <c r="H488" s="8">
        <v>487</v>
      </c>
      <c r="I488" s="8">
        <v>154.24320983886699</v>
      </c>
      <c r="J488" s="8">
        <v>41.405616760253899</v>
      </c>
      <c r="K488" s="8"/>
      <c r="L488" s="8">
        <v>487</v>
      </c>
      <c r="M488" s="8">
        <v>96.424880981445298</v>
      </c>
      <c r="N488" s="8">
        <v>39.128246307372997</v>
      </c>
      <c r="P488" s="8">
        <f t="shared" si="31"/>
        <v>128.2706489562988</v>
      </c>
      <c r="Q488">
        <v>487</v>
      </c>
      <c r="R488">
        <v>29.281780242919901</v>
      </c>
      <c r="S488">
        <v>65.838783264160099</v>
      </c>
      <c r="U488">
        <v>487</v>
      </c>
      <c r="V488">
        <v>73.491432189941406</v>
      </c>
      <c r="W488">
        <v>65.0177001953125</v>
      </c>
      <c r="Y488">
        <v>487</v>
      </c>
      <c r="Z488">
        <v>25.4974365234375</v>
      </c>
      <c r="AA488">
        <v>64.515579223632798</v>
      </c>
    </row>
    <row r="489" spans="1:27" x14ac:dyDescent="0.25">
      <c r="A489" s="8">
        <f t="shared" si="28"/>
        <v>488</v>
      </c>
      <c r="B489" s="8">
        <f t="shared" si="29"/>
        <v>1</v>
      </c>
      <c r="C489" s="8">
        <f t="shared" si="30"/>
        <v>552.07484436034997</v>
      </c>
      <c r="D489" s="8">
        <v>488</v>
      </c>
      <c r="E489" s="8">
        <v>203.56796264648401</v>
      </c>
      <c r="F489" s="8">
        <v>48.093509674072202</v>
      </c>
      <c r="G489" s="8"/>
      <c r="H489" s="8">
        <v>488</v>
      </c>
      <c r="I489" s="8">
        <v>197.00895690917901</v>
      </c>
      <c r="J489" s="8">
        <v>52.969768524169901</v>
      </c>
      <c r="K489" s="8"/>
      <c r="L489" s="8">
        <v>488</v>
      </c>
      <c r="M489" s="8">
        <v>151.49792480468699</v>
      </c>
      <c r="N489" s="8">
        <v>49.281478881835902</v>
      </c>
      <c r="P489" s="8">
        <f t="shared" si="31"/>
        <v>3.8584591150283734</v>
      </c>
      <c r="Q489">
        <v>488</v>
      </c>
      <c r="R489">
        <v>0.61176240444183305</v>
      </c>
      <c r="S489">
        <v>79.593673706054602</v>
      </c>
      <c r="U489">
        <v>488</v>
      </c>
      <c r="V489">
        <v>2.0008749961853001</v>
      </c>
      <c r="W489">
        <v>80.254043579101506</v>
      </c>
      <c r="Y489">
        <v>488</v>
      </c>
      <c r="Z489">
        <v>1.24582171440124</v>
      </c>
      <c r="AA489">
        <v>82.635169982910099</v>
      </c>
    </row>
    <row r="490" spans="1:27" x14ac:dyDescent="0.25">
      <c r="A490" s="8">
        <f t="shared" si="28"/>
        <v>489</v>
      </c>
      <c r="B490" s="8">
        <f t="shared" si="29"/>
        <v>1</v>
      </c>
      <c r="C490" s="8">
        <f t="shared" si="30"/>
        <v>347.74482727050679</v>
      </c>
      <c r="D490" s="8">
        <v>489</v>
      </c>
      <c r="E490" s="8">
        <v>149.72831726074199</v>
      </c>
      <c r="F490" s="8">
        <v>56.491233825683501</v>
      </c>
      <c r="G490" s="8"/>
      <c r="H490" s="8">
        <v>489</v>
      </c>
      <c r="I490" s="8">
        <v>126.538040161132</v>
      </c>
      <c r="J490" s="8">
        <v>62.321052551269503</v>
      </c>
      <c r="K490" s="8"/>
      <c r="L490" s="8">
        <v>489</v>
      </c>
      <c r="M490" s="8">
        <v>71.478469848632798</v>
      </c>
      <c r="N490" s="8">
        <v>57.532539367675703</v>
      </c>
      <c r="P490" s="8">
        <f t="shared" si="31"/>
        <v>3.8584591150283734</v>
      </c>
      <c r="Q490">
        <v>489</v>
      </c>
      <c r="R490">
        <v>0.61176240444183305</v>
      </c>
      <c r="S490">
        <v>74.916275024414006</v>
      </c>
      <c r="U490">
        <v>489</v>
      </c>
      <c r="V490">
        <v>2.0008749961853001</v>
      </c>
      <c r="W490">
        <v>75.605773925781193</v>
      </c>
      <c r="Y490">
        <v>489</v>
      </c>
      <c r="Z490">
        <v>1.24582171440124</v>
      </c>
      <c r="AA490">
        <v>77.986427307128906</v>
      </c>
    </row>
    <row r="491" spans="1:27" x14ac:dyDescent="0.25">
      <c r="A491" s="8">
        <f t="shared" si="28"/>
        <v>490</v>
      </c>
      <c r="B491" s="8">
        <f t="shared" si="29"/>
        <v>1</v>
      </c>
      <c r="C491" s="8">
        <f t="shared" si="30"/>
        <v>128.4626731872558</v>
      </c>
      <c r="D491" s="8">
        <v>490</v>
      </c>
      <c r="E491" s="8">
        <v>53.387271881103501</v>
      </c>
      <c r="F491" s="8">
        <v>61.681610107421797</v>
      </c>
      <c r="G491" s="8"/>
      <c r="H491" s="8">
        <v>490</v>
      </c>
      <c r="I491" s="8">
        <v>47.647380828857401</v>
      </c>
      <c r="J491" s="8">
        <v>66.667221069335895</v>
      </c>
      <c r="K491" s="8"/>
      <c r="L491" s="8">
        <v>490</v>
      </c>
      <c r="M491" s="8">
        <v>27.428020477294901</v>
      </c>
      <c r="N491" s="8">
        <v>62.045356750488203</v>
      </c>
      <c r="P491" s="8">
        <f t="shared" si="31"/>
        <v>66.88811016082748</v>
      </c>
      <c r="Q491">
        <v>490</v>
      </c>
      <c r="R491">
        <v>7.9048891067504803</v>
      </c>
      <c r="S491">
        <v>73.934242248535099</v>
      </c>
      <c r="U491">
        <v>490</v>
      </c>
      <c r="V491">
        <v>38.494964599609297</v>
      </c>
      <c r="W491">
        <v>73.2149658203125</v>
      </c>
      <c r="Y491">
        <v>490</v>
      </c>
      <c r="Z491">
        <v>20.488256454467699</v>
      </c>
      <c r="AA491">
        <v>74.009185791015597</v>
      </c>
    </row>
    <row r="492" spans="1:27" x14ac:dyDescent="0.25">
      <c r="A492" s="8">
        <f t="shared" si="28"/>
        <v>491</v>
      </c>
      <c r="B492" s="8">
        <f t="shared" si="29"/>
        <v>1</v>
      </c>
      <c r="C492" s="8">
        <f t="shared" si="30"/>
        <v>398.95533752441298</v>
      </c>
      <c r="D492" s="8">
        <v>491</v>
      </c>
      <c r="E492" s="8">
        <v>132.930892944335</v>
      </c>
      <c r="F492" s="8">
        <v>55.087265014648402</v>
      </c>
      <c r="G492" s="8"/>
      <c r="H492" s="8">
        <v>491</v>
      </c>
      <c r="I492" s="8">
        <v>160.33375549316401</v>
      </c>
      <c r="J492" s="8">
        <v>57.322540283203097</v>
      </c>
      <c r="K492" s="8"/>
      <c r="L492" s="8">
        <v>491</v>
      </c>
      <c r="M492" s="8">
        <v>105.69068908691401</v>
      </c>
      <c r="N492" s="8">
        <v>55.103805541992102</v>
      </c>
      <c r="P492" s="8">
        <f t="shared" si="31"/>
        <v>73.582362174987708</v>
      </c>
      <c r="Q492">
        <v>491</v>
      </c>
      <c r="R492">
        <v>10.1678256988525</v>
      </c>
      <c r="S492">
        <v>75.425697326660099</v>
      </c>
      <c r="U492">
        <v>491</v>
      </c>
      <c r="V492">
        <v>49.8005981445312</v>
      </c>
      <c r="W492">
        <v>76.101554870605398</v>
      </c>
      <c r="Y492">
        <v>491</v>
      </c>
      <c r="Z492">
        <v>13.613938331604</v>
      </c>
      <c r="AA492">
        <v>77.056098937988196</v>
      </c>
    </row>
    <row r="493" spans="1:27" x14ac:dyDescent="0.25">
      <c r="A493" s="8">
        <f t="shared" si="28"/>
        <v>492</v>
      </c>
      <c r="B493" s="8">
        <f t="shared" si="29"/>
        <v>1</v>
      </c>
      <c r="C493" s="8">
        <f t="shared" si="30"/>
        <v>222.08379364013661</v>
      </c>
      <c r="D493" s="8">
        <v>492</v>
      </c>
      <c r="E493" s="8">
        <v>79.065101623535099</v>
      </c>
      <c r="F493" s="8">
        <v>44.864143371582003</v>
      </c>
      <c r="G493" s="8"/>
      <c r="H493" s="8">
        <v>492</v>
      </c>
      <c r="I493" s="8">
        <v>86.2843017578125</v>
      </c>
      <c r="J493" s="8">
        <v>47.293758392333899</v>
      </c>
      <c r="K493" s="8"/>
      <c r="L493" s="8">
        <v>492</v>
      </c>
      <c r="M493" s="8">
        <v>56.734390258788999</v>
      </c>
      <c r="N493" s="8">
        <v>44.938377380371001</v>
      </c>
      <c r="P493" s="8">
        <f t="shared" si="31"/>
        <v>76.731077194213597</v>
      </c>
      <c r="Q493">
        <v>492</v>
      </c>
      <c r="R493">
        <v>10.5514373779296</v>
      </c>
      <c r="S493">
        <v>73.755157470703097</v>
      </c>
      <c r="U493">
        <v>492</v>
      </c>
      <c r="V493">
        <v>43.359310150146399</v>
      </c>
      <c r="W493">
        <v>74.083602905273395</v>
      </c>
      <c r="Y493">
        <v>492</v>
      </c>
      <c r="Z493">
        <v>22.820329666137599</v>
      </c>
      <c r="AA493">
        <v>75.885322570800696</v>
      </c>
    </row>
    <row r="494" spans="1:27" x14ac:dyDescent="0.25">
      <c r="A494" s="8">
        <f t="shared" si="28"/>
        <v>493</v>
      </c>
      <c r="B494" s="8">
        <f t="shared" si="29"/>
        <v>1</v>
      </c>
      <c r="C494" s="8">
        <f t="shared" si="30"/>
        <v>302.16883850097588</v>
      </c>
      <c r="D494" s="8">
        <v>493</v>
      </c>
      <c r="E494" s="8">
        <v>110.00681304931599</v>
      </c>
      <c r="F494" s="8">
        <v>38.736923217773402</v>
      </c>
      <c r="G494" s="8"/>
      <c r="H494" s="8">
        <v>493</v>
      </c>
      <c r="I494" s="8">
        <v>119.02349853515599</v>
      </c>
      <c r="J494" s="8">
        <v>41.259941101074197</v>
      </c>
      <c r="K494" s="8"/>
      <c r="L494" s="8">
        <v>493</v>
      </c>
      <c r="M494" s="8">
        <v>73.138526916503906</v>
      </c>
      <c r="N494" s="8">
        <v>38.841217041015597</v>
      </c>
      <c r="P494" s="8">
        <f t="shared" si="31"/>
        <v>93.694236755371008</v>
      </c>
      <c r="Q494">
        <v>493</v>
      </c>
      <c r="R494">
        <v>15.1889286041259</v>
      </c>
      <c r="S494">
        <v>76.548721313476506</v>
      </c>
      <c r="U494">
        <v>493</v>
      </c>
      <c r="V494">
        <v>61.600330352783203</v>
      </c>
      <c r="W494">
        <v>75.888580322265597</v>
      </c>
      <c r="Y494">
        <v>493</v>
      </c>
      <c r="Z494">
        <v>16.9049777984619</v>
      </c>
      <c r="AA494">
        <v>76.158508300781193</v>
      </c>
    </row>
    <row r="495" spans="1:27" x14ac:dyDescent="0.25">
      <c r="A495" s="8">
        <f t="shared" si="28"/>
        <v>494</v>
      </c>
      <c r="B495" s="8">
        <f t="shared" si="29"/>
        <v>1</v>
      </c>
      <c r="C495" s="8">
        <f t="shared" si="30"/>
        <v>202.36744689941398</v>
      </c>
      <c r="D495" s="8">
        <v>494</v>
      </c>
      <c r="E495" s="8">
        <v>74.083740234375</v>
      </c>
      <c r="F495" s="8">
        <v>43.229598999023402</v>
      </c>
      <c r="G495" s="8"/>
      <c r="H495" s="8">
        <v>494</v>
      </c>
      <c r="I495" s="8">
        <v>74.906822204589801</v>
      </c>
      <c r="J495" s="8">
        <v>46.427543640136697</v>
      </c>
      <c r="K495" s="8"/>
      <c r="L495" s="8">
        <v>494</v>
      </c>
      <c r="M495" s="8">
        <v>53.376884460449197</v>
      </c>
      <c r="N495" s="8">
        <v>43.575729370117102</v>
      </c>
      <c r="P495" s="8">
        <f t="shared" si="31"/>
        <v>0.96855740994214801</v>
      </c>
      <c r="Q495">
        <v>494</v>
      </c>
      <c r="R495">
        <v>0.23542219400405801</v>
      </c>
      <c r="S495">
        <v>52.427360534667898</v>
      </c>
      <c r="U495">
        <v>494</v>
      </c>
      <c r="V495">
        <v>0.62599235773086503</v>
      </c>
      <c r="W495">
        <v>52.389781951904297</v>
      </c>
      <c r="Y495">
        <v>494</v>
      </c>
      <c r="Z495">
        <v>0.10714285820722499</v>
      </c>
      <c r="AA495">
        <v>52.905662536621001</v>
      </c>
    </row>
    <row r="496" spans="1:27" x14ac:dyDescent="0.25">
      <c r="A496" s="8">
        <f t="shared" si="28"/>
        <v>495</v>
      </c>
      <c r="B496" s="8">
        <f t="shared" si="29"/>
        <v>1</v>
      </c>
      <c r="C496" s="8">
        <f t="shared" si="30"/>
        <v>331.45143890380785</v>
      </c>
      <c r="D496" s="8">
        <v>495</v>
      </c>
      <c r="E496" s="8">
        <v>136.00892639160099</v>
      </c>
      <c r="F496" s="8">
        <v>67.826347351074205</v>
      </c>
      <c r="G496" s="8"/>
      <c r="H496" s="8">
        <v>495</v>
      </c>
      <c r="I496" s="8">
        <v>113.75527191162099</v>
      </c>
      <c r="J496" s="8">
        <v>70.757797241210895</v>
      </c>
      <c r="K496" s="8"/>
      <c r="L496" s="8">
        <v>495</v>
      </c>
      <c r="M496" s="8">
        <v>81.687240600585895</v>
      </c>
      <c r="N496" s="8">
        <v>68.931991577148395</v>
      </c>
      <c r="P496" s="8">
        <f t="shared" si="31"/>
        <v>1.2412847802042939</v>
      </c>
      <c r="Q496">
        <v>495</v>
      </c>
      <c r="R496">
        <v>0.23542219400405801</v>
      </c>
      <c r="S496">
        <v>59.3094482421875</v>
      </c>
      <c r="U496">
        <v>495</v>
      </c>
      <c r="V496">
        <v>0.89871972799301103</v>
      </c>
      <c r="W496">
        <v>59.249183654785099</v>
      </c>
      <c r="Y496">
        <v>495</v>
      </c>
      <c r="Z496">
        <v>0.10714285820722499</v>
      </c>
      <c r="AA496">
        <v>59.767242431640597</v>
      </c>
    </row>
    <row r="497" spans="1:27" x14ac:dyDescent="0.25">
      <c r="A497" s="8">
        <f t="shared" si="28"/>
        <v>496</v>
      </c>
      <c r="B497" s="8">
        <f t="shared" si="29"/>
        <v>1</v>
      </c>
      <c r="C497" s="8">
        <f t="shared" si="30"/>
        <v>39.209852218627802</v>
      </c>
      <c r="D497" s="8">
        <v>496</v>
      </c>
      <c r="E497" s="8">
        <v>16.9619235992431</v>
      </c>
      <c r="F497" s="8">
        <v>62.631942749023402</v>
      </c>
      <c r="G497" s="8"/>
      <c r="H497" s="8">
        <v>496</v>
      </c>
      <c r="I497" s="8">
        <v>11.934744834899901</v>
      </c>
      <c r="J497" s="8">
        <v>64.842239379882798</v>
      </c>
      <c r="K497" s="8"/>
      <c r="L497" s="8">
        <v>496</v>
      </c>
      <c r="M497" s="8">
        <v>10.313183784484799</v>
      </c>
      <c r="N497" s="8">
        <v>63.381114959716797</v>
      </c>
      <c r="P497" s="8">
        <f t="shared" si="31"/>
        <v>53.903676271438599</v>
      </c>
      <c r="Q497">
        <v>496</v>
      </c>
      <c r="R497">
        <v>2.89834427833557</v>
      </c>
      <c r="S497">
        <v>81.001792907714801</v>
      </c>
      <c r="U497">
        <v>496</v>
      </c>
      <c r="V497">
        <v>41.619617462158203</v>
      </c>
      <c r="W497">
        <v>81.398033142089801</v>
      </c>
      <c r="Y497">
        <v>496</v>
      </c>
      <c r="Z497">
        <v>9.3857145309448207</v>
      </c>
      <c r="AA497">
        <v>81.431747436523395</v>
      </c>
    </row>
    <row r="498" spans="1:27" x14ac:dyDescent="0.25">
      <c r="A498" s="8">
        <f t="shared" si="28"/>
        <v>497</v>
      </c>
      <c r="B498" s="8">
        <f t="shared" si="29"/>
        <v>1</v>
      </c>
      <c r="C498" s="8">
        <f t="shared" si="30"/>
        <v>19.604926109313958</v>
      </c>
      <c r="D498" s="8">
        <v>497</v>
      </c>
      <c r="E498" s="8">
        <v>8.4809617996215803</v>
      </c>
      <c r="F498" s="8">
        <v>62.631942749023402</v>
      </c>
      <c r="G498" s="8"/>
      <c r="H498" s="8">
        <v>497</v>
      </c>
      <c r="I498" s="8">
        <v>5.9673724174499503</v>
      </c>
      <c r="J498" s="8">
        <v>64.842239379882798</v>
      </c>
      <c r="K498" s="8"/>
      <c r="L498" s="8">
        <v>497</v>
      </c>
      <c r="M498" s="8">
        <v>5.1565918922424299</v>
      </c>
      <c r="N498" s="8">
        <v>63.381114959716797</v>
      </c>
      <c r="P498" s="8">
        <f t="shared" si="31"/>
        <v>56.180380821227907</v>
      </c>
      <c r="Q498">
        <v>497</v>
      </c>
      <c r="R498">
        <v>12.093629837036101</v>
      </c>
      <c r="S498">
        <v>79.884147644042898</v>
      </c>
      <c r="U498">
        <v>497</v>
      </c>
      <c r="V498">
        <v>35.943893432617102</v>
      </c>
      <c r="W498">
        <v>80.541946411132798</v>
      </c>
      <c r="Y498">
        <v>497</v>
      </c>
      <c r="Z498">
        <v>8.1428575515746999</v>
      </c>
      <c r="AA498">
        <v>80.516883850097599</v>
      </c>
    </row>
    <row r="499" spans="1:27" x14ac:dyDescent="0.25">
      <c r="A499" s="8">
        <f t="shared" si="28"/>
        <v>498</v>
      </c>
      <c r="B499" s="8">
        <f t="shared" si="29"/>
        <v>1</v>
      </c>
      <c r="C499" s="8">
        <f t="shared" si="30"/>
        <v>587.963851928709</v>
      </c>
      <c r="D499" s="8">
        <v>498</v>
      </c>
      <c r="E499" s="8">
        <v>210.64863586425699</v>
      </c>
      <c r="F499" s="8">
        <v>82.034255981445298</v>
      </c>
      <c r="G499" s="8"/>
      <c r="H499" s="8">
        <v>498</v>
      </c>
      <c r="I499" s="8">
        <v>231.32647705078099</v>
      </c>
      <c r="J499" s="8">
        <v>85.302825927734304</v>
      </c>
      <c r="K499" s="8"/>
      <c r="L499" s="8">
        <v>498</v>
      </c>
      <c r="M499" s="8">
        <v>145.98873901367099</v>
      </c>
      <c r="N499" s="8">
        <v>82.962913513183594</v>
      </c>
      <c r="P499" s="8">
        <f t="shared" si="31"/>
        <v>3.5494869947433378</v>
      </c>
      <c r="Q499">
        <v>498</v>
      </c>
      <c r="R499">
        <v>0.27997916936874301</v>
      </c>
      <c r="S499">
        <v>52.866512298583899</v>
      </c>
      <c r="U499">
        <v>498</v>
      </c>
      <c r="V499">
        <v>2.4552221298217698</v>
      </c>
      <c r="W499">
        <v>53.198337554931598</v>
      </c>
      <c r="Y499">
        <v>498</v>
      </c>
      <c r="Z499">
        <v>0.81428569555282504</v>
      </c>
      <c r="AA499">
        <v>53.937908172607401</v>
      </c>
    </row>
    <row r="500" spans="1:27" x14ac:dyDescent="0.25">
      <c r="A500" s="8">
        <f t="shared" si="28"/>
        <v>499</v>
      </c>
      <c r="B500" s="8">
        <f t="shared" si="29"/>
        <v>1</v>
      </c>
      <c r="C500" s="8">
        <f t="shared" si="30"/>
        <v>625.14730834960699</v>
      </c>
      <c r="D500" s="8">
        <v>499</v>
      </c>
      <c r="E500" s="8">
        <v>217.77140808105401</v>
      </c>
      <c r="F500" s="8">
        <v>77.691566467285099</v>
      </c>
      <c r="G500" s="8"/>
      <c r="H500" s="8">
        <v>499</v>
      </c>
      <c r="I500" s="8">
        <v>223.22335815429599</v>
      </c>
      <c r="J500" s="8">
        <v>81.369956970214801</v>
      </c>
      <c r="K500" s="8"/>
      <c r="L500" s="8">
        <v>499</v>
      </c>
      <c r="M500" s="8">
        <v>184.15254211425699</v>
      </c>
      <c r="N500" s="8">
        <v>78.942672729492102</v>
      </c>
      <c r="P500" s="8">
        <f t="shared" si="31"/>
        <v>20.166989803314191</v>
      </c>
      <c r="Q500">
        <v>499</v>
      </c>
      <c r="R500">
        <v>7.2692308425903303</v>
      </c>
      <c r="S500">
        <v>50.667518615722599</v>
      </c>
      <c r="U500">
        <v>499</v>
      </c>
      <c r="V500">
        <v>7.8503527641296298</v>
      </c>
      <c r="W500">
        <v>51.184791564941399</v>
      </c>
      <c r="Y500">
        <v>499</v>
      </c>
      <c r="Z500">
        <v>5.0474061965942303</v>
      </c>
      <c r="AA500">
        <v>51.160396575927699</v>
      </c>
    </row>
    <row r="501" spans="1:27" x14ac:dyDescent="0.25">
      <c r="A501" s="8">
        <f t="shared" si="28"/>
        <v>500</v>
      </c>
      <c r="B501" s="8">
        <f t="shared" si="29"/>
        <v>1</v>
      </c>
      <c r="C501" s="8">
        <f t="shared" si="30"/>
        <v>327.09068298339685</v>
      </c>
      <c r="D501" s="8">
        <v>500</v>
      </c>
      <c r="E501" s="8">
        <v>115.343460083007</v>
      </c>
      <c r="F501" s="8">
        <v>53.976791381835902</v>
      </c>
      <c r="G501" s="8"/>
      <c r="H501" s="8">
        <v>500</v>
      </c>
      <c r="I501" s="8">
        <v>129.17523193359301</v>
      </c>
      <c r="J501" s="8">
        <v>56.1931343078613</v>
      </c>
      <c r="K501" s="8"/>
      <c r="L501" s="8">
        <v>500</v>
      </c>
      <c r="M501" s="8">
        <v>82.571990966796804</v>
      </c>
      <c r="N501" s="8">
        <v>54.432750701904297</v>
      </c>
      <c r="P501" s="8">
        <f t="shared" si="31"/>
        <v>28.49592161178585</v>
      </c>
      <c r="Q501">
        <v>500</v>
      </c>
      <c r="R501">
        <v>4.5805430412292401</v>
      </c>
      <c r="S501">
        <v>57.968471527099602</v>
      </c>
      <c r="U501">
        <v>500</v>
      </c>
      <c r="V501">
        <v>14.671638488769499</v>
      </c>
      <c r="W501">
        <v>58.566604614257798</v>
      </c>
      <c r="Y501">
        <v>500</v>
      </c>
      <c r="Z501">
        <v>9.2437400817871094</v>
      </c>
      <c r="AA501">
        <v>58.683563232421797</v>
      </c>
    </row>
    <row r="502" spans="1:27" x14ac:dyDescent="0.25">
      <c r="A502" s="8">
        <f t="shared" si="28"/>
        <v>501</v>
      </c>
      <c r="B502" s="8">
        <f t="shared" si="29"/>
        <v>1</v>
      </c>
      <c r="C502" s="8">
        <f t="shared" si="30"/>
        <v>370.04864501953</v>
      </c>
      <c r="D502" s="8">
        <v>501</v>
      </c>
      <c r="E502" s="8">
        <v>126.48141479492099</v>
      </c>
      <c r="F502" s="8">
        <v>56.285877227783203</v>
      </c>
      <c r="G502" s="8"/>
      <c r="H502" s="8">
        <v>501</v>
      </c>
      <c r="I502" s="8">
        <v>131.44564819335901</v>
      </c>
      <c r="J502" s="8">
        <v>59.494083404541001</v>
      </c>
      <c r="K502" s="8"/>
      <c r="L502" s="8">
        <v>501</v>
      </c>
      <c r="M502" s="8">
        <v>112.12158203125</v>
      </c>
      <c r="N502" s="8">
        <v>57.221530914306598</v>
      </c>
      <c r="P502" s="8">
        <f t="shared" si="31"/>
        <v>47.877746582031143</v>
      </c>
      <c r="Q502">
        <v>501</v>
      </c>
      <c r="R502">
        <v>6.9092464447021396</v>
      </c>
      <c r="S502">
        <v>52.511569976806598</v>
      </c>
      <c r="U502">
        <v>501</v>
      </c>
      <c r="V502">
        <v>29.102022171020501</v>
      </c>
      <c r="W502">
        <v>53.049976348876903</v>
      </c>
      <c r="Y502">
        <v>501</v>
      </c>
      <c r="Z502">
        <v>11.8664779663085</v>
      </c>
      <c r="AA502">
        <v>53.601272583007798</v>
      </c>
    </row>
    <row r="503" spans="1:27" x14ac:dyDescent="0.25">
      <c r="A503" s="8">
        <f t="shared" si="28"/>
        <v>502</v>
      </c>
      <c r="B503" s="8">
        <f t="shared" si="29"/>
        <v>1</v>
      </c>
      <c r="C503" s="8">
        <f t="shared" si="30"/>
        <v>300.29402923583831</v>
      </c>
      <c r="D503" s="8">
        <v>502</v>
      </c>
      <c r="E503" s="8">
        <v>106.54362487792901</v>
      </c>
      <c r="F503" s="8">
        <v>67.303657531738196</v>
      </c>
      <c r="G503" s="8"/>
      <c r="H503" s="8">
        <v>502</v>
      </c>
      <c r="I503" s="8">
        <v>112.757522583007</v>
      </c>
      <c r="J503" s="8">
        <v>70.658187866210895</v>
      </c>
      <c r="K503" s="8"/>
      <c r="L503" s="8">
        <v>502</v>
      </c>
      <c r="M503" s="8">
        <v>80.992881774902301</v>
      </c>
      <c r="N503" s="8">
        <v>68.018096923828097</v>
      </c>
      <c r="P503" s="8">
        <f t="shared" si="31"/>
        <v>45.387735843658426</v>
      </c>
      <c r="Q503">
        <v>502</v>
      </c>
      <c r="R503">
        <v>6.2520880699157697</v>
      </c>
      <c r="S503">
        <v>57.617435455322202</v>
      </c>
      <c r="U503">
        <v>502</v>
      </c>
      <c r="V503">
        <v>29.726161956787099</v>
      </c>
      <c r="W503">
        <v>58.157573699951101</v>
      </c>
      <c r="Y503">
        <v>502</v>
      </c>
      <c r="Z503">
        <v>9.4094858169555593</v>
      </c>
      <c r="AA503">
        <v>58.338424682617102</v>
      </c>
    </row>
    <row r="504" spans="1:27" x14ac:dyDescent="0.25">
      <c r="A504" s="8">
        <f t="shared" si="28"/>
        <v>503</v>
      </c>
      <c r="B504" s="8">
        <f t="shared" si="29"/>
        <v>1</v>
      </c>
      <c r="C504" s="8">
        <f t="shared" si="30"/>
        <v>235.71160125732411</v>
      </c>
      <c r="D504" s="8">
        <v>503</v>
      </c>
      <c r="E504" s="8">
        <v>98.600791931152301</v>
      </c>
      <c r="F504" s="8">
        <v>63.204166412353501</v>
      </c>
      <c r="G504" s="8"/>
      <c r="H504" s="8">
        <v>503</v>
      </c>
      <c r="I504" s="8">
        <v>85.973052978515597</v>
      </c>
      <c r="J504" s="8">
        <v>66.667556762695298</v>
      </c>
      <c r="K504" s="8"/>
      <c r="L504" s="8">
        <v>503</v>
      </c>
      <c r="M504" s="8">
        <v>51.1377563476562</v>
      </c>
      <c r="N504" s="8">
        <v>63.905113220214801</v>
      </c>
      <c r="P504" s="8">
        <f t="shared" si="31"/>
        <v>9.214503645896901</v>
      </c>
      <c r="Q504">
        <v>503</v>
      </c>
      <c r="R504">
        <v>1.18688416481018</v>
      </c>
      <c r="S504">
        <v>60.094635009765597</v>
      </c>
      <c r="U504">
        <v>503</v>
      </c>
      <c r="V504">
        <v>6.2603225708007804</v>
      </c>
      <c r="W504">
        <v>60.573623657226499</v>
      </c>
      <c r="Y504">
        <v>503</v>
      </c>
      <c r="Z504">
        <v>1.7672969102859399</v>
      </c>
      <c r="AA504">
        <v>61.182571411132798</v>
      </c>
    </row>
    <row r="505" spans="1:27" x14ac:dyDescent="0.25">
      <c r="A505" s="8">
        <f t="shared" si="28"/>
        <v>504</v>
      </c>
      <c r="B505" s="8">
        <f t="shared" si="29"/>
        <v>1</v>
      </c>
      <c r="C505" s="8">
        <f t="shared" si="30"/>
        <v>54.751917839050201</v>
      </c>
      <c r="D505" s="8">
        <v>504</v>
      </c>
      <c r="E505" s="8">
        <v>23.380098342895501</v>
      </c>
      <c r="F505" s="8">
        <v>28.58101272583</v>
      </c>
      <c r="G505" s="8"/>
      <c r="H505" s="8">
        <v>504</v>
      </c>
      <c r="I505" s="8">
        <v>21.373836517333899</v>
      </c>
      <c r="J505" s="8">
        <v>31.6077575683593</v>
      </c>
      <c r="K505" s="8"/>
      <c r="L505" s="8">
        <v>504</v>
      </c>
      <c r="M505" s="8">
        <v>9.9979829788208008</v>
      </c>
      <c r="N505" s="8">
        <v>29.445568084716701</v>
      </c>
      <c r="P505" s="8">
        <f t="shared" si="31"/>
        <v>584.1301040649405</v>
      </c>
      <c r="Q505">
        <v>504</v>
      </c>
      <c r="R505">
        <v>77.682136535644503</v>
      </c>
      <c r="S505">
        <v>80.18798828125</v>
      </c>
      <c r="U505">
        <v>504</v>
      </c>
      <c r="V505">
        <v>371.63351440429602</v>
      </c>
      <c r="W505">
        <v>82.010948181152301</v>
      </c>
      <c r="Y505">
        <v>504</v>
      </c>
      <c r="Z505">
        <v>134.814453125</v>
      </c>
      <c r="AA505">
        <v>83.627548217773395</v>
      </c>
    </row>
    <row r="506" spans="1:27" x14ac:dyDescent="0.25">
      <c r="A506" s="8">
        <f t="shared" si="28"/>
        <v>505</v>
      </c>
      <c r="B506" s="8">
        <f t="shared" si="29"/>
        <v>1</v>
      </c>
      <c r="C506" s="8">
        <f t="shared" si="30"/>
        <v>33.248100280761641</v>
      </c>
      <c r="D506" s="8">
        <v>505</v>
      </c>
      <c r="E506" s="8">
        <v>12.278783798217701</v>
      </c>
      <c r="F506" s="8">
        <v>27.471778869628899</v>
      </c>
      <c r="G506" s="8"/>
      <c r="H506" s="8">
        <v>505</v>
      </c>
      <c r="I506" s="8">
        <v>12.2383975982666</v>
      </c>
      <c r="J506" s="8">
        <v>28.682947158813398</v>
      </c>
      <c r="K506" s="8"/>
      <c r="L506" s="8">
        <v>505</v>
      </c>
      <c r="M506" s="8">
        <v>8.7309188842773402</v>
      </c>
      <c r="N506" s="8">
        <v>28.302942276000898</v>
      </c>
      <c r="P506" s="8">
        <f t="shared" si="31"/>
        <v>635.79953002929506</v>
      </c>
      <c r="Q506">
        <v>505</v>
      </c>
      <c r="R506">
        <v>107.839790344238</v>
      </c>
      <c r="S506">
        <v>80.836990356445298</v>
      </c>
      <c r="U506">
        <v>505</v>
      </c>
      <c r="V506">
        <v>409.64471435546801</v>
      </c>
      <c r="W506">
        <v>80.812683105468693</v>
      </c>
      <c r="Y506">
        <v>505</v>
      </c>
      <c r="Z506">
        <v>118.31502532958901</v>
      </c>
      <c r="AA506">
        <v>80.623130798339801</v>
      </c>
    </row>
    <row r="507" spans="1:27" x14ac:dyDescent="0.25">
      <c r="A507" s="8">
        <f t="shared" si="28"/>
        <v>506</v>
      </c>
      <c r="B507" s="8">
        <f t="shared" si="29"/>
        <v>1</v>
      </c>
      <c r="C507" s="8">
        <f t="shared" si="30"/>
        <v>89.574489593505703</v>
      </c>
      <c r="D507" s="8">
        <v>506</v>
      </c>
      <c r="E507" s="8">
        <v>37.797645568847599</v>
      </c>
      <c r="F507" s="8">
        <v>49.170272827148402</v>
      </c>
      <c r="G507" s="8"/>
      <c r="H507" s="8">
        <v>506</v>
      </c>
      <c r="I507" s="8">
        <v>31.445995330810501</v>
      </c>
      <c r="J507" s="8">
        <v>52.425930023193303</v>
      </c>
      <c r="K507" s="8"/>
      <c r="L507" s="8">
        <v>506</v>
      </c>
      <c r="M507" s="8">
        <v>20.330848693847599</v>
      </c>
      <c r="N507" s="8">
        <v>48.588420867919901</v>
      </c>
      <c r="P507" s="8">
        <f t="shared" si="31"/>
        <v>628.19043731689442</v>
      </c>
      <c r="Q507">
        <v>506</v>
      </c>
      <c r="R507">
        <v>83.632301330566406</v>
      </c>
      <c r="S507">
        <v>74.507270812988196</v>
      </c>
      <c r="U507">
        <v>506</v>
      </c>
      <c r="V507">
        <v>399.137451171875</v>
      </c>
      <c r="W507">
        <v>76.238784790039006</v>
      </c>
      <c r="Y507">
        <v>506</v>
      </c>
      <c r="Z507">
        <v>145.42068481445301</v>
      </c>
      <c r="AA507">
        <v>77.880447387695298</v>
      </c>
    </row>
    <row r="508" spans="1:27" x14ac:dyDescent="0.25">
      <c r="A508" s="8">
        <f t="shared" si="28"/>
        <v>507</v>
      </c>
      <c r="B508" s="8">
        <f t="shared" si="29"/>
        <v>1</v>
      </c>
      <c r="C508" s="8">
        <f t="shared" si="30"/>
        <v>44.787244796752802</v>
      </c>
      <c r="D508" s="8">
        <v>507</v>
      </c>
      <c r="E508" s="8">
        <v>18.8988227844238</v>
      </c>
      <c r="F508" s="8">
        <v>49.170272827148402</v>
      </c>
      <c r="G508" s="8"/>
      <c r="H508" s="8">
        <v>507</v>
      </c>
      <c r="I508" s="8">
        <v>15.722997665405201</v>
      </c>
      <c r="J508" s="8">
        <v>52.425930023193303</v>
      </c>
      <c r="K508" s="8"/>
      <c r="L508" s="8">
        <v>507</v>
      </c>
      <c r="M508" s="8">
        <v>10.1654243469238</v>
      </c>
      <c r="N508" s="8">
        <v>48.588420867919901</v>
      </c>
      <c r="P508" s="8">
        <f t="shared" si="31"/>
        <v>656.34820556640409</v>
      </c>
      <c r="Q508">
        <v>507</v>
      </c>
      <c r="R508">
        <v>112.45504760742099</v>
      </c>
      <c r="S508">
        <v>73.417686462402301</v>
      </c>
      <c r="U508">
        <v>507</v>
      </c>
      <c r="V508">
        <v>423.55148315429602</v>
      </c>
      <c r="W508">
        <v>73.343330383300696</v>
      </c>
      <c r="Y508">
        <v>507</v>
      </c>
      <c r="Z508">
        <v>120.341674804687</v>
      </c>
      <c r="AA508">
        <v>73.182044982910099</v>
      </c>
    </row>
    <row r="509" spans="1:27" x14ac:dyDescent="0.25">
      <c r="A509" s="8">
        <f t="shared" si="28"/>
        <v>508</v>
      </c>
      <c r="B509" s="8">
        <f t="shared" si="29"/>
        <v>1</v>
      </c>
      <c r="C509" s="8">
        <f t="shared" si="30"/>
        <v>40.065443992614604</v>
      </c>
      <c r="D509" s="8">
        <v>508</v>
      </c>
      <c r="E509" s="8">
        <v>17.429759979248001</v>
      </c>
      <c r="F509" s="8">
        <v>30.801277160644499</v>
      </c>
      <c r="G509" s="8"/>
      <c r="H509" s="8">
        <v>508</v>
      </c>
      <c r="I509" s="8">
        <v>14.8373498916625</v>
      </c>
      <c r="J509" s="8">
        <v>33.834434509277301</v>
      </c>
      <c r="K509" s="8"/>
      <c r="L509" s="8">
        <v>508</v>
      </c>
      <c r="M509" s="8">
        <v>7.7983341217040998</v>
      </c>
      <c r="N509" s="8">
        <v>30.1323547363281</v>
      </c>
      <c r="P509" s="8">
        <f t="shared" si="31"/>
        <v>54.80764055252061</v>
      </c>
      <c r="Q509">
        <v>508</v>
      </c>
      <c r="R509">
        <v>7.3832116127014098</v>
      </c>
      <c r="S509">
        <v>87.028610229492102</v>
      </c>
      <c r="U509">
        <v>508</v>
      </c>
      <c r="V509">
        <v>35.640884399413999</v>
      </c>
      <c r="W509">
        <v>88.750709533691406</v>
      </c>
      <c r="Y509">
        <v>508</v>
      </c>
      <c r="Z509">
        <v>11.783544540405201</v>
      </c>
      <c r="AA509">
        <v>90.130065917968693</v>
      </c>
    </row>
    <row r="510" spans="1:27" x14ac:dyDescent="0.25">
      <c r="A510" s="8">
        <f t="shared" si="28"/>
        <v>509</v>
      </c>
      <c r="B510" s="8">
        <f t="shared" si="29"/>
        <v>1</v>
      </c>
      <c r="C510" s="8">
        <f t="shared" si="30"/>
        <v>360.58902740478425</v>
      </c>
      <c r="D510" s="8">
        <v>509</v>
      </c>
      <c r="E510" s="8">
        <v>156.86785888671801</v>
      </c>
      <c r="F510" s="8">
        <v>30.801277160644499</v>
      </c>
      <c r="G510" s="8"/>
      <c r="H510" s="8">
        <v>509</v>
      </c>
      <c r="I510" s="8">
        <v>133.53616333007801</v>
      </c>
      <c r="J510" s="8">
        <v>33.834434509277301</v>
      </c>
      <c r="K510" s="8"/>
      <c r="L510" s="8">
        <v>509</v>
      </c>
      <c r="M510" s="8">
        <v>70.185005187988196</v>
      </c>
      <c r="N510" s="8">
        <v>30.1323547363281</v>
      </c>
      <c r="P510" s="8">
        <f t="shared" si="31"/>
        <v>11.035788357257832</v>
      </c>
      <c r="Q510">
        <v>509</v>
      </c>
      <c r="R510">
        <v>0.84995514154434204</v>
      </c>
      <c r="S510">
        <v>54.292644500732401</v>
      </c>
      <c r="U510">
        <v>509</v>
      </c>
      <c r="V510">
        <v>8.0652036666870099</v>
      </c>
      <c r="W510">
        <v>55.933467864990199</v>
      </c>
      <c r="Y510">
        <v>509</v>
      </c>
      <c r="Z510">
        <v>2.1206295490264799</v>
      </c>
      <c r="AA510">
        <v>57.112674713134702</v>
      </c>
    </row>
    <row r="511" spans="1:27" x14ac:dyDescent="0.25">
      <c r="A511" s="8">
        <f t="shared" si="28"/>
        <v>510</v>
      </c>
      <c r="B511" s="8">
        <f t="shared" si="29"/>
        <v>1</v>
      </c>
      <c r="C511" s="8">
        <f t="shared" si="30"/>
        <v>52.614110946655195</v>
      </c>
      <c r="D511" s="8">
        <v>510</v>
      </c>
      <c r="E511" s="8">
        <v>17.993078231811499</v>
      </c>
      <c r="F511" s="8">
        <v>35.622604370117102</v>
      </c>
      <c r="G511" s="8"/>
      <c r="H511" s="8">
        <v>510</v>
      </c>
      <c r="I511" s="8">
        <v>18.664922714233398</v>
      </c>
      <c r="J511" s="8">
        <v>38.444644927978501</v>
      </c>
      <c r="K511" s="8"/>
      <c r="L511" s="8">
        <v>510</v>
      </c>
      <c r="M511" s="8">
        <v>15.9561100006103</v>
      </c>
      <c r="N511" s="8">
        <v>36.444461822509702</v>
      </c>
      <c r="P511" s="8">
        <f t="shared" si="31"/>
        <v>1.2087272256612769</v>
      </c>
      <c r="Q511">
        <v>510</v>
      </c>
      <c r="R511">
        <v>0.131505191326141</v>
      </c>
      <c r="S511">
        <v>26.4053134918212</v>
      </c>
      <c r="U511">
        <v>510</v>
      </c>
      <c r="V511">
        <v>0.87041652202606201</v>
      </c>
      <c r="W511">
        <v>26.581386566162099</v>
      </c>
      <c r="Y511">
        <v>510</v>
      </c>
      <c r="Z511">
        <v>0.20680551230907401</v>
      </c>
      <c r="AA511">
        <v>26.632585525512599</v>
      </c>
    </row>
    <row r="512" spans="1:27" x14ac:dyDescent="0.25">
      <c r="A512" s="8">
        <f t="shared" si="28"/>
        <v>511</v>
      </c>
      <c r="B512" s="8">
        <f t="shared" si="29"/>
        <v>1</v>
      </c>
      <c r="C512" s="8">
        <f t="shared" si="30"/>
        <v>526.44789886474405</v>
      </c>
      <c r="D512" s="8">
        <v>511</v>
      </c>
      <c r="E512" s="8">
        <v>205.37986755371</v>
      </c>
      <c r="F512" s="8">
        <v>39.686683654785099</v>
      </c>
      <c r="G512" s="8"/>
      <c r="H512" s="8">
        <v>511</v>
      </c>
      <c r="I512" s="8">
        <v>195.07246398925699</v>
      </c>
      <c r="J512" s="8">
        <v>41.883037567138601</v>
      </c>
      <c r="K512" s="8"/>
      <c r="L512" s="8">
        <v>511</v>
      </c>
      <c r="M512" s="8">
        <v>125.995567321777</v>
      </c>
      <c r="N512" s="8">
        <v>39.848331451416001</v>
      </c>
      <c r="P512" s="8">
        <f t="shared" si="31"/>
        <v>5.1462290883064208</v>
      </c>
      <c r="Q512">
        <v>511</v>
      </c>
      <c r="R512">
        <v>0.857191503047943</v>
      </c>
      <c r="S512">
        <v>53.722419738769503</v>
      </c>
      <c r="U512">
        <v>511</v>
      </c>
      <c r="V512">
        <v>3.3458397388458199</v>
      </c>
      <c r="W512">
        <v>54.0535469055175</v>
      </c>
      <c r="Y512">
        <v>511</v>
      </c>
      <c r="Z512">
        <v>0.94319784641265803</v>
      </c>
      <c r="AA512">
        <v>54.236820220947202</v>
      </c>
    </row>
    <row r="513" spans="1:27" x14ac:dyDescent="0.25">
      <c r="A513" s="8">
        <f t="shared" si="28"/>
        <v>512</v>
      </c>
      <c r="B513" s="8">
        <f t="shared" si="29"/>
        <v>1</v>
      </c>
      <c r="C513" s="8">
        <f t="shared" si="30"/>
        <v>161.33499526977531</v>
      </c>
      <c r="D513" s="8">
        <v>512</v>
      </c>
      <c r="E513" s="8">
        <v>64.229248046875</v>
      </c>
      <c r="F513" s="8">
        <v>47.502193450927699</v>
      </c>
      <c r="G513" s="8"/>
      <c r="H513" s="8">
        <v>512</v>
      </c>
      <c r="I513" s="8">
        <v>57.522842407226499</v>
      </c>
      <c r="J513" s="8">
        <v>49.693771362304602</v>
      </c>
      <c r="K513" s="8"/>
      <c r="L513" s="8">
        <v>512</v>
      </c>
      <c r="M513" s="8">
        <v>39.5829048156738</v>
      </c>
      <c r="N513" s="8">
        <v>47.170467376708899</v>
      </c>
      <c r="P513" s="8">
        <f t="shared" si="31"/>
        <v>119.28070449829079</v>
      </c>
      <c r="Q513">
        <v>512</v>
      </c>
      <c r="R513">
        <v>12.992809295654199</v>
      </c>
      <c r="S513">
        <v>42.5083198547363</v>
      </c>
      <c r="U513">
        <v>512</v>
      </c>
      <c r="V513">
        <v>77.926460266113196</v>
      </c>
      <c r="W513">
        <v>43.141452789306598</v>
      </c>
      <c r="Y513">
        <v>512</v>
      </c>
      <c r="Z513">
        <v>28.361434936523398</v>
      </c>
      <c r="AA513">
        <v>43.254661560058501</v>
      </c>
    </row>
    <row r="514" spans="1:27" x14ac:dyDescent="0.25">
      <c r="A514" s="8">
        <f t="shared" si="28"/>
        <v>513</v>
      </c>
      <c r="B514" s="8">
        <f t="shared" si="29"/>
        <v>1</v>
      </c>
      <c r="C514" s="8">
        <f t="shared" si="30"/>
        <v>229.0954246520987</v>
      </c>
      <c r="D514" s="8">
        <v>513</v>
      </c>
      <c r="E514" s="8">
        <v>100.90631866455</v>
      </c>
      <c r="F514" s="8">
        <v>60.778038024902301</v>
      </c>
      <c r="G514" s="8"/>
      <c r="H514" s="8">
        <v>513</v>
      </c>
      <c r="I514" s="8">
        <v>79.311958312988196</v>
      </c>
      <c r="J514" s="8">
        <v>63.219165802001903</v>
      </c>
      <c r="K514" s="8"/>
      <c r="L514" s="8">
        <v>513</v>
      </c>
      <c r="M514" s="8">
        <v>48.877147674560497</v>
      </c>
      <c r="N514" s="8">
        <v>60.824188232421797</v>
      </c>
      <c r="P514" s="8">
        <f t="shared" si="31"/>
        <v>136.45509815216062</v>
      </c>
      <c r="Q514">
        <v>513</v>
      </c>
      <c r="R514">
        <v>14.6255235671997</v>
      </c>
      <c r="S514">
        <v>42.632350921630803</v>
      </c>
      <c r="U514">
        <v>513</v>
      </c>
      <c r="V514">
        <v>94.302375793457003</v>
      </c>
      <c r="W514">
        <v>43.461460113525298</v>
      </c>
      <c r="Y514">
        <v>513</v>
      </c>
      <c r="Z514">
        <v>27.527198791503899</v>
      </c>
      <c r="AA514">
        <v>43.511569976806598</v>
      </c>
    </row>
    <row r="515" spans="1:27" x14ac:dyDescent="0.25">
      <c r="A515" s="8">
        <f t="shared" ref="A515:A578" si="32">IF(D515="","",D515)</f>
        <v>514</v>
      </c>
      <c r="B515" s="8">
        <f t="shared" ref="B515:B578" si="33">IF(OR(D515&lt;&gt;H515,H515&lt;&gt;L515,D515&lt;&gt;L515),0,1)</f>
        <v>1</v>
      </c>
      <c r="C515" s="8">
        <f t="shared" ref="C515:C578" si="34">SUM(E515,I515,M515)</f>
        <v>68.364969253539812</v>
      </c>
      <c r="D515" s="8">
        <v>514</v>
      </c>
      <c r="E515" s="8">
        <v>28.376468658447202</v>
      </c>
      <c r="F515" s="8">
        <v>50.434207916259702</v>
      </c>
      <c r="G515" s="8"/>
      <c r="H515" s="8">
        <v>514</v>
      </c>
      <c r="I515" s="8">
        <v>22.193737030029201</v>
      </c>
      <c r="J515" s="8">
        <v>52.928775787353501</v>
      </c>
      <c r="K515" s="8"/>
      <c r="L515" s="8">
        <v>514</v>
      </c>
      <c r="M515" s="8">
        <v>17.794763565063398</v>
      </c>
      <c r="N515" s="8">
        <v>49.857311248779297</v>
      </c>
      <c r="P515" s="8">
        <f t="shared" ref="P515:P578" si="35">R515+V515+Z515</f>
        <v>48.635209083557044</v>
      </c>
      <c r="Q515">
        <v>514</v>
      </c>
      <c r="R515">
        <v>9.9676017761230398</v>
      </c>
      <c r="S515">
        <v>31.116704940795898</v>
      </c>
      <c r="U515">
        <v>514</v>
      </c>
      <c r="V515">
        <v>27.032077789306602</v>
      </c>
      <c r="W515">
        <v>32.125148773193303</v>
      </c>
      <c r="Y515">
        <v>514</v>
      </c>
      <c r="Z515">
        <v>11.635529518127401</v>
      </c>
      <c r="AA515">
        <v>32.7786254882812</v>
      </c>
    </row>
    <row r="516" spans="1:27" x14ac:dyDescent="0.25">
      <c r="A516" s="8">
        <f t="shared" si="32"/>
        <v>515</v>
      </c>
      <c r="B516" s="8">
        <f t="shared" si="33"/>
        <v>1</v>
      </c>
      <c r="C516" s="8">
        <f t="shared" si="34"/>
        <v>243.50658035278272</v>
      </c>
      <c r="D516" s="8">
        <v>515</v>
      </c>
      <c r="E516" s="8">
        <v>103.112266540527</v>
      </c>
      <c r="F516" s="8">
        <v>76.598655700683594</v>
      </c>
      <c r="G516" s="8"/>
      <c r="H516" s="8">
        <v>515</v>
      </c>
      <c r="I516" s="8">
        <v>85.467643737792898</v>
      </c>
      <c r="J516" s="8">
        <v>83.28466796875</v>
      </c>
      <c r="K516" s="8"/>
      <c r="L516" s="8">
        <v>515</v>
      </c>
      <c r="M516" s="8">
        <v>54.926670074462798</v>
      </c>
      <c r="N516" s="8">
        <v>76.311424255371094</v>
      </c>
      <c r="P516" s="8">
        <f t="shared" si="35"/>
        <v>95.270278930664006</v>
      </c>
      <c r="Q516">
        <v>515</v>
      </c>
      <c r="R516">
        <v>17.3393440246582</v>
      </c>
      <c r="S516">
        <v>29.654722213745099</v>
      </c>
      <c r="U516">
        <v>515</v>
      </c>
      <c r="V516">
        <v>53.819297790527301</v>
      </c>
      <c r="W516">
        <v>29.830623626708899</v>
      </c>
      <c r="Y516">
        <v>515</v>
      </c>
      <c r="Z516">
        <v>24.111637115478501</v>
      </c>
      <c r="AA516">
        <v>29.975450515746999</v>
      </c>
    </row>
    <row r="517" spans="1:27" x14ac:dyDescent="0.25">
      <c r="A517" s="8">
        <f t="shared" si="32"/>
        <v>516</v>
      </c>
      <c r="B517" s="8">
        <f t="shared" si="33"/>
        <v>1</v>
      </c>
      <c r="C517" s="8">
        <f t="shared" si="34"/>
        <v>193.7928199768065</v>
      </c>
      <c r="D517" s="8">
        <v>516</v>
      </c>
      <c r="E517" s="8">
        <v>81.304893493652301</v>
      </c>
      <c r="F517" s="8">
        <v>44.272705078125</v>
      </c>
      <c r="G517" s="8"/>
      <c r="H517" s="8">
        <v>516</v>
      </c>
      <c r="I517" s="8">
        <v>70.575759887695298</v>
      </c>
      <c r="J517" s="8">
        <v>49.245143890380803</v>
      </c>
      <c r="K517" s="8"/>
      <c r="L517" s="8">
        <v>516</v>
      </c>
      <c r="M517" s="8">
        <v>41.912166595458899</v>
      </c>
      <c r="N517" s="8">
        <v>44.005973815917898</v>
      </c>
      <c r="P517" s="8">
        <f t="shared" si="35"/>
        <v>18.945218563079749</v>
      </c>
      <c r="Q517">
        <v>516</v>
      </c>
      <c r="R517">
        <v>1.57257080078125</v>
      </c>
      <c r="S517">
        <v>67.576965332031193</v>
      </c>
      <c r="U517">
        <v>516</v>
      </c>
      <c r="V517">
        <v>12.729624748229901</v>
      </c>
      <c r="W517">
        <v>69.944374084472599</v>
      </c>
      <c r="Y517">
        <v>516</v>
      </c>
      <c r="Z517">
        <v>4.6430230140686</v>
      </c>
      <c r="AA517">
        <v>71.302810668945298</v>
      </c>
    </row>
    <row r="518" spans="1:27" x14ac:dyDescent="0.25">
      <c r="A518" s="8">
        <f t="shared" si="32"/>
        <v>517</v>
      </c>
      <c r="B518" s="8">
        <f t="shared" si="33"/>
        <v>1</v>
      </c>
      <c r="C518" s="8">
        <f t="shared" si="34"/>
        <v>613.41024780273301</v>
      </c>
      <c r="D518" s="8">
        <v>517</v>
      </c>
      <c r="E518" s="8">
        <v>270.40286254882801</v>
      </c>
      <c r="F518" s="8">
        <v>62.307411193847599</v>
      </c>
      <c r="G518" s="8"/>
      <c r="H518" s="8">
        <v>517</v>
      </c>
      <c r="I518" s="8">
        <v>212.15470886230401</v>
      </c>
      <c r="J518" s="8">
        <v>64.862548828125</v>
      </c>
      <c r="K518" s="8"/>
      <c r="L518" s="8">
        <v>517</v>
      </c>
      <c r="M518" s="8">
        <v>130.85267639160099</v>
      </c>
      <c r="N518" s="8">
        <v>62.358352661132798</v>
      </c>
      <c r="P518" s="8">
        <f t="shared" si="35"/>
        <v>12.433981418609608</v>
      </c>
      <c r="Q518">
        <v>517</v>
      </c>
      <c r="R518">
        <v>1.1696183681487999</v>
      </c>
      <c r="S518">
        <v>68.751487731933594</v>
      </c>
      <c r="U518">
        <v>517</v>
      </c>
      <c r="V518">
        <v>7.7036042213439897</v>
      </c>
      <c r="W518">
        <v>70.883399963378906</v>
      </c>
      <c r="Y518">
        <v>517</v>
      </c>
      <c r="Z518">
        <v>3.56075882911682</v>
      </c>
      <c r="AA518">
        <v>71.524871826171804</v>
      </c>
    </row>
    <row r="519" spans="1:27" x14ac:dyDescent="0.25">
      <c r="A519" s="8">
        <f t="shared" si="32"/>
        <v>518</v>
      </c>
      <c r="B519" s="8">
        <f t="shared" si="33"/>
        <v>1</v>
      </c>
      <c r="C519" s="8">
        <f t="shared" si="34"/>
        <v>257.8416328430169</v>
      </c>
      <c r="D519" s="8">
        <v>518</v>
      </c>
      <c r="E519" s="8">
        <v>115.416770935058</v>
      </c>
      <c r="F519" s="8">
        <v>45.166061401367102</v>
      </c>
      <c r="G519" s="8"/>
      <c r="H519" s="8">
        <v>518</v>
      </c>
      <c r="I519" s="8">
        <v>89.461708068847599</v>
      </c>
      <c r="J519" s="8">
        <v>47.4038276672363</v>
      </c>
      <c r="K519" s="8"/>
      <c r="L519" s="8">
        <v>518</v>
      </c>
      <c r="M519" s="8">
        <v>52.9631538391113</v>
      </c>
      <c r="N519" s="8">
        <v>45.077987670898402</v>
      </c>
      <c r="P519" s="8">
        <f t="shared" si="35"/>
        <v>92.749378681182776</v>
      </c>
      <c r="Q519">
        <v>518</v>
      </c>
      <c r="R519">
        <v>7.2244191169738698</v>
      </c>
      <c r="S519">
        <v>64.077873229980398</v>
      </c>
      <c r="U519">
        <v>518</v>
      </c>
      <c r="V519">
        <v>62.0531616210937</v>
      </c>
      <c r="W519">
        <v>66.854171752929602</v>
      </c>
      <c r="Y519">
        <v>518</v>
      </c>
      <c r="Z519">
        <v>23.471797943115199</v>
      </c>
      <c r="AA519">
        <v>68.409675598144503</v>
      </c>
    </row>
    <row r="520" spans="1:27" x14ac:dyDescent="0.25">
      <c r="A520" s="8">
        <f t="shared" si="32"/>
        <v>519</v>
      </c>
      <c r="B520" s="8">
        <f t="shared" si="33"/>
        <v>1</v>
      </c>
      <c r="C520" s="8">
        <f t="shared" si="34"/>
        <v>232.47194671630854</v>
      </c>
      <c r="D520" s="8">
        <v>519</v>
      </c>
      <c r="E520" s="8">
        <v>73.002494812011705</v>
      </c>
      <c r="F520" s="8">
        <v>44.698299407958899</v>
      </c>
      <c r="G520" s="8"/>
      <c r="H520" s="8">
        <v>519</v>
      </c>
      <c r="I520" s="8">
        <v>91.859413146972599</v>
      </c>
      <c r="J520" s="8">
        <v>46.242549896240199</v>
      </c>
      <c r="K520" s="8"/>
      <c r="L520" s="8">
        <v>519</v>
      </c>
      <c r="M520" s="8">
        <v>67.610038757324205</v>
      </c>
      <c r="N520" s="8">
        <v>44.757457733154297</v>
      </c>
      <c r="P520" s="8">
        <f t="shared" si="35"/>
        <v>59.002489566802936</v>
      </c>
      <c r="Q520">
        <v>519</v>
      </c>
      <c r="R520">
        <v>5.1840291023254297</v>
      </c>
      <c r="S520">
        <v>66.407463073730398</v>
      </c>
      <c r="U520">
        <v>519</v>
      </c>
      <c r="V520">
        <v>36.1962890625</v>
      </c>
      <c r="W520">
        <v>68.792472839355398</v>
      </c>
      <c r="Y520">
        <v>519</v>
      </c>
      <c r="Z520">
        <v>17.6221714019775</v>
      </c>
      <c r="AA520">
        <v>69.541679382324205</v>
      </c>
    </row>
    <row r="521" spans="1:27" x14ac:dyDescent="0.25">
      <c r="A521" s="8">
        <f t="shared" si="32"/>
        <v>520</v>
      </c>
      <c r="B521" s="8">
        <f t="shared" si="33"/>
        <v>1</v>
      </c>
      <c r="C521" s="8">
        <f t="shared" si="34"/>
        <v>25.58057069778441</v>
      </c>
      <c r="D521" s="8">
        <v>520</v>
      </c>
      <c r="E521" s="8">
        <v>9.4687738418579102</v>
      </c>
      <c r="F521" s="8">
        <v>21.029884338378899</v>
      </c>
      <c r="G521" s="8"/>
      <c r="H521" s="8">
        <v>520</v>
      </c>
      <c r="I521" s="8">
        <v>7.5986809730529696</v>
      </c>
      <c r="J521" s="8">
        <v>21.529718399047798</v>
      </c>
      <c r="K521" s="8"/>
      <c r="L521" s="8">
        <v>520</v>
      </c>
      <c r="M521" s="8">
        <v>8.5131158828735298</v>
      </c>
      <c r="N521" s="8">
        <v>21.267614364623999</v>
      </c>
      <c r="P521" s="8">
        <f t="shared" si="35"/>
        <v>19.981079578399569</v>
      </c>
      <c r="Q521">
        <v>520</v>
      </c>
      <c r="R521">
        <v>2.2023618221282901</v>
      </c>
      <c r="S521">
        <v>31.170869827270501</v>
      </c>
      <c r="U521">
        <v>520</v>
      </c>
      <c r="V521">
        <v>14.296902656555099</v>
      </c>
      <c r="W521">
        <v>32.119361877441399</v>
      </c>
      <c r="Y521">
        <v>520</v>
      </c>
      <c r="Z521">
        <v>3.4818150997161799</v>
      </c>
      <c r="AA521">
        <v>32.863380432128899</v>
      </c>
    </row>
    <row r="522" spans="1:27" x14ac:dyDescent="0.25">
      <c r="A522" s="8">
        <f t="shared" si="32"/>
        <v>521</v>
      </c>
      <c r="B522" s="8">
        <f t="shared" si="33"/>
        <v>1</v>
      </c>
      <c r="C522" s="8">
        <f t="shared" si="34"/>
        <v>17.214897632598859</v>
      </c>
      <c r="D522" s="8">
        <v>521</v>
      </c>
      <c r="E522" s="8">
        <v>4.9013204574584899</v>
      </c>
      <c r="F522" s="8">
        <v>22.335084915161101</v>
      </c>
      <c r="G522" s="8"/>
      <c r="H522" s="8">
        <v>521</v>
      </c>
      <c r="I522" s="8">
        <v>6.13928127288818</v>
      </c>
      <c r="J522" s="8">
        <v>23.3042488098144</v>
      </c>
      <c r="K522" s="8"/>
      <c r="L522" s="8">
        <v>521</v>
      </c>
      <c r="M522" s="8">
        <v>6.1742959022521902</v>
      </c>
      <c r="N522" s="8">
        <v>22.624773025512599</v>
      </c>
      <c r="P522" s="8">
        <f t="shared" si="35"/>
        <v>10.02844440937041</v>
      </c>
      <c r="Q522">
        <v>521</v>
      </c>
      <c r="R522">
        <v>1.5501949787139799</v>
      </c>
      <c r="S522">
        <v>38.963577270507798</v>
      </c>
      <c r="U522">
        <v>521</v>
      </c>
      <c r="V522">
        <v>6.5340600013732901</v>
      </c>
      <c r="W522">
        <v>39.684181213378899</v>
      </c>
      <c r="Y522">
        <v>521</v>
      </c>
      <c r="Z522">
        <v>1.9441894292831401</v>
      </c>
      <c r="AA522">
        <v>39.695438385009702</v>
      </c>
    </row>
    <row r="523" spans="1:27" x14ac:dyDescent="0.25">
      <c r="A523" s="8">
        <f t="shared" si="32"/>
        <v>522</v>
      </c>
      <c r="B523" s="8">
        <f t="shared" si="33"/>
        <v>1</v>
      </c>
      <c r="C523" s="8">
        <f t="shared" si="34"/>
        <v>12.790285348892191</v>
      </c>
      <c r="D523" s="8">
        <v>522</v>
      </c>
      <c r="E523" s="8">
        <v>4.7343869209289497</v>
      </c>
      <c r="F523" s="8">
        <v>21.029884338378899</v>
      </c>
      <c r="G523" s="8"/>
      <c r="H523" s="8">
        <v>522</v>
      </c>
      <c r="I523" s="8">
        <v>3.7993404865264799</v>
      </c>
      <c r="J523" s="8">
        <v>21.529718399047798</v>
      </c>
      <c r="K523" s="8"/>
      <c r="L523" s="8">
        <v>522</v>
      </c>
      <c r="M523" s="8">
        <v>4.2565579414367596</v>
      </c>
      <c r="N523" s="8">
        <v>21.267614364623999</v>
      </c>
      <c r="P523" s="8">
        <f t="shared" si="35"/>
        <v>202.57900238037078</v>
      </c>
      <c r="Q523">
        <v>522</v>
      </c>
      <c r="R523">
        <v>27.577102661132798</v>
      </c>
      <c r="S523">
        <v>73.094802856445298</v>
      </c>
      <c r="U523">
        <v>522</v>
      </c>
      <c r="V523">
        <v>135.35820007324199</v>
      </c>
      <c r="W523">
        <v>74.870185852050696</v>
      </c>
      <c r="Y523">
        <v>522</v>
      </c>
      <c r="Z523">
        <v>39.643699645996001</v>
      </c>
      <c r="AA523">
        <v>75.425827026367102</v>
      </c>
    </row>
    <row r="524" spans="1:27" x14ac:dyDescent="0.25">
      <c r="A524" s="8">
        <f t="shared" si="32"/>
        <v>523</v>
      </c>
      <c r="B524" s="8">
        <f t="shared" si="33"/>
        <v>1</v>
      </c>
      <c r="C524" s="8">
        <f t="shared" si="34"/>
        <v>82.554325103759595</v>
      </c>
      <c r="D524" s="8">
        <v>523</v>
      </c>
      <c r="E524" s="8">
        <v>32.023300170898402</v>
      </c>
      <c r="F524" s="8">
        <v>44.132900238037102</v>
      </c>
      <c r="G524" s="8"/>
      <c r="H524" s="8">
        <v>523</v>
      </c>
      <c r="I524" s="8">
        <v>28.954524993896399</v>
      </c>
      <c r="J524" s="8">
        <v>45.013721466064403</v>
      </c>
      <c r="K524" s="8"/>
      <c r="L524" s="8">
        <v>523</v>
      </c>
      <c r="M524" s="8">
        <v>21.576499938964801</v>
      </c>
      <c r="N524" s="8">
        <v>44.648246765136697</v>
      </c>
      <c r="P524" s="8">
        <f t="shared" si="35"/>
        <v>197.25526618957451</v>
      </c>
      <c r="Q524">
        <v>523</v>
      </c>
      <c r="R524">
        <v>26.4351787567138</v>
      </c>
      <c r="S524">
        <v>72.2208251953125</v>
      </c>
      <c r="U524">
        <v>523</v>
      </c>
      <c r="V524">
        <v>129.995025634765</v>
      </c>
      <c r="W524">
        <v>73.809265136718693</v>
      </c>
      <c r="Y524">
        <v>523</v>
      </c>
      <c r="Z524">
        <v>40.825061798095703</v>
      </c>
      <c r="AA524">
        <v>74.024314880371094</v>
      </c>
    </row>
    <row r="525" spans="1:27" x14ac:dyDescent="0.25">
      <c r="A525" s="8">
        <f t="shared" si="32"/>
        <v>524</v>
      </c>
      <c r="B525" s="8">
        <f t="shared" si="33"/>
        <v>1</v>
      </c>
      <c r="C525" s="8">
        <f t="shared" si="34"/>
        <v>10.077997922897332</v>
      </c>
      <c r="D525" s="8">
        <v>524</v>
      </c>
      <c r="E525" s="8">
        <v>3.7228515148162802</v>
      </c>
      <c r="F525" s="8">
        <v>17.41233253479</v>
      </c>
      <c r="G525" s="8"/>
      <c r="H525" s="8">
        <v>524</v>
      </c>
      <c r="I525" s="8">
        <v>3.8114433288574201</v>
      </c>
      <c r="J525" s="8">
        <v>17.741497039794901</v>
      </c>
      <c r="K525" s="8"/>
      <c r="L525" s="8">
        <v>524</v>
      </c>
      <c r="M525" s="8">
        <v>2.5437030792236301</v>
      </c>
      <c r="N525" s="8">
        <v>17.552486419677699</v>
      </c>
      <c r="P525" s="8">
        <f t="shared" si="35"/>
        <v>320.14360046386656</v>
      </c>
      <c r="Q525">
        <v>524</v>
      </c>
      <c r="R525">
        <v>45.037681579589801</v>
      </c>
      <c r="S525">
        <v>86.349029541015597</v>
      </c>
      <c r="U525">
        <v>524</v>
      </c>
      <c r="V525">
        <v>208.37487792968699</v>
      </c>
      <c r="W525">
        <v>89.662269592285099</v>
      </c>
      <c r="Y525">
        <v>524</v>
      </c>
      <c r="Z525">
        <v>66.731040954589801</v>
      </c>
      <c r="AA525">
        <v>91.119674682617102</v>
      </c>
    </row>
    <row r="526" spans="1:27" x14ac:dyDescent="0.25">
      <c r="A526" s="8">
        <f t="shared" si="32"/>
        <v>525</v>
      </c>
      <c r="B526" s="8">
        <f t="shared" si="33"/>
        <v>1</v>
      </c>
      <c r="C526" s="8">
        <f t="shared" si="34"/>
        <v>72.958305358886506</v>
      </c>
      <c r="D526" s="8">
        <v>525</v>
      </c>
      <c r="E526" s="8">
        <v>34.134140014648402</v>
      </c>
      <c r="F526" s="8">
        <v>44.046318054199197</v>
      </c>
      <c r="G526" s="8"/>
      <c r="H526" s="8">
        <v>525</v>
      </c>
      <c r="I526" s="8">
        <v>22.413591384887599</v>
      </c>
      <c r="J526" s="8">
        <v>44.661952972412102</v>
      </c>
      <c r="K526" s="8"/>
      <c r="L526" s="8">
        <v>525</v>
      </c>
      <c r="M526" s="8">
        <v>16.410573959350501</v>
      </c>
      <c r="N526" s="8">
        <v>44.265174865722599</v>
      </c>
      <c r="P526" s="8">
        <f t="shared" si="35"/>
        <v>394.10081481933594</v>
      </c>
      <c r="Q526">
        <v>525</v>
      </c>
      <c r="R526">
        <v>57.538551330566399</v>
      </c>
      <c r="S526">
        <v>92.617248535156193</v>
      </c>
      <c r="U526">
        <v>525</v>
      </c>
      <c r="V526">
        <v>263.280029296875</v>
      </c>
      <c r="W526">
        <v>94.116554260253906</v>
      </c>
      <c r="Y526">
        <v>525</v>
      </c>
      <c r="Z526">
        <v>73.282234191894503</v>
      </c>
      <c r="AA526">
        <v>94.323150634765597</v>
      </c>
    </row>
    <row r="527" spans="1:27" x14ac:dyDescent="0.25">
      <c r="A527" s="8">
        <f t="shared" si="32"/>
        <v>526</v>
      </c>
      <c r="B527" s="8">
        <f t="shared" si="33"/>
        <v>1</v>
      </c>
      <c r="C527" s="8">
        <f t="shared" si="34"/>
        <v>274.77459716796733</v>
      </c>
      <c r="D527" s="8">
        <v>526</v>
      </c>
      <c r="E527" s="8">
        <v>100.45724487304599</v>
      </c>
      <c r="F527" s="8">
        <v>80.599395751953097</v>
      </c>
      <c r="G527" s="8"/>
      <c r="H527" s="8">
        <v>526</v>
      </c>
      <c r="I527" s="8">
        <v>105.720581054687</v>
      </c>
      <c r="J527" s="8">
        <v>83.911956787109304</v>
      </c>
      <c r="K527" s="8"/>
      <c r="L527" s="8">
        <v>526</v>
      </c>
      <c r="M527" s="8">
        <v>68.596771240234304</v>
      </c>
      <c r="N527" s="8">
        <v>80.667633056640597</v>
      </c>
      <c r="P527" s="8">
        <f t="shared" si="35"/>
        <v>381.98659133911059</v>
      </c>
      <c r="Q527">
        <v>526</v>
      </c>
      <c r="R527">
        <v>58.882236480712798</v>
      </c>
      <c r="S527">
        <v>91.331047058105398</v>
      </c>
      <c r="U527">
        <v>526</v>
      </c>
      <c r="V527">
        <v>244.80262756347599</v>
      </c>
      <c r="W527">
        <v>94.855705261230398</v>
      </c>
      <c r="Y527">
        <v>526</v>
      </c>
      <c r="Z527">
        <v>78.301727294921804</v>
      </c>
      <c r="AA527">
        <v>96.351234436035099</v>
      </c>
    </row>
    <row r="528" spans="1:27" x14ac:dyDescent="0.25">
      <c r="A528" s="8">
        <f t="shared" si="32"/>
        <v>527</v>
      </c>
      <c r="B528" s="8">
        <f t="shared" si="33"/>
        <v>1</v>
      </c>
      <c r="C528" s="8">
        <f t="shared" si="34"/>
        <v>109.79622840881339</v>
      </c>
      <c r="D528" s="8">
        <v>527</v>
      </c>
      <c r="E528" s="8">
        <v>34.600185394287102</v>
      </c>
      <c r="F528" s="8">
        <v>27.577436447143501</v>
      </c>
      <c r="G528" s="8"/>
      <c r="H528" s="8">
        <v>527</v>
      </c>
      <c r="I528" s="8">
        <v>44.207839965820298</v>
      </c>
      <c r="J528" s="8">
        <v>28.527336120605401</v>
      </c>
      <c r="K528" s="8"/>
      <c r="L528" s="8">
        <v>527</v>
      </c>
      <c r="M528" s="8">
        <v>30.988203048706001</v>
      </c>
      <c r="N528" s="8">
        <v>27.653383255004801</v>
      </c>
      <c r="P528" s="8">
        <f t="shared" si="35"/>
        <v>395.29617309570267</v>
      </c>
      <c r="Q528">
        <v>527</v>
      </c>
      <c r="R528">
        <v>60.787208557128899</v>
      </c>
      <c r="S528">
        <v>92.8697509765625</v>
      </c>
      <c r="U528">
        <v>527</v>
      </c>
      <c r="V528">
        <v>254.45370483398401</v>
      </c>
      <c r="W528">
        <v>95.339828491210895</v>
      </c>
      <c r="Y528">
        <v>527</v>
      </c>
      <c r="Z528">
        <v>80.055259704589801</v>
      </c>
      <c r="AA528">
        <v>95.802330017089801</v>
      </c>
    </row>
    <row r="529" spans="1:27" x14ac:dyDescent="0.25">
      <c r="A529" s="8">
        <f t="shared" si="32"/>
        <v>528</v>
      </c>
      <c r="B529" s="8">
        <f t="shared" si="33"/>
        <v>1</v>
      </c>
      <c r="C529" s="8">
        <f t="shared" si="34"/>
        <v>48.562232017516905</v>
      </c>
      <c r="D529" s="8">
        <v>528</v>
      </c>
      <c r="E529" s="8">
        <v>11.9604396820068</v>
      </c>
      <c r="F529" s="8">
        <v>26.5514812469482</v>
      </c>
      <c r="G529" s="8"/>
      <c r="H529" s="8">
        <v>528</v>
      </c>
      <c r="I529" s="8">
        <v>15.905894279479901</v>
      </c>
      <c r="J529" s="8">
        <v>26.9349861145019</v>
      </c>
      <c r="K529" s="8"/>
      <c r="L529" s="8">
        <v>528</v>
      </c>
      <c r="M529" s="8">
        <v>20.695898056030199</v>
      </c>
      <c r="N529" s="8">
        <v>26.878835678100501</v>
      </c>
      <c r="P529" s="8">
        <f t="shared" si="35"/>
        <v>303.47852325439402</v>
      </c>
      <c r="Q529">
        <v>528</v>
      </c>
      <c r="R529">
        <v>36.706832885742102</v>
      </c>
      <c r="S529">
        <v>61.017910003662102</v>
      </c>
      <c r="U529">
        <v>528</v>
      </c>
      <c r="V529">
        <v>197.12461853027301</v>
      </c>
      <c r="W529">
        <v>63.398471832275298</v>
      </c>
      <c r="Y529">
        <v>528</v>
      </c>
      <c r="Z529">
        <v>69.647071838378906</v>
      </c>
      <c r="AA529">
        <v>64.8594970703125</v>
      </c>
    </row>
    <row r="530" spans="1:27" x14ac:dyDescent="0.25">
      <c r="A530" s="8">
        <f t="shared" si="32"/>
        <v>529</v>
      </c>
      <c r="B530" s="8">
        <f t="shared" si="33"/>
        <v>1</v>
      </c>
      <c r="C530" s="8">
        <f t="shared" si="34"/>
        <v>132.6316566467284</v>
      </c>
      <c r="D530" s="8">
        <v>529</v>
      </c>
      <c r="E530" s="8">
        <v>46.551601409912102</v>
      </c>
      <c r="F530" s="8">
        <v>30.053968429565401</v>
      </c>
      <c r="G530" s="8"/>
      <c r="H530" s="8">
        <v>529</v>
      </c>
      <c r="I530" s="8">
        <v>51.055221557617102</v>
      </c>
      <c r="J530" s="8">
        <v>31.382732391357401</v>
      </c>
      <c r="K530" s="8"/>
      <c r="L530" s="8">
        <v>529</v>
      </c>
      <c r="M530" s="8">
        <v>35.024833679199197</v>
      </c>
      <c r="N530" s="8">
        <v>30.1004924774169</v>
      </c>
      <c r="P530" s="8">
        <f t="shared" si="35"/>
        <v>349.00535964965718</v>
      </c>
      <c r="Q530">
        <v>529</v>
      </c>
      <c r="R530">
        <v>60.831985473632798</v>
      </c>
      <c r="S530">
        <v>60.2697143554687</v>
      </c>
      <c r="U530">
        <v>529</v>
      </c>
      <c r="V530">
        <v>224.267318725585</v>
      </c>
      <c r="W530">
        <v>61.043788909912102</v>
      </c>
      <c r="Y530">
        <v>529</v>
      </c>
      <c r="Z530">
        <v>63.906055450439403</v>
      </c>
      <c r="AA530">
        <v>61.275810241699197</v>
      </c>
    </row>
    <row r="531" spans="1:27" x14ac:dyDescent="0.25">
      <c r="A531" s="8">
        <f t="shared" si="32"/>
        <v>530</v>
      </c>
      <c r="B531" s="8">
        <f t="shared" si="33"/>
        <v>1</v>
      </c>
      <c r="C531" s="8">
        <f t="shared" si="34"/>
        <v>73.258848190307404</v>
      </c>
      <c r="D531" s="8">
        <v>530</v>
      </c>
      <c r="E531" s="8">
        <v>20.211582183837798</v>
      </c>
      <c r="F531" s="8">
        <v>28.884981155395501</v>
      </c>
      <c r="G531" s="8"/>
      <c r="H531" s="8">
        <v>530</v>
      </c>
      <c r="I531" s="8">
        <v>24.683412551879801</v>
      </c>
      <c r="J531" s="8">
        <v>29.349180221557599</v>
      </c>
      <c r="K531" s="8"/>
      <c r="L531" s="8">
        <v>530</v>
      </c>
      <c r="M531" s="8">
        <v>28.363853454589801</v>
      </c>
      <c r="N531" s="8">
        <v>29.289930343627901</v>
      </c>
      <c r="P531" s="8">
        <f t="shared" si="35"/>
        <v>135.4749994277953</v>
      </c>
      <c r="Q531">
        <v>530</v>
      </c>
      <c r="R531">
        <v>12.791245460510201</v>
      </c>
      <c r="S531">
        <v>39.485870361328097</v>
      </c>
      <c r="U531">
        <v>530</v>
      </c>
      <c r="V531">
        <v>82.921714782714801</v>
      </c>
      <c r="W531">
        <v>40.532142639160099</v>
      </c>
      <c r="Y531">
        <v>530</v>
      </c>
      <c r="Z531">
        <v>39.762039184570298</v>
      </c>
      <c r="AA531">
        <v>40.9001655578613</v>
      </c>
    </row>
    <row r="532" spans="1:27" x14ac:dyDescent="0.25">
      <c r="A532" s="8">
        <f t="shared" si="32"/>
        <v>531</v>
      </c>
      <c r="B532" s="8">
        <f t="shared" si="33"/>
        <v>1</v>
      </c>
      <c r="C532" s="8">
        <f t="shared" si="34"/>
        <v>165.5846138000488</v>
      </c>
      <c r="D532" s="8">
        <v>531</v>
      </c>
      <c r="E532" s="8">
        <v>59.7843208312988</v>
      </c>
      <c r="F532" s="8">
        <v>42.1375923156738</v>
      </c>
      <c r="G532" s="8"/>
      <c r="H532" s="8">
        <v>531</v>
      </c>
      <c r="I532" s="8">
        <v>67.063499450683594</v>
      </c>
      <c r="J532" s="8">
        <v>43.714389801025298</v>
      </c>
      <c r="K532" s="8"/>
      <c r="L532" s="8">
        <v>531</v>
      </c>
      <c r="M532" s="8">
        <v>38.736793518066399</v>
      </c>
      <c r="N532" s="8">
        <v>42.351123809814403</v>
      </c>
      <c r="P532" s="8">
        <f t="shared" si="35"/>
        <v>152.16973876953119</v>
      </c>
      <c r="Q532">
        <v>531</v>
      </c>
      <c r="R532">
        <v>27.692089080810501</v>
      </c>
      <c r="S532">
        <v>38.701000213622997</v>
      </c>
      <c r="U532">
        <v>531</v>
      </c>
      <c r="V532">
        <v>88.753807067871094</v>
      </c>
      <c r="W532">
        <v>39.787387847900298</v>
      </c>
      <c r="Y532">
        <v>531</v>
      </c>
      <c r="Z532">
        <v>35.723842620849602</v>
      </c>
      <c r="AA532">
        <v>40.1734008789062</v>
      </c>
    </row>
    <row r="533" spans="1:27" x14ac:dyDescent="0.25">
      <c r="A533" s="8">
        <f t="shared" si="32"/>
        <v>532</v>
      </c>
      <c r="B533" s="8">
        <f t="shared" si="33"/>
        <v>1</v>
      </c>
      <c r="C533" s="8">
        <f t="shared" si="34"/>
        <v>116.66893005371091</v>
      </c>
      <c r="D533" s="8">
        <v>532</v>
      </c>
      <c r="E533" s="8">
        <v>42.401920318603501</v>
      </c>
      <c r="F533" s="8">
        <v>42.7017211914062</v>
      </c>
      <c r="G533" s="8"/>
      <c r="H533" s="8">
        <v>532</v>
      </c>
      <c r="I533" s="8">
        <v>40.882389068603501</v>
      </c>
      <c r="J533" s="8">
        <v>43.4118041992187</v>
      </c>
      <c r="K533" s="8"/>
      <c r="L533" s="8">
        <v>532</v>
      </c>
      <c r="M533" s="8">
        <v>33.384620666503899</v>
      </c>
      <c r="N533" s="8">
        <v>42.996337890625</v>
      </c>
      <c r="P533" s="8">
        <f t="shared" si="35"/>
        <v>35.736741781234713</v>
      </c>
      <c r="Q533">
        <v>532</v>
      </c>
      <c r="R533">
        <v>2.21609187126159</v>
      </c>
      <c r="S533">
        <v>40.158740997314403</v>
      </c>
      <c r="U533">
        <v>532</v>
      </c>
      <c r="V533">
        <v>25.771526336669901</v>
      </c>
      <c r="W533">
        <v>41.231937408447202</v>
      </c>
      <c r="Y533">
        <v>532</v>
      </c>
      <c r="Z533">
        <v>7.74912357330322</v>
      </c>
      <c r="AA533">
        <v>41.589756011962798</v>
      </c>
    </row>
    <row r="534" spans="1:27" x14ac:dyDescent="0.25">
      <c r="A534" s="8">
        <f t="shared" si="32"/>
        <v>533</v>
      </c>
      <c r="B534" s="8">
        <f t="shared" si="33"/>
        <v>1</v>
      </c>
      <c r="C534" s="8">
        <f t="shared" si="34"/>
        <v>127.43422698974598</v>
      </c>
      <c r="D534" s="8">
        <v>533</v>
      </c>
      <c r="E534" s="8">
        <v>41.471244812011697</v>
      </c>
      <c r="F534" s="8">
        <v>45.251453399658203</v>
      </c>
      <c r="G534" s="8"/>
      <c r="H534" s="8">
        <v>533</v>
      </c>
      <c r="I534" s="8">
        <v>48.592052459716797</v>
      </c>
      <c r="J534" s="8">
        <v>45.917549133300703</v>
      </c>
      <c r="K534" s="8"/>
      <c r="L534" s="8">
        <v>533</v>
      </c>
      <c r="M534" s="8">
        <v>37.3709297180175</v>
      </c>
      <c r="N534" s="8">
        <v>45.580677032470703</v>
      </c>
      <c r="P534" s="8">
        <f t="shared" si="35"/>
        <v>81.706205368041907</v>
      </c>
      <c r="Q534">
        <v>533</v>
      </c>
      <c r="R534">
        <v>8.4830265045165998</v>
      </c>
      <c r="S534">
        <v>39.902835845947202</v>
      </c>
      <c r="U534">
        <v>533</v>
      </c>
      <c r="V534">
        <v>53.593849182128899</v>
      </c>
      <c r="W534">
        <v>40.637668609619098</v>
      </c>
      <c r="Y534">
        <v>533</v>
      </c>
      <c r="Z534">
        <v>19.629329681396399</v>
      </c>
      <c r="AA534">
        <v>40.711830139160099</v>
      </c>
    </row>
    <row r="535" spans="1:27" x14ac:dyDescent="0.25">
      <c r="A535" s="8">
        <f t="shared" si="32"/>
        <v>534</v>
      </c>
      <c r="B535" s="8">
        <f t="shared" si="33"/>
        <v>1</v>
      </c>
      <c r="C535" s="8">
        <f t="shared" si="34"/>
        <v>245.19739532470689</v>
      </c>
      <c r="D535" s="8">
        <v>534</v>
      </c>
      <c r="E535" s="8">
        <v>95.488807678222599</v>
      </c>
      <c r="F535" s="8">
        <v>46.504806518554602</v>
      </c>
      <c r="G535" s="8"/>
      <c r="H535" s="8">
        <v>534</v>
      </c>
      <c r="I535" s="8">
        <v>93.5211181640625</v>
      </c>
      <c r="J535" s="8">
        <v>48.0129585266113</v>
      </c>
      <c r="K535" s="8"/>
      <c r="L535" s="8">
        <v>534</v>
      </c>
      <c r="M535" s="8">
        <v>56.187469482421797</v>
      </c>
      <c r="N535" s="8">
        <v>46.7246284484863</v>
      </c>
      <c r="P535" s="8">
        <f t="shared" si="35"/>
        <v>125.5112705230712</v>
      </c>
      <c r="Q535">
        <v>534</v>
      </c>
      <c r="R535">
        <v>13.6758251190185</v>
      </c>
      <c r="S535">
        <v>50.592689514160099</v>
      </c>
      <c r="U535">
        <v>534</v>
      </c>
      <c r="V535">
        <v>81.501930236816406</v>
      </c>
      <c r="W535">
        <v>53.119297027587798</v>
      </c>
      <c r="Y535">
        <v>534</v>
      </c>
      <c r="Z535">
        <v>30.3335151672363</v>
      </c>
      <c r="AA535">
        <v>54.621269226074197</v>
      </c>
    </row>
    <row r="536" spans="1:27" x14ac:dyDescent="0.25">
      <c r="A536" s="8">
        <f t="shared" si="32"/>
        <v>535</v>
      </c>
      <c r="B536" s="8">
        <f t="shared" si="33"/>
        <v>1</v>
      </c>
      <c r="C536" s="8">
        <f t="shared" si="34"/>
        <v>46.325349807739101</v>
      </c>
      <c r="D536" s="8">
        <v>535</v>
      </c>
      <c r="E536" s="8">
        <v>15.8550205230712</v>
      </c>
      <c r="F536" s="8">
        <v>42.384952545166001</v>
      </c>
      <c r="G536" s="8"/>
      <c r="H536" s="8">
        <v>535</v>
      </c>
      <c r="I536" s="8">
        <v>17.865032196044901</v>
      </c>
      <c r="J536" s="8">
        <v>43.827056884765597</v>
      </c>
      <c r="K536" s="8"/>
      <c r="L536" s="8">
        <v>535</v>
      </c>
      <c r="M536" s="8">
        <v>12.605297088623001</v>
      </c>
      <c r="N536" s="8">
        <v>42.355857849121001</v>
      </c>
      <c r="P536" s="8">
        <f t="shared" si="35"/>
        <v>95.226345062255717</v>
      </c>
      <c r="Q536">
        <v>535</v>
      </c>
      <c r="R536">
        <v>9.3843021392822195</v>
      </c>
      <c r="S536">
        <v>51.8852729797363</v>
      </c>
      <c r="U536">
        <v>535</v>
      </c>
      <c r="V536">
        <v>64.550819396972599</v>
      </c>
      <c r="W536">
        <v>53.108280181884702</v>
      </c>
      <c r="Y536">
        <v>535</v>
      </c>
      <c r="Z536">
        <v>21.291223526000898</v>
      </c>
      <c r="AA536">
        <v>53.528553009033203</v>
      </c>
    </row>
    <row r="537" spans="1:27" x14ac:dyDescent="0.25">
      <c r="A537" s="8">
        <f t="shared" si="32"/>
        <v>536</v>
      </c>
      <c r="B537" s="8">
        <f t="shared" si="33"/>
        <v>1</v>
      </c>
      <c r="C537" s="8">
        <f t="shared" si="34"/>
        <v>320.71397399902293</v>
      </c>
      <c r="D537" s="8">
        <v>536</v>
      </c>
      <c r="E537" s="8">
        <v>109.76554107666</v>
      </c>
      <c r="F537" s="8">
        <v>42.384952545166001</v>
      </c>
      <c r="G537" s="8"/>
      <c r="H537" s="8">
        <v>536</v>
      </c>
      <c r="I537" s="8">
        <v>123.68099975585901</v>
      </c>
      <c r="J537" s="8">
        <v>43.827056884765597</v>
      </c>
      <c r="K537" s="8"/>
      <c r="L537" s="8">
        <v>536</v>
      </c>
      <c r="M537" s="8">
        <v>87.267433166503906</v>
      </c>
      <c r="N537" s="8">
        <v>42.355857849121001</v>
      </c>
      <c r="P537" s="8">
        <f t="shared" si="35"/>
        <v>105.38772964477521</v>
      </c>
      <c r="Q537">
        <v>536</v>
      </c>
      <c r="R537">
        <v>11.6244506835937</v>
      </c>
      <c r="S537">
        <v>48.888561248779297</v>
      </c>
      <c r="U537">
        <v>536</v>
      </c>
      <c r="V537">
        <v>69.258262634277301</v>
      </c>
      <c r="W537">
        <v>50.66695022583</v>
      </c>
      <c r="Y537">
        <v>536</v>
      </c>
      <c r="Z537">
        <v>24.505016326904201</v>
      </c>
      <c r="AA537">
        <v>51.852645874023402</v>
      </c>
    </row>
    <row r="538" spans="1:27" x14ac:dyDescent="0.25">
      <c r="A538" s="8">
        <f t="shared" si="32"/>
        <v>537</v>
      </c>
      <c r="B538" s="8">
        <f t="shared" si="33"/>
        <v>1</v>
      </c>
      <c r="C538" s="8">
        <f t="shared" si="34"/>
        <v>2113.6704101562491</v>
      </c>
      <c r="D538" s="8">
        <v>537</v>
      </c>
      <c r="E538" s="8">
        <v>768.89508056640602</v>
      </c>
      <c r="F538" s="8">
        <v>53.444591522216797</v>
      </c>
      <c r="G538" s="8"/>
      <c r="H538" s="8">
        <v>537</v>
      </c>
      <c r="I538" s="8">
        <v>789.59899902343705</v>
      </c>
      <c r="J538" s="8">
        <v>55.3348388671875</v>
      </c>
      <c r="K538" s="8"/>
      <c r="L538" s="8">
        <v>537</v>
      </c>
      <c r="M538" s="8">
        <v>555.17633056640602</v>
      </c>
      <c r="N538" s="8">
        <v>53.702560424804602</v>
      </c>
      <c r="P538" s="8">
        <f t="shared" si="35"/>
        <v>94.701644897460866</v>
      </c>
      <c r="Q538">
        <v>537</v>
      </c>
      <c r="R538">
        <v>9.3238849639892507</v>
      </c>
      <c r="S538">
        <v>50.974632263183501</v>
      </c>
      <c r="U538">
        <v>537</v>
      </c>
      <c r="V538">
        <v>64.927711486816406</v>
      </c>
      <c r="W538">
        <v>51.172397613525298</v>
      </c>
      <c r="Y538">
        <v>537</v>
      </c>
      <c r="Z538">
        <v>20.450048446655199</v>
      </c>
      <c r="AA538">
        <v>51.032741546630803</v>
      </c>
    </row>
    <row r="539" spans="1:27" x14ac:dyDescent="0.25">
      <c r="A539" s="8">
        <f t="shared" si="32"/>
        <v>538</v>
      </c>
      <c r="B539" s="8">
        <f t="shared" si="33"/>
        <v>1</v>
      </c>
      <c r="C539" s="8">
        <f t="shared" si="34"/>
        <v>1005.8571777343741</v>
      </c>
      <c r="D539" s="8">
        <v>538</v>
      </c>
      <c r="E539" s="8">
        <v>348.54006958007801</v>
      </c>
      <c r="F539" s="8">
        <v>55.745800018310497</v>
      </c>
      <c r="G539" s="8"/>
      <c r="H539" s="8">
        <v>538</v>
      </c>
      <c r="I539" s="8">
        <v>387.89566040039</v>
      </c>
      <c r="J539" s="8">
        <v>56.345344543457003</v>
      </c>
      <c r="K539" s="8"/>
      <c r="L539" s="8">
        <v>538</v>
      </c>
      <c r="M539" s="8">
        <v>269.42144775390602</v>
      </c>
      <c r="N539" s="8">
        <v>56.083717346191399</v>
      </c>
      <c r="P539" s="8">
        <f t="shared" si="35"/>
        <v>276.22928237914959</v>
      </c>
      <c r="Q539">
        <v>538</v>
      </c>
      <c r="R539">
        <v>26.571598052978501</v>
      </c>
      <c r="S539">
        <v>42.696498870849602</v>
      </c>
      <c r="U539">
        <v>538</v>
      </c>
      <c r="V539">
        <v>184.04460144042901</v>
      </c>
      <c r="W539">
        <v>43.2687377929687</v>
      </c>
      <c r="Y539">
        <v>538</v>
      </c>
      <c r="Z539">
        <v>65.613082885742102</v>
      </c>
      <c r="AA539">
        <v>44.601982116699197</v>
      </c>
    </row>
    <row r="540" spans="1:27" x14ac:dyDescent="0.25">
      <c r="A540" s="8">
        <f t="shared" si="32"/>
        <v>539</v>
      </c>
      <c r="B540" s="8">
        <f t="shared" si="33"/>
        <v>1</v>
      </c>
      <c r="C540" s="8">
        <f t="shared" si="34"/>
        <v>331.04923248290902</v>
      </c>
      <c r="D540" s="8">
        <v>539</v>
      </c>
      <c r="E540" s="8">
        <v>114.850143432617</v>
      </c>
      <c r="F540" s="8">
        <v>45.035640716552699</v>
      </c>
      <c r="G540" s="8"/>
      <c r="H540" s="8">
        <v>539</v>
      </c>
      <c r="I540" s="8">
        <v>131.223373413085</v>
      </c>
      <c r="J540" s="8">
        <v>46.358432769775298</v>
      </c>
      <c r="K540" s="8"/>
      <c r="L540" s="8">
        <v>539</v>
      </c>
      <c r="M540" s="8">
        <v>84.975715637207003</v>
      </c>
      <c r="N540" s="8">
        <v>45.126754760742102</v>
      </c>
      <c r="P540" s="8">
        <f t="shared" si="35"/>
        <v>316.05736160278281</v>
      </c>
      <c r="Q540">
        <v>539</v>
      </c>
      <c r="R540">
        <v>45.308494567871001</v>
      </c>
      <c r="S540">
        <v>40.212314605712798</v>
      </c>
      <c r="U540">
        <v>539</v>
      </c>
      <c r="V540">
        <v>211.39654541015599</v>
      </c>
      <c r="W540">
        <v>39.585842132568303</v>
      </c>
      <c r="Y540">
        <v>539</v>
      </c>
      <c r="Z540">
        <v>59.352321624755803</v>
      </c>
      <c r="AA540">
        <v>39.616767883300703</v>
      </c>
    </row>
    <row r="541" spans="1:27" x14ac:dyDescent="0.25">
      <c r="A541" s="8">
        <f t="shared" si="32"/>
        <v>540</v>
      </c>
      <c r="B541" s="8">
        <f t="shared" si="33"/>
        <v>1</v>
      </c>
      <c r="C541" s="8">
        <f t="shared" si="34"/>
        <v>319.9272384643549</v>
      </c>
      <c r="D541" s="8">
        <v>540</v>
      </c>
      <c r="E541" s="8">
        <v>107.394119262695</v>
      </c>
      <c r="F541" s="8">
        <v>75.736518859863196</v>
      </c>
      <c r="G541" s="8"/>
      <c r="H541" s="8">
        <v>540</v>
      </c>
      <c r="I541" s="8">
        <v>125.54644775390599</v>
      </c>
      <c r="J541" s="8">
        <v>77.533172607421804</v>
      </c>
      <c r="K541" s="8"/>
      <c r="L541" s="8">
        <v>540</v>
      </c>
      <c r="M541" s="8">
        <v>86.986671447753906</v>
      </c>
      <c r="N541" s="8">
        <v>76.034797668457003</v>
      </c>
      <c r="P541" s="8">
        <f t="shared" si="35"/>
        <v>43.634479999542229</v>
      </c>
      <c r="Q541">
        <v>540</v>
      </c>
      <c r="R541">
        <v>3.7727417945861799</v>
      </c>
      <c r="S541">
        <v>48.515861511230398</v>
      </c>
      <c r="U541">
        <v>540</v>
      </c>
      <c r="V541">
        <v>29.921026229858398</v>
      </c>
      <c r="W541">
        <v>48.310989379882798</v>
      </c>
      <c r="Y541">
        <v>540</v>
      </c>
      <c r="Z541">
        <v>9.9407119750976491</v>
      </c>
      <c r="AA541">
        <v>48.616500854492102</v>
      </c>
    </row>
    <row r="542" spans="1:27" x14ac:dyDescent="0.25">
      <c r="A542" s="8">
        <f t="shared" si="32"/>
        <v>541</v>
      </c>
      <c r="B542" s="8">
        <f t="shared" si="33"/>
        <v>1</v>
      </c>
      <c r="C542" s="8">
        <f t="shared" si="34"/>
        <v>234.30752944946278</v>
      </c>
      <c r="D542" s="8">
        <v>541</v>
      </c>
      <c r="E542" s="8">
        <v>74.488197326660099</v>
      </c>
      <c r="F542" s="8">
        <v>70.300254821777301</v>
      </c>
      <c r="G542" s="8"/>
      <c r="H542" s="8">
        <v>541</v>
      </c>
      <c r="I542" s="8">
        <v>97.656517028808594</v>
      </c>
      <c r="J542" s="8">
        <v>72.209564208984304</v>
      </c>
      <c r="K542" s="8"/>
      <c r="L542" s="8">
        <v>541</v>
      </c>
      <c r="M542" s="8">
        <v>62.162815093994098</v>
      </c>
      <c r="N542" s="8">
        <v>71.115715026855398</v>
      </c>
      <c r="P542" s="8">
        <f t="shared" si="35"/>
        <v>70.395163536071678</v>
      </c>
      <c r="Q542">
        <v>541</v>
      </c>
      <c r="R542">
        <v>9.97786045074462</v>
      </c>
      <c r="S542">
        <v>50.452156066894503</v>
      </c>
      <c r="U542">
        <v>541</v>
      </c>
      <c r="V542">
        <v>50.795089721679602</v>
      </c>
      <c r="W542">
        <v>50.687431335449197</v>
      </c>
      <c r="Y542">
        <v>541</v>
      </c>
      <c r="Z542">
        <v>9.6222133636474592</v>
      </c>
      <c r="AA542">
        <v>50.841720581054602</v>
      </c>
    </row>
    <row r="543" spans="1:27" x14ac:dyDescent="0.25">
      <c r="A543" s="8">
        <f t="shared" si="32"/>
        <v>542</v>
      </c>
      <c r="B543" s="8">
        <f t="shared" si="33"/>
        <v>1</v>
      </c>
      <c r="C543" s="8">
        <f t="shared" si="34"/>
        <v>383.74641418456804</v>
      </c>
      <c r="D543" s="8">
        <v>542</v>
      </c>
      <c r="E543" s="8">
        <v>134.79852294921801</v>
      </c>
      <c r="F543" s="8">
        <v>57.030738830566399</v>
      </c>
      <c r="G543" s="8"/>
      <c r="H543" s="8">
        <v>542</v>
      </c>
      <c r="I543" s="8">
        <v>147.13327026367099</v>
      </c>
      <c r="J543" s="8">
        <v>58.438911437988203</v>
      </c>
      <c r="K543" s="8"/>
      <c r="L543" s="8">
        <v>542</v>
      </c>
      <c r="M543" s="8">
        <v>101.81462097167901</v>
      </c>
      <c r="N543" s="8">
        <v>57.45601272583</v>
      </c>
      <c r="P543" s="8">
        <f t="shared" si="35"/>
        <v>713.563331604003</v>
      </c>
      <c r="Q543">
        <v>542</v>
      </c>
      <c r="R543">
        <v>137.44537353515599</v>
      </c>
      <c r="S543">
        <v>80.356414794921804</v>
      </c>
      <c r="U543">
        <v>542</v>
      </c>
      <c r="V543">
        <v>478.246490478515</v>
      </c>
      <c r="W543">
        <v>78.472801208496094</v>
      </c>
      <c r="Y543">
        <v>542</v>
      </c>
      <c r="Z543">
        <v>97.871467590332003</v>
      </c>
      <c r="AA543">
        <v>79.072448730468693</v>
      </c>
    </row>
    <row r="544" spans="1:27" x14ac:dyDescent="0.25">
      <c r="A544" s="8">
        <f t="shared" si="32"/>
        <v>543</v>
      </c>
      <c r="B544" s="8">
        <f t="shared" si="33"/>
        <v>1</v>
      </c>
      <c r="C544" s="8">
        <f t="shared" si="34"/>
        <v>209.22301864624009</v>
      </c>
      <c r="D544" s="8">
        <v>543</v>
      </c>
      <c r="E544" s="8">
        <v>73.942695617675696</v>
      </c>
      <c r="F544" s="8">
        <v>74.320732116699205</v>
      </c>
      <c r="G544" s="8"/>
      <c r="H544" s="8">
        <v>543</v>
      </c>
      <c r="I544" s="8">
        <v>79.896179199218693</v>
      </c>
      <c r="J544" s="8">
        <v>77.219978332519503</v>
      </c>
      <c r="K544" s="8"/>
      <c r="L544" s="8">
        <v>543</v>
      </c>
      <c r="M544" s="8">
        <v>55.384143829345703</v>
      </c>
      <c r="N544" s="8">
        <v>75.390556335449205</v>
      </c>
      <c r="P544" s="8">
        <f t="shared" si="35"/>
        <v>584.05908966064328</v>
      </c>
      <c r="Q544">
        <v>543</v>
      </c>
      <c r="R544">
        <v>68.851264953613196</v>
      </c>
      <c r="S544">
        <v>79.106979370117102</v>
      </c>
      <c r="U544">
        <v>543</v>
      </c>
      <c r="V544">
        <v>363.94454956054602</v>
      </c>
      <c r="W544">
        <v>79.531600952148395</v>
      </c>
      <c r="Y544">
        <v>543</v>
      </c>
      <c r="Z544">
        <v>151.26327514648401</v>
      </c>
      <c r="AA544">
        <v>83.592788696289006</v>
      </c>
    </row>
    <row r="545" spans="1:27" x14ac:dyDescent="0.25">
      <c r="A545" s="8">
        <f t="shared" si="32"/>
        <v>544</v>
      </c>
      <c r="B545" s="8">
        <f t="shared" si="33"/>
        <v>1</v>
      </c>
      <c r="C545" s="8">
        <f t="shared" si="34"/>
        <v>298.92998123168849</v>
      </c>
      <c r="D545" s="8">
        <v>544</v>
      </c>
      <c r="E545" s="8">
        <v>136.050857543945</v>
      </c>
      <c r="F545" s="8">
        <v>76.905364990234304</v>
      </c>
      <c r="G545" s="8"/>
      <c r="H545" s="8">
        <v>544</v>
      </c>
      <c r="I545" s="8">
        <v>101.07508850097599</v>
      </c>
      <c r="J545" s="8">
        <v>80.382568359375</v>
      </c>
      <c r="K545" s="8"/>
      <c r="L545" s="8">
        <v>544</v>
      </c>
      <c r="M545" s="8">
        <v>61.8040351867675</v>
      </c>
      <c r="N545" s="8">
        <v>76.951347351074205</v>
      </c>
      <c r="P545" s="8">
        <f t="shared" si="35"/>
        <v>158.36777114868141</v>
      </c>
      <c r="Q545">
        <v>544</v>
      </c>
      <c r="R545">
        <v>22.779230117797798</v>
      </c>
      <c r="S545">
        <v>66.032310485839801</v>
      </c>
      <c r="U545">
        <v>544</v>
      </c>
      <c r="V545">
        <v>109.711471557617</v>
      </c>
      <c r="W545">
        <v>63.597824096679602</v>
      </c>
      <c r="Y545">
        <v>544</v>
      </c>
      <c r="Z545">
        <v>25.877069473266602</v>
      </c>
      <c r="AA545">
        <v>64.080657958984304</v>
      </c>
    </row>
    <row r="546" spans="1:27" x14ac:dyDescent="0.25">
      <c r="A546" s="8">
        <f t="shared" si="32"/>
        <v>545</v>
      </c>
      <c r="B546" s="8">
        <f t="shared" si="33"/>
        <v>1</v>
      </c>
      <c r="C546" s="8">
        <f t="shared" si="34"/>
        <v>332.13415527343625</v>
      </c>
      <c r="D546" s="8">
        <v>545</v>
      </c>
      <c r="E546" s="8">
        <v>154.47772216796801</v>
      </c>
      <c r="F546" s="8">
        <v>63.026836395263601</v>
      </c>
      <c r="G546" s="8"/>
      <c r="H546" s="8">
        <v>545</v>
      </c>
      <c r="I546" s="8">
        <v>112.96778106689401</v>
      </c>
      <c r="J546" s="8">
        <v>65.454170227050696</v>
      </c>
      <c r="K546" s="8"/>
      <c r="L546" s="8">
        <v>545</v>
      </c>
      <c r="M546" s="8">
        <v>64.688652038574205</v>
      </c>
      <c r="N546" s="8">
        <v>63.042579650878899</v>
      </c>
      <c r="P546" s="8">
        <f t="shared" si="35"/>
        <v>36.663428783416705</v>
      </c>
      <c r="Q546">
        <v>545</v>
      </c>
      <c r="R546">
        <v>4.7627100944518999</v>
      </c>
      <c r="S546">
        <v>73.514068603515597</v>
      </c>
      <c r="U546">
        <v>545</v>
      </c>
      <c r="V546">
        <v>23.1418361663818</v>
      </c>
      <c r="W546">
        <v>73.429252624511705</v>
      </c>
      <c r="Y546">
        <v>545</v>
      </c>
      <c r="Z546">
        <v>8.7588825225830007</v>
      </c>
      <c r="AA546">
        <v>77.719177246093693</v>
      </c>
    </row>
    <row r="547" spans="1:27" x14ac:dyDescent="0.25">
      <c r="A547" s="8">
        <f t="shared" si="32"/>
        <v>546</v>
      </c>
      <c r="B547" s="8">
        <f t="shared" si="33"/>
        <v>1</v>
      </c>
      <c r="C547" s="8">
        <f t="shared" si="34"/>
        <v>159.8982696533202</v>
      </c>
      <c r="D547" s="8">
        <v>546</v>
      </c>
      <c r="E547" s="8">
        <v>49.456272125244098</v>
      </c>
      <c r="F547" s="8">
        <v>29.68359375</v>
      </c>
      <c r="G547" s="8"/>
      <c r="H547" s="8">
        <v>546</v>
      </c>
      <c r="I547" s="8">
        <v>61.848339080810497</v>
      </c>
      <c r="J547" s="8">
        <v>33.489253997802699</v>
      </c>
      <c r="K547" s="8"/>
      <c r="L547" s="8">
        <v>546</v>
      </c>
      <c r="M547" s="8">
        <v>48.593658447265597</v>
      </c>
      <c r="N547" s="8">
        <v>30.412513732910099</v>
      </c>
      <c r="P547" s="8">
        <f t="shared" si="35"/>
        <v>32.683916568756025</v>
      </c>
      <c r="Q547">
        <v>546</v>
      </c>
      <c r="R547">
        <v>4.3977937698364196</v>
      </c>
      <c r="S547">
        <v>62.369400024413999</v>
      </c>
      <c r="U547">
        <v>546</v>
      </c>
      <c r="V547">
        <v>20.648586273193299</v>
      </c>
      <c r="W547">
        <v>62.266929626464801</v>
      </c>
      <c r="Y547">
        <v>546</v>
      </c>
      <c r="Z547">
        <v>7.6375365257263104</v>
      </c>
      <c r="AA547">
        <v>66.560066223144503</v>
      </c>
    </row>
    <row r="548" spans="1:27" x14ac:dyDescent="0.25">
      <c r="A548" s="8">
        <f t="shared" si="32"/>
        <v>547</v>
      </c>
      <c r="B548" s="8">
        <f t="shared" si="33"/>
        <v>1</v>
      </c>
      <c r="C548" s="8">
        <f t="shared" si="34"/>
        <v>210.9740562438964</v>
      </c>
      <c r="D548" s="8">
        <v>547</v>
      </c>
      <c r="E548" s="8">
        <v>78.070014953613196</v>
      </c>
      <c r="F548" s="8">
        <v>28.128856658935501</v>
      </c>
      <c r="G548" s="8"/>
      <c r="H548" s="8">
        <v>547</v>
      </c>
      <c r="I548" s="8">
        <v>83.030662536621094</v>
      </c>
      <c r="J548" s="8">
        <v>29.967197418212798</v>
      </c>
      <c r="K548" s="8"/>
      <c r="L548" s="8">
        <v>547</v>
      </c>
      <c r="M548" s="8">
        <v>49.873378753662102</v>
      </c>
      <c r="N548" s="8">
        <v>28.2235717773437</v>
      </c>
      <c r="P548" s="8">
        <f t="shared" si="35"/>
        <v>101.4341888427733</v>
      </c>
      <c r="Q548">
        <v>547</v>
      </c>
      <c r="R548">
        <v>19.3205871582031</v>
      </c>
      <c r="S548">
        <v>59.811164855957003</v>
      </c>
      <c r="U548">
        <v>547</v>
      </c>
      <c r="V548">
        <v>68.038131713867102</v>
      </c>
      <c r="W548">
        <v>58.621761322021399</v>
      </c>
      <c r="Y548">
        <v>547</v>
      </c>
      <c r="Z548">
        <v>14.0754699707031</v>
      </c>
      <c r="AA548">
        <v>58.875747680663999</v>
      </c>
    </row>
    <row r="549" spans="1:27" x14ac:dyDescent="0.25">
      <c r="A549" s="8">
        <f t="shared" si="32"/>
        <v>548</v>
      </c>
      <c r="B549" s="8">
        <f t="shared" si="33"/>
        <v>1</v>
      </c>
      <c r="C549" s="8">
        <f t="shared" si="34"/>
        <v>210.9740562438964</v>
      </c>
      <c r="D549" s="8">
        <v>548</v>
      </c>
      <c r="E549" s="8">
        <v>78.070014953613196</v>
      </c>
      <c r="F549" s="8">
        <v>28.128856658935501</v>
      </c>
      <c r="G549" s="8"/>
      <c r="H549" s="8">
        <v>548</v>
      </c>
      <c r="I549" s="8">
        <v>83.030662536621094</v>
      </c>
      <c r="J549" s="8">
        <v>29.967197418212798</v>
      </c>
      <c r="K549" s="8"/>
      <c r="L549" s="8">
        <v>548</v>
      </c>
      <c r="M549" s="8">
        <v>49.873378753662102</v>
      </c>
      <c r="N549" s="8">
        <v>28.2235717773437</v>
      </c>
      <c r="P549" s="8">
        <f t="shared" si="35"/>
        <v>60.048460006713725</v>
      </c>
      <c r="Q549">
        <v>548</v>
      </c>
      <c r="R549">
        <v>11.3525075912475</v>
      </c>
      <c r="S549">
        <v>51.317024230957003</v>
      </c>
      <c r="U549">
        <v>548</v>
      </c>
      <c r="V549">
        <v>40.457931518554602</v>
      </c>
      <c r="W549">
        <v>50.230968475341797</v>
      </c>
      <c r="Y549">
        <v>548</v>
      </c>
      <c r="Z549">
        <v>8.2380208969116193</v>
      </c>
      <c r="AA549">
        <v>50.489955902099602</v>
      </c>
    </row>
    <row r="550" spans="1:27" x14ac:dyDescent="0.25">
      <c r="A550" s="8">
        <f t="shared" si="32"/>
        <v>549</v>
      </c>
      <c r="B550" s="8">
        <f t="shared" si="33"/>
        <v>1</v>
      </c>
      <c r="C550" s="8">
        <f t="shared" si="34"/>
        <v>775.71464538574003</v>
      </c>
      <c r="D550" s="8">
        <v>549</v>
      </c>
      <c r="E550" s="8">
        <v>293.95013427734301</v>
      </c>
      <c r="F550" s="8">
        <v>54.224853515625</v>
      </c>
      <c r="G550" s="8"/>
      <c r="H550" s="8">
        <v>549</v>
      </c>
      <c r="I550" s="8">
        <v>303.69985961914</v>
      </c>
      <c r="J550" s="8">
        <v>59.253345489501903</v>
      </c>
      <c r="K550" s="8"/>
      <c r="L550" s="8">
        <v>549</v>
      </c>
      <c r="M550" s="8">
        <v>178.06465148925699</v>
      </c>
      <c r="N550" s="8">
        <v>55.525474548339801</v>
      </c>
      <c r="P550" s="8">
        <f t="shared" si="35"/>
        <v>104.2920770645141</v>
      </c>
      <c r="Q550">
        <v>549</v>
      </c>
      <c r="R550">
        <v>10.9088335037231</v>
      </c>
      <c r="S550">
        <v>52.776096343994098</v>
      </c>
      <c r="U550">
        <v>549</v>
      </c>
      <c r="V550">
        <v>65.455398559570298</v>
      </c>
      <c r="W550">
        <v>53.387363433837798</v>
      </c>
      <c r="Y550">
        <v>549</v>
      </c>
      <c r="Z550">
        <v>27.9278450012207</v>
      </c>
      <c r="AA550">
        <v>57.055492401122997</v>
      </c>
    </row>
    <row r="551" spans="1:27" x14ac:dyDescent="0.25">
      <c r="A551" s="8">
        <f t="shared" si="32"/>
        <v>550</v>
      </c>
      <c r="B551" s="8">
        <f t="shared" si="33"/>
        <v>1</v>
      </c>
      <c r="C551" s="8">
        <f t="shared" si="34"/>
        <v>568.85734558105298</v>
      </c>
      <c r="D551" s="8">
        <v>550</v>
      </c>
      <c r="E551" s="8">
        <v>215.56343078613199</v>
      </c>
      <c r="F551" s="8">
        <v>52.344688415527301</v>
      </c>
      <c r="G551" s="8"/>
      <c r="H551" s="8">
        <v>550</v>
      </c>
      <c r="I551" s="8">
        <v>222.71318054199199</v>
      </c>
      <c r="J551" s="8">
        <v>57.361015319824197</v>
      </c>
      <c r="K551" s="8"/>
      <c r="L551" s="8">
        <v>550</v>
      </c>
      <c r="M551" s="8">
        <v>130.58073425292901</v>
      </c>
      <c r="N551" s="8">
        <v>53.638210296630803</v>
      </c>
      <c r="P551" s="8">
        <f t="shared" si="35"/>
        <v>72.113800048828011</v>
      </c>
      <c r="Q551">
        <v>550</v>
      </c>
      <c r="R551">
        <v>8.9007225036621094</v>
      </c>
      <c r="S551">
        <v>71.950210571289006</v>
      </c>
      <c r="U551">
        <v>550</v>
      </c>
      <c r="V551">
        <v>45.213161468505803</v>
      </c>
      <c r="W551">
        <v>72.533058166503906</v>
      </c>
      <c r="Y551">
        <v>550</v>
      </c>
      <c r="Z551">
        <v>17.999916076660099</v>
      </c>
      <c r="AA551">
        <v>76.255798339843693</v>
      </c>
    </row>
    <row r="552" spans="1:27" x14ac:dyDescent="0.25">
      <c r="A552" s="8">
        <f t="shared" si="32"/>
        <v>551</v>
      </c>
      <c r="B552" s="8">
        <f t="shared" si="33"/>
        <v>1</v>
      </c>
      <c r="C552" s="8">
        <f t="shared" si="34"/>
        <v>189.6191215515135</v>
      </c>
      <c r="D552" s="8">
        <v>551</v>
      </c>
      <c r="E552" s="8">
        <v>71.854484558105398</v>
      </c>
      <c r="F552" s="8">
        <v>54.224853515625</v>
      </c>
      <c r="G552" s="8"/>
      <c r="H552" s="8">
        <v>551</v>
      </c>
      <c r="I552" s="8">
        <v>74.237716674804602</v>
      </c>
      <c r="J552" s="8">
        <v>59.253345489501903</v>
      </c>
      <c r="K552" s="8"/>
      <c r="L552" s="8">
        <v>551</v>
      </c>
      <c r="M552" s="8">
        <v>43.526920318603501</v>
      </c>
      <c r="N552" s="8">
        <v>55.525474548339801</v>
      </c>
      <c r="P552" s="8">
        <f t="shared" si="35"/>
        <v>15.3608350753784</v>
      </c>
      <c r="Q552">
        <v>551</v>
      </c>
      <c r="R552">
        <v>2.3565819263458199</v>
      </c>
      <c r="S552">
        <v>35.692832946777301</v>
      </c>
      <c r="U552">
        <v>551</v>
      </c>
      <c r="V552">
        <v>9.5421361923217702</v>
      </c>
      <c r="W552">
        <v>36.031742095947202</v>
      </c>
      <c r="Y552">
        <v>551</v>
      </c>
      <c r="Z552">
        <v>3.4621169567108101</v>
      </c>
      <c r="AA552">
        <v>36.347000122070298</v>
      </c>
    </row>
    <row r="553" spans="1:27" x14ac:dyDescent="0.25">
      <c r="A553" s="8">
        <f t="shared" si="32"/>
        <v>552</v>
      </c>
      <c r="B553" s="8">
        <f t="shared" si="33"/>
        <v>1</v>
      </c>
      <c r="C553" s="8">
        <f t="shared" si="34"/>
        <v>284.42867279052678</v>
      </c>
      <c r="D553" s="8">
        <v>552</v>
      </c>
      <c r="E553" s="8">
        <v>107.78171539306599</v>
      </c>
      <c r="F553" s="8">
        <v>52.344688415527301</v>
      </c>
      <c r="G553" s="8"/>
      <c r="H553" s="8">
        <v>552</v>
      </c>
      <c r="I553" s="8">
        <v>111.35659027099599</v>
      </c>
      <c r="J553" s="8">
        <v>57.361015319824197</v>
      </c>
      <c r="K553" s="8"/>
      <c r="L553" s="8">
        <v>552</v>
      </c>
      <c r="M553" s="8">
        <v>65.290367126464801</v>
      </c>
      <c r="N553" s="8">
        <v>53.638210296630803</v>
      </c>
      <c r="P553" s="8">
        <f t="shared" si="35"/>
        <v>6.6398487091064302</v>
      </c>
      <c r="Q553">
        <v>552</v>
      </c>
      <c r="R553">
        <v>1.2548239231109599</v>
      </c>
      <c r="S553">
        <v>30.734640121459901</v>
      </c>
      <c r="U553">
        <v>552</v>
      </c>
      <c r="V553">
        <v>4.1478471755981401</v>
      </c>
      <c r="W553">
        <v>30.9294414520263</v>
      </c>
      <c r="Y553">
        <v>552</v>
      </c>
      <c r="Z553">
        <v>1.23717761039733</v>
      </c>
      <c r="AA553">
        <v>30.913553237915</v>
      </c>
    </row>
    <row r="554" spans="1:27" x14ac:dyDescent="0.25">
      <c r="A554" s="8">
        <f t="shared" si="32"/>
        <v>553</v>
      </c>
      <c r="B554" s="8">
        <f t="shared" si="33"/>
        <v>1</v>
      </c>
      <c r="C554" s="8">
        <f t="shared" si="34"/>
        <v>1753.3635559082018</v>
      </c>
      <c r="D554" s="8">
        <v>553</v>
      </c>
      <c r="E554" s="8">
        <v>648.47210693359295</v>
      </c>
      <c r="F554" s="8">
        <v>47.48140335083</v>
      </c>
      <c r="G554" s="8"/>
      <c r="H554" s="8">
        <v>553</v>
      </c>
      <c r="I554" s="8">
        <v>646.531982421875</v>
      </c>
      <c r="J554" s="8">
        <v>50.5474433898925</v>
      </c>
      <c r="K554" s="8"/>
      <c r="L554" s="8">
        <v>553</v>
      </c>
      <c r="M554" s="8">
        <v>458.35946655273398</v>
      </c>
      <c r="N554" s="8">
        <v>47.853096008300703</v>
      </c>
      <c r="P554" s="8">
        <f t="shared" si="35"/>
        <v>21.97949719429009</v>
      </c>
      <c r="Q554">
        <v>553</v>
      </c>
      <c r="R554">
        <v>3.6321046352386399</v>
      </c>
      <c r="S554">
        <v>64.935546875</v>
      </c>
      <c r="U554">
        <v>553</v>
      </c>
      <c r="V554">
        <v>14.5539350509643</v>
      </c>
      <c r="W554">
        <v>62.877738952636697</v>
      </c>
      <c r="Y554">
        <v>553</v>
      </c>
      <c r="Z554">
        <v>3.7934575080871502</v>
      </c>
      <c r="AA554">
        <v>64.414634704589801</v>
      </c>
    </row>
    <row r="555" spans="1:27" x14ac:dyDescent="0.25">
      <c r="A555" s="8">
        <f t="shared" si="32"/>
        <v>554</v>
      </c>
      <c r="B555" s="8">
        <f t="shared" si="33"/>
        <v>1</v>
      </c>
      <c r="C555" s="8">
        <f t="shared" si="34"/>
        <v>107.149990081787</v>
      </c>
      <c r="D555" s="8">
        <v>554</v>
      </c>
      <c r="E555" s="8">
        <v>39.628849029541001</v>
      </c>
      <c r="F555" s="8">
        <v>48.181217193603501</v>
      </c>
      <c r="G555" s="8"/>
      <c r="H555" s="8">
        <v>554</v>
      </c>
      <c r="I555" s="8">
        <v>39.510288238525298</v>
      </c>
      <c r="J555" s="8">
        <v>51.251762390136697</v>
      </c>
      <c r="K555" s="8"/>
      <c r="L555" s="8">
        <v>554</v>
      </c>
      <c r="M555" s="8">
        <v>28.0108528137207</v>
      </c>
      <c r="N555" s="8">
        <v>48.554866790771399</v>
      </c>
      <c r="P555" s="8">
        <f t="shared" si="35"/>
        <v>2.3866312205791429</v>
      </c>
      <c r="Q555">
        <v>554</v>
      </c>
      <c r="R555">
        <v>0.37229177355766202</v>
      </c>
      <c r="S555">
        <v>63.505580902099602</v>
      </c>
      <c r="U555">
        <v>554</v>
      </c>
      <c r="V555">
        <v>1.4810333251953101</v>
      </c>
      <c r="W555">
        <v>64.129447937011705</v>
      </c>
      <c r="Y555">
        <v>554</v>
      </c>
      <c r="Z555">
        <v>0.53330612182617099</v>
      </c>
      <c r="AA555">
        <v>67.948997497558594</v>
      </c>
    </row>
    <row r="556" spans="1:27" x14ac:dyDescent="0.25">
      <c r="A556" s="8">
        <f t="shared" si="32"/>
        <v>555</v>
      </c>
      <c r="B556" s="8">
        <f t="shared" si="33"/>
        <v>1</v>
      </c>
      <c r="C556" s="8">
        <f t="shared" si="34"/>
        <v>2473.6613769531241</v>
      </c>
      <c r="D556" s="8">
        <v>555</v>
      </c>
      <c r="E556" s="8">
        <v>848.173095703125</v>
      </c>
      <c r="F556" s="8">
        <v>34.937736511230398</v>
      </c>
      <c r="G556" s="8"/>
      <c r="H556" s="8">
        <v>555</v>
      </c>
      <c r="I556" s="8">
        <v>920.49029541015602</v>
      </c>
      <c r="J556" s="8">
        <v>38.257518768310497</v>
      </c>
      <c r="K556" s="8"/>
      <c r="L556" s="8">
        <v>555</v>
      </c>
      <c r="M556" s="8">
        <v>704.99798583984295</v>
      </c>
      <c r="N556" s="8">
        <v>35.837684631347599</v>
      </c>
      <c r="P556" s="8">
        <f t="shared" si="35"/>
        <v>429.18391799926673</v>
      </c>
      <c r="Q556">
        <v>555</v>
      </c>
      <c r="R556">
        <v>38.348499298095703</v>
      </c>
      <c r="S556">
        <v>65.766166687011705</v>
      </c>
      <c r="U556">
        <v>555</v>
      </c>
      <c r="V556">
        <v>276.36764526367102</v>
      </c>
      <c r="W556">
        <v>66.004280090332003</v>
      </c>
      <c r="Y556">
        <v>555</v>
      </c>
      <c r="Z556">
        <v>114.4677734375</v>
      </c>
      <c r="AA556">
        <v>70.155464172363196</v>
      </c>
    </row>
    <row r="557" spans="1:27" x14ac:dyDescent="0.25">
      <c r="A557" s="8">
        <f t="shared" si="32"/>
        <v>556</v>
      </c>
      <c r="B557" s="8">
        <f t="shared" si="33"/>
        <v>1</v>
      </c>
      <c r="C557" s="8">
        <f t="shared" si="34"/>
        <v>485.49287414550599</v>
      </c>
      <c r="D557" s="8">
        <v>556</v>
      </c>
      <c r="E557" s="8">
        <v>160.54693603515599</v>
      </c>
      <c r="F557" s="8">
        <v>33.2863960266113</v>
      </c>
      <c r="G557" s="8"/>
      <c r="H557" s="8">
        <v>556</v>
      </c>
      <c r="I557" s="8">
        <v>195.97261047363199</v>
      </c>
      <c r="J557" s="8">
        <v>34.926738739013601</v>
      </c>
      <c r="K557" s="8"/>
      <c r="L557" s="8">
        <v>556</v>
      </c>
      <c r="M557" s="8">
        <v>128.97332763671801</v>
      </c>
      <c r="N557" s="8">
        <v>33.456409454345703</v>
      </c>
      <c r="P557" s="8">
        <f t="shared" si="35"/>
        <v>286.55397796630768</v>
      </c>
      <c r="Q557">
        <v>556</v>
      </c>
      <c r="R557">
        <v>49.405311584472599</v>
      </c>
      <c r="S557">
        <v>60.946048736572202</v>
      </c>
      <c r="U557">
        <v>556</v>
      </c>
      <c r="V557">
        <v>186.61761474609301</v>
      </c>
      <c r="W557">
        <v>59.284873962402301</v>
      </c>
      <c r="Y557">
        <v>556</v>
      </c>
      <c r="Z557">
        <v>50.531051635742102</v>
      </c>
      <c r="AA557">
        <v>59.510921478271399</v>
      </c>
    </row>
    <row r="558" spans="1:27" x14ac:dyDescent="0.25">
      <c r="A558" s="8">
        <f t="shared" si="32"/>
        <v>557</v>
      </c>
      <c r="B558" s="8">
        <f t="shared" si="33"/>
        <v>1</v>
      </c>
      <c r="C558" s="8">
        <f t="shared" si="34"/>
        <v>292.40660095214668</v>
      </c>
      <c r="D558" s="8">
        <v>557</v>
      </c>
      <c r="E558" s="8">
        <v>105.50778198242099</v>
      </c>
      <c r="F558" s="8">
        <v>30.8079833984375</v>
      </c>
      <c r="G558" s="8"/>
      <c r="H558" s="8">
        <v>557</v>
      </c>
      <c r="I558" s="8">
        <v>113.156692504882</v>
      </c>
      <c r="J558" s="8">
        <v>32.448314666747997</v>
      </c>
      <c r="K558" s="8"/>
      <c r="L558" s="8">
        <v>557</v>
      </c>
      <c r="M558" s="8">
        <v>73.742126464843693</v>
      </c>
      <c r="N558" s="8">
        <v>30.975101470947202</v>
      </c>
      <c r="P558" s="8">
        <f t="shared" si="35"/>
        <v>609.36776733398358</v>
      </c>
      <c r="Q558">
        <v>557</v>
      </c>
      <c r="R558">
        <v>67.583892822265597</v>
      </c>
      <c r="S558">
        <v>58.9051513671875</v>
      </c>
      <c r="U558">
        <v>557</v>
      </c>
      <c r="V558">
        <v>393.13323974609301</v>
      </c>
      <c r="W558">
        <v>59.316005706787102</v>
      </c>
      <c r="Y558">
        <v>557</v>
      </c>
      <c r="Z558">
        <v>148.650634765625</v>
      </c>
      <c r="AA558">
        <v>62.673080444335902</v>
      </c>
    </row>
    <row r="559" spans="1:27" x14ac:dyDescent="0.25">
      <c r="A559" s="8">
        <f t="shared" si="32"/>
        <v>558</v>
      </c>
      <c r="B559" s="8">
        <f t="shared" si="33"/>
        <v>1</v>
      </c>
      <c r="C559" s="8">
        <f t="shared" si="34"/>
        <v>864.23364257812409</v>
      </c>
      <c r="D559" s="8">
        <v>558</v>
      </c>
      <c r="E559" s="8">
        <v>303.31793212890602</v>
      </c>
      <c r="F559" s="8">
        <v>34.561347961425703</v>
      </c>
      <c r="G559" s="8"/>
      <c r="H559" s="8">
        <v>558</v>
      </c>
      <c r="I559" s="8">
        <v>339.329345703125</v>
      </c>
      <c r="J559" s="8">
        <v>36.2016792297363</v>
      </c>
      <c r="K559" s="8"/>
      <c r="L559" s="8">
        <v>558</v>
      </c>
      <c r="M559" s="8">
        <v>221.58636474609301</v>
      </c>
      <c r="N559" s="8">
        <v>34.731407165527301</v>
      </c>
      <c r="P559" s="8">
        <f t="shared" si="35"/>
        <v>144.2289905548094</v>
      </c>
      <c r="Q559">
        <v>558</v>
      </c>
      <c r="R559">
        <v>22.926790237426701</v>
      </c>
      <c r="S559">
        <v>39.811454772949197</v>
      </c>
      <c r="U559">
        <v>558</v>
      </c>
      <c r="V559">
        <v>94.300483703613196</v>
      </c>
      <c r="W559">
        <v>39.822734832763601</v>
      </c>
      <c r="Y559">
        <v>558</v>
      </c>
      <c r="Z559">
        <v>27.001716613769499</v>
      </c>
      <c r="AA559">
        <v>39.930778503417898</v>
      </c>
    </row>
    <row r="560" spans="1:27" x14ac:dyDescent="0.25">
      <c r="A560" s="8">
        <f t="shared" si="32"/>
        <v>559</v>
      </c>
      <c r="B560" s="8">
        <f t="shared" si="33"/>
        <v>1</v>
      </c>
      <c r="C560" s="8">
        <f t="shared" si="34"/>
        <v>219.30496597290019</v>
      </c>
      <c r="D560" s="8">
        <v>559</v>
      </c>
      <c r="E560" s="8">
        <v>79.130844116210895</v>
      </c>
      <c r="F560" s="8">
        <v>32.137985229492102</v>
      </c>
      <c r="G560" s="8"/>
      <c r="H560" s="8">
        <v>559</v>
      </c>
      <c r="I560" s="8">
        <v>84.867523193359304</v>
      </c>
      <c r="J560" s="8">
        <v>33.778316497802699</v>
      </c>
      <c r="K560" s="8"/>
      <c r="L560" s="8">
        <v>559</v>
      </c>
      <c r="M560" s="8">
        <v>55.30659866333</v>
      </c>
      <c r="N560" s="8">
        <v>32.305103302001903</v>
      </c>
      <c r="P560" s="8">
        <f t="shared" si="35"/>
        <v>90.477784156799103</v>
      </c>
      <c r="Q560">
        <v>559</v>
      </c>
      <c r="R560">
        <v>11.7659845352172</v>
      </c>
      <c r="S560">
        <v>39.198715209960902</v>
      </c>
      <c r="U560">
        <v>559</v>
      </c>
      <c r="V560">
        <v>58.353206634521399</v>
      </c>
      <c r="W560">
        <v>39.131641387939403</v>
      </c>
      <c r="Y560">
        <v>559</v>
      </c>
      <c r="Z560">
        <v>20.358592987060501</v>
      </c>
      <c r="AA560">
        <v>39.183067321777301</v>
      </c>
    </row>
    <row r="561" spans="1:27" x14ac:dyDescent="0.25">
      <c r="A561" s="8">
        <f t="shared" si="32"/>
        <v>560</v>
      </c>
      <c r="B561" s="8">
        <f t="shared" si="33"/>
        <v>1</v>
      </c>
      <c r="C561" s="8">
        <f t="shared" si="34"/>
        <v>539.06114196777196</v>
      </c>
      <c r="D561" s="8">
        <v>560</v>
      </c>
      <c r="E561" s="8">
        <v>220.56475830078099</v>
      </c>
      <c r="F561" s="8">
        <v>40.817775726318303</v>
      </c>
      <c r="G561" s="8"/>
      <c r="H561" s="8">
        <v>560</v>
      </c>
      <c r="I561" s="8">
        <v>187.34651184082</v>
      </c>
      <c r="J561" s="8">
        <v>42.882858276367102</v>
      </c>
      <c r="K561" s="8"/>
      <c r="L561" s="8">
        <v>560</v>
      </c>
      <c r="M561" s="8">
        <v>131.14987182617099</v>
      </c>
      <c r="N561" s="8">
        <v>41.015186309814403</v>
      </c>
      <c r="P561" s="8">
        <f t="shared" si="35"/>
        <v>32.61283588409421</v>
      </c>
      <c r="Q561">
        <v>560</v>
      </c>
      <c r="R561">
        <v>4.6070671081542898</v>
      </c>
      <c r="S561">
        <v>28.786823272705</v>
      </c>
      <c r="U561">
        <v>560</v>
      </c>
      <c r="V561">
        <v>19.710269927978501</v>
      </c>
      <c r="W561">
        <v>29.247133255004801</v>
      </c>
      <c r="Y561">
        <v>560</v>
      </c>
      <c r="Z561">
        <v>8.2954988479614205</v>
      </c>
      <c r="AA561">
        <v>29.415866851806602</v>
      </c>
    </row>
    <row r="562" spans="1:27" x14ac:dyDescent="0.25">
      <c r="A562" s="8">
        <f t="shared" si="32"/>
        <v>561</v>
      </c>
      <c r="B562" s="8">
        <f t="shared" si="33"/>
        <v>1</v>
      </c>
      <c r="C562" s="8">
        <f t="shared" si="34"/>
        <v>155.5659370422363</v>
      </c>
      <c r="D562" s="8">
        <v>561</v>
      </c>
      <c r="E562" s="8">
        <v>48.8026123046875</v>
      </c>
      <c r="F562" s="8">
        <v>41.026683807372997</v>
      </c>
      <c r="G562" s="8"/>
      <c r="H562" s="8">
        <v>561</v>
      </c>
      <c r="I562" s="8">
        <v>57.977161407470703</v>
      </c>
      <c r="J562" s="8">
        <v>44.391971588134702</v>
      </c>
      <c r="K562" s="8"/>
      <c r="L562" s="8">
        <v>561</v>
      </c>
      <c r="M562" s="8">
        <v>48.786163330078097</v>
      </c>
      <c r="N562" s="8">
        <v>42.013050079345703</v>
      </c>
      <c r="P562" s="8">
        <f t="shared" si="35"/>
        <v>51.358720779418867</v>
      </c>
      <c r="Q562">
        <v>561</v>
      </c>
      <c r="R562">
        <v>10.024812698364199</v>
      </c>
      <c r="S562">
        <v>29.566616058349599</v>
      </c>
      <c r="U562">
        <v>561</v>
      </c>
      <c r="V562">
        <v>31.707473754882798</v>
      </c>
      <c r="W562">
        <v>30.1915264129638</v>
      </c>
      <c r="Y562">
        <v>561</v>
      </c>
      <c r="Z562">
        <v>9.6264343261718697</v>
      </c>
      <c r="AA562">
        <v>30.283838272094702</v>
      </c>
    </row>
    <row r="563" spans="1:27" x14ac:dyDescent="0.25">
      <c r="A563" s="8">
        <f t="shared" si="32"/>
        <v>562</v>
      </c>
      <c r="B563" s="8">
        <f t="shared" si="33"/>
        <v>1</v>
      </c>
      <c r="C563" s="8">
        <f t="shared" si="34"/>
        <v>117.62344741821281</v>
      </c>
      <c r="D563" s="8">
        <v>562</v>
      </c>
      <c r="E563" s="8">
        <v>42.3816719055175</v>
      </c>
      <c r="F563" s="8">
        <v>54.819198608398402</v>
      </c>
      <c r="G563" s="8"/>
      <c r="H563" s="8">
        <v>562</v>
      </c>
      <c r="I563" s="8">
        <v>40.987049102783203</v>
      </c>
      <c r="J563" s="8">
        <v>60.388973236083899</v>
      </c>
      <c r="K563" s="8"/>
      <c r="L563" s="8">
        <v>562</v>
      </c>
      <c r="M563" s="8">
        <v>34.254726409912102</v>
      </c>
      <c r="N563" s="8">
        <v>55.949535369872997</v>
      </c>
      <c r="P563" s="8">
        <f t="shared" si="35"/>
        <v>104.8438854217527</v>
      </c>
      <c r="Q563">
        <v>562</v>
      </c>
      <c r="R563">
        <v>17.706838607788001</v>
      </c>
      <c r="S563">
        <v>31.572584152221602</v>
      </c>
      <c r="U563">
        <v>562</v>
      </c>
      <c r="V563">
        <v>67.360466003417898</v>
      </c>
      <c r="W563">
        <v>32.150890350341797</v>
      </c>
      <c r="Y563">
        <v>562</v>
      </c>
      <c r="Z563">
        <v>19.7765808105468</v>
      </c>
      <c r="AA563">
        <v>32.220859527587798</v>
      </c>
    </row>
    <row r="564" spans="1:27" x14ac:dyDescent="0.25">
      <c r="A564" s="8">
        <f t="shared" si="32"/>
        <v>563</v>
      </c>
      <c r="B564" s="8">
        <f t="shared" si="33"/>
        <v>1</v>
      </c>
      <c r="C564" s="8">
        <f t="shared" si="34"/>
        <v>82.653951644897404</v>
      </c>
      <c r="D564" s="8">
        <v>563</v>
      </c>
      <c r="E564" s="8">
        <v>29.047517776489201</v>
      </c>
      <c r="F564" s="8">
        <v>53.285835266113203</v>
      </c>
      <c r="G564" s="8"/>
      <c r="H564" s="8">
        <v>563</v>
      </c>
      <c r="I564" s="8">
        <v>29.333856582641602</v>
      </c>
      <c r="J564" s="8">
        <v>58.136688232421797</v>
      </c>
      <c r="K564" s="8"/>
      <c r="L564" s="8">
        <v>563</v>
      </c>
      <c r="M564" s="8">
        <v>24.272577285766602</v>
      </c>
      <c r="N564" s="8">
        <v>53.993419647216797</v>
      </c>
      <c r="P564" s="8">
        <f t="shared" si="35"/>
        <v>72.655219078063794</v>
      </c>
      <c r="Q564">
        <v>563</v>
      </c>
      <c r="R564">
        <v>14.708065032958901</v>
      </c>
      <c r="S564">
        <v>31.409898757934499</v>
      </c>
      <c r="U564">
        <v>563</v>
      </c>
      <c r="V564">
        <v>45.515708923339801</v>
      </c>
      <c r="W564">
        <v>32.335399627685497</v>
      </c>
      <c r="Y564">
        <v>563</v>
      </c>
      <c r="Z564">
        <v>12.431445121765099</v>
      </c>
      <c r="AA564">
        <v>32.412834167480398</v>
      </c>
    </row>
    <row r="565" spans="1:27" x14ac:dyDescent="0.25">
      <c r="A565" s="8">
        <f t="shared" si="32"/>
        <v>564</v>
      </c>
      <c r="B565" s="8">
        <f t="shared" si="33"/>
        <v>1</v>
      </c>
      <c r="C565" s="8">
        <f t="shared" si="34"/>
        <v>52.531115531921202</v>
      </c>
      <c r="D565" s="8">
        <v>564</v>
      </c>
      <c r="E565" s="8">
        <v>18.2707614898681</v>
      </c>
      <c r="F565" s="8">
        <v>58.615459442138601</v>
      </c>
      <c r="G565" s="8"/>
      <c r="H565" s="8">
        <v>564</v>
      </c>
      <c r="I565" s="8">
        <v>19.409456253051701</v>
      </c>
      <c r="J565" s="8">
        <v>62.263919830322202</v>
      </c>
      <c r="K565" s="8"/>
      <c r="L565" s="8">
        <v>564</v>
      </c>
      <c r="M565" s="8">
        <v>14.850897789001399</v>
      </c>
      <c r="N565" s="8">
        <v>59.0736694335937</v>
      </c>
      <c r="P565" s="8">
        <f t="shared" si="35"/>
        <v>126.09124946594218</v>
      </c>
      <c r="Q565">
        <v>564</v>
      </c>
      <c r="R565">
        <v>24.696670532226499</v>
      </c>
      <c r="S565">
        <v>32.7757568359375</v>
      </c>
      <c r="U565">
        <v>564</v>
      </c>
      <c r="V565">
        <v>82.079582214355398</v>
      </c>
      <c r="W565">
        <v>33.202350616455</v>
      </c>
      <c r="Y565">
        <v>564</v>
      </c>
      <c r="Z565">
        <v>19.314996719360298</v>
      </c>
      <c r="AA565">
        <v>33.308383941650298</v>
      </c>
    </row>
    <row r="566" spans="1:27" x14ac:dyDescent="0.25">
      <c r="A566" s="8">
        <f t="shared" si="32"/>
        <v>565</v>
      </c>
      <c r="B566" s="8">
        <f t="shared" si="33"/>
        <v>1</v>
      </c>
      <c r="C566" s="8">
        <f t="shared" si="34"/>
        <v>211.45688629150382</v>
      </c>
      <c r="D566" s="8">
        <v>565</v>
      </c>
      <c r="E566" s="8">
        <v>73.783645629882798</v>
      </c>
      <c r="F566" s="8">
        <v>58.2591743469238</v>
      </c>
      <c r="G566" s="8"/>
      <c r="H566" s="8">
        <v>565</v>
      </c>
      <c r="I566" s="8">
        <v>77.8848876953125</v>
      </c>
      <c r="J566" s="8">
        <v>61.907634735107401</v>
      </c>
      <c r="K566" s="8"/>
      <c r="L566" s="8">
        <v>565</v>
      </c>
      <c r="M566" s="8">
        <v>59.788352966308501</v>
      </c>
      <c r="N566" s="8">
        <v>58.717384338378899</v>
      </c>
      <c r="P566" s="8">
        <f t="shared" si="35"/>
        <v>110.01657199859611</v>
      </c>
      <c r="Q566">
        <v>565</v>
      </c>
      <c r="R566">
        <v>14.8842668533325</v>
      </c>
      <c r="S566">
        <v>23.4593505859375</v>
      </c>
      <c r="U566">
        <v>565</v>
      </c>
      <c r="V566">
        <v>74.578514099121094</v>
      </c>
      <c r="W566">
        <v>23.802625656127901</v>
      </c>
      <c r="Y566">
        <v>565</v>
      </c>
      <c r="Z566">
        <v>20.5537910461425</v>
      </c>
      <c r="AA566">
        <v>23.908308029174801</v>
      </c>
    </row>
    <row r="567" spans="1:27" x14ac:dyDescent="0.25">
      <c r="A567" s="8">
        <f t="shared" si="32"/>
        <v>566</v>
      </c>
      <c r="B567" s="8">
        <f t="shared" si="33"/>
        <v>1</v>
      </c>
      <c r="C567" s="8">
        <f t="shared" si="34"/>
        <v>447.19641113281102</v>
      </c>
      <c r="D567" s="8">
        <v>566</v>
      </c>
      <c r="E567" s="8">
        <v>160.32011413574199</v>
      </c>
      <c r="F567" s="8">
        <v>86.525154113769503</v>
      </c>
      <c r="G567" s="8"/>
      <c r="H567" s="8">
        <v>566</v>
      </c>
      <c r="I567" s="8">
        <v>165.26791381835901</v>
      </c>
      <c r="J567" s="8">
        <v>90.456283569335895</v>
      </c>
      <c r="K567" s="8"/>
      <c r="L567" s="8">
        <v>566</v>
      </c>
      <c r="M567" s="8">
        <v>121.60838317871</v>
      </c>
      <c r="N567" s="8">
        <v>88.049972534179602</v>
      </c>
      <c r="P567" s="8">
        <f t="shared" si="35"/>
        <v>135.59952163696269</v>
      </c>
      <c r="Q567">
        <v>566</v>
      </c>
      <c r="R567">
        <v>20.245807647705</v>
      </c>
      <c r="S567">
        <v>72.319686889648395</v>
      </c>
      <c r="U567">
        <v>566</v>
      </c>
      <c r="V567">
        <v>88.394821166992102</v>
      </c>
      <c r="W567">
        <v>73.027770996093693</v>
      </c>
      <c r="Y567">
        <v>566</v>
      </c>
      <c r="Z567">
        <v>26.9588928222656</v>
      </c>
      <c r="AA567">
        <v>73.148986816406193</v>
      </c>
    </row>
    <row r="568" spans="1:27" x14ac:dyDescent="0.25">
      <c r="A568" s="8">
        <f t="shared" si="32"/>
        <v>567</v>
      </c>
      <c r="B568" s="8">
        <f t="shared" si="33"/>
        <v>1</v>
      </c>
      <c r="C568" s="8">
        <f t="shared" si="34"/>
        <v>223.59820556640608</v>
      </c>
      <c r="D568" s="8">
        <v>567</v>
      </c>
      <c r="E568" s="8">
        <v>80.160057067871094</v>
      </c>
      <c r="F568" s="8">
        <v>86.525154113769503</v>
      </c>
      <c r="G568" s="8"/>
      <c r="H568" s="8">
        <v>567</v>
      </c>
      <c r="I568" s="8">
        <v>82.633956909179602</v>
      </c>
      <c r="J568" s="8">
        <v>90.456283569335895</v>
      </c>
      <c r="K568" s="8"/>
      <c r="L568" s="8">
        <v>567</v>
      </c>
      <c r="M568" s="8">
        <v>60.804191589355398</v>
      </c>
      <c r="N568" s="8">
        <v>88.049972534179602</v>
      </c>
      <c r="P568" s="8">
        <f t="shared" si="35"/>
        <v>96.329834938049203</v>
      </c>
      <c r="Q568">
        <v>567</v>
      </c>
      <c r="R568">
        <v>15.142388343811</v>
      </c>
      <c r="S568">
        <v>43.219093322753899</v>
      </c>
      <c r="U568">
        <v>567</v>
      </c>
      <c r="V568">
        <v>63.066139221191399</v>
      </c>
      <c r="W568">
        <v>43.402767181396399</v>
      </c>
      <c r="Y568">
        <v>567</v>
      </c>
      <c r="Z568">
        <v>18.1213073730468</v>
      </c>
      <c r="AA568">
        <v>43.383903503417898</v>
      </c>
    </row>
    <row r="569" spans="1:27" x14ac:dyDescent="0.25">
      <c r="A569" s="8">
        <f t="shared" si="32"/>
        <v>568</v>
      </c>
      <c r="B569" s="8">
        <f t="shared" si="33"/>
        <v>1</v>
      </c>
      <c r="C569" s="8">
        <f t="shared" si="34"/>
        <v>80.611417770385486</v>
      </c>
      <c r="D569" s="8">
        <v>568</v>
      </c>
      <c r="E569" s="8">
        <v>34.780063629150298</v>
      </c>
      <c r="F569" s="8">
        <v>85.247077941894503</v>
      </c>
      <c r="G569" s="8"/>
      <c r="H569" s="8">
        <v>568</v>
      </c>
      <c r="I569" s="8">
        <v>27.301174163818299</v>
      </c>
      <c r="J569" s="8">
        <v>86.979988098144503</v>
      </c>
      <c r="K569" s="8"/>
      <c r="L569" s="8">
        <v>568</v>
      </c>
      <c r="M569" s="8">
        <v>18.5301799774169</v>
      </c>
      <c r="N569" s="8">
        <v>86.099372863769503</v>
      </c>
      <c r="P569" s="8">
        <f t="shared" si="35"/>
        <v>125.88474273681629</v>
      </c>
      <c r="Q569">
        <v>568</v>
      </c>
      <c r="R569">
        <v>14.5911598205566</v>
      </c>
      <c r="S569">
        <v>73.081451416015597</v>
      </c>
      <c r="U569">
        <v>568</v>
      </c>
      <c r="V569">
        <v>83.024909973144503</v>
      </c>
      <c r="W569">
        <v>74.1351318359375</v>
      </c>
      <c r="Y569">
        <v>568</v>
      </c>
      <c r="Z569">
        <v>28.268672943115199</v>
      </c>
      <c r="AA569">
        <v>74.614616394042898</v>
      </c>
    </row>
    <row r="570" spans="1:27" x14ac:dyDescent="0.25">
      <c r="A570" s="8">
        <f t="shared" si="32"/>
        <v>569</v>
      </c>
      <c r="B570" s="8">
        <f t="shared" si="33"/>
        <v>1</v>
      </c>
      <c r="C570" s="8">
        <f t="shared" si="34"/>
        <v>26.89584255218497</v>
      </c>
      <c r="D570" s="8">
        <v>569</v>
      </c>
      <c r="E570" s="8">
        <v>11.719498634338301</v>
      </c>
      <c r="F570" s="8">
        <v>85.247077941894503</v>
      </c>
      <c r="G570" s="8"/>
      <c r="H570" s="8">
        <v>569</v>
      </c>
      <c r="I570" s="8">
        <v>8.9579505920410103</v>
      </c>
      <c r="J570" s="8">
        <v>86.979988098144503</v>
      </c>
      <c r="K570" s="8"/>
      <c r="L570" s="8">
        <v>569</v>
      </c>
      <c r="M570" s="8">
        <v>6.2183933258056596</v>
      </c>
      <c r="N570" s="8">
        <v>86.099372863769503</v>
      </c>
      <c r="P570" s="8">
        <f t="shared" si="35"/>
        <v>85.843843460082908</v>
      </c>
      <c r="Q570">
        <v>569</v>
      </c>
      <c r="R570">
        <v>10.810665130615201</v>
      </c>
      <c r="S570">
        <v>38.736480712890597</v>
      </c>
      <c r="U570">
        <v>569</v>
      </c>
      <c r="V570">
        <v>55.413810729980398</v>
      </c>
      <c r="W570">
        <v>39.044635772705</v>
      </c>
      <c r="Y570">
        <v>569</v>
      </c>
      <c r="Z570">
        <v>19.619367599487301</v>
      </c>
      <c r="AA570">
        <v>39.249637603759702</v>
      </c>
    </row>
    <row r="571" spans="1:27" x14ac:dyDescent="0.25">
      <c r="A571" s="8">
        <f t="shared" si="32"/>
        <v>570</v>
      </c>
      <c r="B571" s="8">
        <f t="shared" si="33"/>
        <v>1</v>
      </c>
      <c r="C571" s="8">
        <f t="shared" si="34"/>
        <v>41.172287940978904</v>
      </c>
      <c r="D571" s="8">
        <v>570</v>
      </c>
      <c r="E571" s="8">
        <v>18.047536849975501</v>
      </c>
      <c r="F571" s="8">
        <v>50.314346313476499</v>
      </c>
      <c r="G571" s="8"/>
      <c r="H571" s="8">
        <v>570</v>
      </c>
      <c r="I571" s="8">
        <v>13.6387596130371</v>
      </c>
      <c r="J571" s="8">
        <v>51.156459808349602</v>
      </c>
      <c r="K571" s="8"/>
      <c r="L571" s="8">
        <v>570</v>
      </c>
      <c r="M571" s="8">
        <v>9.4859914779662997</v>
      </c>
      <c r="N571" s="8">
        <v>50.825550079345703</v>
      </c>
      <c r="P571" s="8">
        <f t="shared" si="35"/>
        <v>93.519611358642408</v>
      </c>
      <c r="Q571">
        <v>570</v>
      </c>
      <c r="R571">
        <v>18.8460159301757</v>
      </c>
      <c r="S571">
        <v>25.183832168579102</v>
      </c>
      <c r="U571">
        <v>570</v>
      </c>
      <c r="V571">
        <v>53.649513244628899</v>
      </c>
      <c r="W571">
        <v>25.142673492431602</v>
      </c>
      <c r="Y571">
        <v>570</v>
      </c>
      <c r="Z571">
        <v>21.024082183837798</v>
      </c>
      <c r="AA571">
        <v>25.1476440429687</v>
      </c>
    </row>
    <row r="572" spans="1:27" x14ac:dyDescent="0.25">
      <c r="A572" s="8">
        <f t="shared" si="32"/>
        <v>571</v>
      </c>
      <c r="B572" s="8">
        <f t="shared" si="33"/>
        <v>1</v>
      </c>
      <c r="C572" s="8">
        <f t="shared" si="34"/>
        <v>177.96833038330061</v>
      </c>
      <c r="D572" s="8">
        <v>571</v>
      </c>
      <c r="E572" s="8">
        <v>73.080451965332003</v>
      </c>
      <c r="F572" s="8">
        <v>71.982414245605398</v>
      </c>
      <c r="G572" s="8"/>
      <c r="H572" s="8">
        <v>571</v>
      </c>
      <c r="I572" s="8">
        <v>60.997341156005803</v>
      </c>
      <c r="J572" s="8">
        <v>80.853805541992102</v>
      </c>
      <c r="K572" s="8"/>
      <c r="L572" s="8">
        <v>571</v>
      </c>
      <c r="M572" s="8">
        <v>43.890537261962798</v>
      </c>
      <c r="N572" s="8">
        <v>73.947708129882798</v>
      </c>
      <c r="P572" s="8">
        <f t="shared" si="35"/>
        <v>108.28298377990711</v>
      </c>
      <c r="Q572">
        <v>571</v>
      </c>
      <c r="R572">
        <v>17.922996520996001</v>
      </c>
      <c r="S572">
        <v>24.818498611450099</v>
      </c>
      <c r="U572">
        <v>571</v>
      </c>
      <c r="V572">
        <v>69.692901611328097</v>
      </c>
      <c r="W572">
        <v>25.255422592163001</v>
      </c>
      <c r="Y572">
        <v>571</v>
      </c>
      <c r="Z572">
        <v>20.667085647583001</v>
      </c>
      <c r="AA572">
        <v>25.482032775878899</v>
      </c>
    </row>
    <row r="573" spans="1:27" x14ac:dyDescent="0.25">
      <c r="A573" s="8">
        <f t="shared" si="32"/>
        <v>572</v>
      </c>
      <c r="B573" s="8">
        <f t="shared" si="33"/>
        <v>1</v>
      </c>
      <c r="C573" s="8">
        <f t="shared" si="34"/>
        <v>254.65065383911102</v>
      </c>
      <c r="D573" s="8">
        <v>572</v>
      </c>
      <c r="E573" s="8">
        <v>104.709419250488</v>
      </c>
      <c r="F573" s="8">
        <v>70.522537231445298</v>
      </c>
      <c r="G573" s="8"/>
      <c r="H573" s="8">
        <v>572</v>
      </c>
      <c r="I573" s="8">
        <v>87.576492309570298</v>
      </c>
      <c r="J573" s="8">
        <v>79.359321594238196</v>
      </c>
      <c r="K573" s="8"/>
      <c r="L573" s="8">
        <v>572</v>
      </c>
      <c r="M573" s="8">
        <v>62.364742279052699</v>
      </c>
      <c r="N573" s="8">
        <v>72.441223144531193</v>
      </c>
      <c r="P573" s="8">
        <f t="shared" si="35"/>
        <v>104.84357643127431</v>
      </c>
      <c r="Q573">
        <v>572</v>
      </c>
      <c r="R573">
        <v>18.879243850708001</v>
      </c>
      <c r="S573">
        <v>60.2515449523925</v>
      </c>
      <c r="U573">
        <v>572</v>
      </c>
      <c r="V573">
        <v>64.384933471679602</v>
      </c>
      <c r="W573">
        <v>60.292881011962798</v>
      </c>
      <c r="Y573">
        <v>572</v>
      </c>
      <c r="Z573">
        <v>21.579399108886701</v>
      </c>
      <c r="AA573">
        <v>60.341022491455</v>
      </c>
    </row>
    <row r="574" spans="1:27" x14ac:dyDescent="0.25">
      <c r="A574" s="8">
        <f t="shared" si="32"/>
        <v>573</v>
      </c>
      <c r="B574" s="8">
        <f t="shared" si="33"/>
        <v>1</v>
      </c>
      <c r="C574" s="8">
        <f t="shared" si="34"/>
        <v>421.66891479492</v>
      </c>
      <c r="D574" s="8">
        <v>573</v>
      </c>
      <c r="E574" s="8">
        <v>171.98506164550699</v>
      </c>
      <c r="F574" s="8">
        <v>49.845069885253899</v>
      </c>
      <c r="G574" s="8"/>
      <c r="H574" s="8">
        <v>573</v>
      </c>
      <c r="I574" s="8">
        <v>145.82908630371</v>
      </c>
      <c r="J574" s="8">
        <v>55.690822601318303</v>
      </c>
      <c r="K574" s="8"/>
      <c r="L574" s="8">
        <v>573</v>
      </c>
      <c r="M574" s="8">
        <v>103.854766845703</v>
      </c>
      <c r="N574" s="8">
        <v>51.479118347167898</v>
      </c>
      <c r="P574" s="8">
        <f t="shared" si="35"/>
        <v>37.739494800567542</v>
      </c>
      <c r="Q574">
        <v>573</v>
      </c>
      <c r="R574">
        <v>6.5407409667968697</v>
      </c>
      <c r="S574">
        <v>63.627193450927699</v>
      </c>
      <c r="U574">
        <v>573</v>
      </c>
      <c r="V574">
        <v>23.392675399780199</v>
      </c>
      <c r="W574">
        <v>63.374095916747997</v>
      </c>
      <c r="Y574">
        <v>573</v>
      </c>
      <c r="Z574">
        <v>7.8060784339904696</v>
      </c>
      <c r="AA574">
        <v>63.677845001220703</v>
      </c>
    </row>
    <row r="575" spans="1:27" x14ac:dyDescent="0.25">
      <c r="A575" s="8">
        <f t="shared" si="32"/>
        <v>574</v>
      </c>
      <c r="B575" s="8">
        <f t="shared" si="33"/>
        <v>1</v>
      </c>
      <c r="C575" s="8">
        <f t="shared" si="34"/>
        <v>257.55998992919888</v>
      </c>
      <c r="D575" s="8">
        <v>574</v>
      </c>
      <c r="E575" s="8">
        <v>105.282661437988</v>
      </c>
      <c r="F575" s="8">
        <v>51.968513488769503</v>
      </c>
      <c r="G575" s="8"/>
      <c r="H575" s="8">
        <v>574</v>
      </c>
      <c r="I575" s="8">
        <v>88.855178833007798</v>
      </c>
      <c r="J575" s="8">
        <v>57.848884582519503</v>
      </c>
      <c r="K575" s="8"/>
      <c r="L575" s="8">
        <v>574</v>
      </c>
      <c r="M575" s="8">
        <v>63.422149658203097</v>
      </c>
      <c r="N575" s="8">
        <v>53.649173736572202</v>
      </c>
      <c r="P575" s="8">
        <f t="shared" si="35"/>
        <v>130.93315505981428</v>
      </c>
      <c r="Q575">
        <v>574</v>
      </c>
      <c r="R575">
        <v>24.267208099365199</v>
      </c>
      <c r="S575">
        <v>60.449687957763601</v>
      </c>
      <c r="U575">
        <v>574</v>
      </c>
      <c r="V575">
        <v>82.440902709960895</v>
      </c>
      <c r="W575">
        <v>60.826042175292898</v>
      </c>
      <c r="Y575">
        <v>574</v>
      </c>
      <c r="Z575">
        <v>24.2250442504882</v>
      </c>
      <c r="AA575">
        <v>61.544662475585902</v>
      </c>
    </row>
    <row r="576" spans="1:27" x14ac:dyDescent="0.25">
      <c r="A576" s="8">
        <f t="shared" si="32"/>
        <v>575</v>
      </c>
      <c r="B576" s="8">
        <f t="shared" si="33"/>
        <v>1</v>
      </c>
      <c r="C576" s="8">
        <f t="shared" si="34"/>
        <v>85.853332519531108</v>
      </c>
      <c r="D576" s="8">
        <v>575</v>
      </c>
      <c r="E576" s="8">
        <v>35.094219207763601</v>
      </c>
      <c r="F576" s="8">
        <v>50.294464111328097</v>
      </c>
      <c r="G576" s="8"/>
      <c r="H576" s="8">
        <v>575</v>
      </c>
      <c r="I576" s="8">
        <v>29.618394851684499</v>
      </c>
      <c r="J576" s="8">
        <v>56.155487060546797</v>
      </c>
      <c r="K576" s="8"/>
      <c r="L576" s="8">
        <v>575</v>
      </c>
      <c r="M576" s="8">
        <v>21.140718460083001</v>
      </c>
      <c r="N576" s="8">
        <v>51.964157104492102</v>
      </c>
      <c r="P576" s="8">
        <f t="shared" si="35"/>
        <v>41.410045623779197</v>
      </c>
      <c r="Q576">
        <v>575</v>
      </c>
      <c r="R576">
        <v>7.1794743537902797</v>
      </c>
      <c r="S576">
        <v>64.814361572265597</v>
      </c>
      <c r="U576">
        <v>575</v>
      </c>
      <c r="V576">
        <v>26.461460113525298</v>
      </c>
      <c r="W576">
        <v>65.155776977539006</v>
      </c>
      <c r="Y576">
        <v>575</v>
      </c>
      <c r="Z576">
        <v>7.7691111564636204</v>
      </c>
      <c r="AA576">
        <v>66.352851867675696</v>
      </c>
    </row>
    <row r="577" spans="1:27" x14ac:dyDescent="0.25">
      <c r="A577" s="8">
        <f t="shared" si="32"/>
        <v>576</v>
      </c>
      <c r="B577" s="8">
        <f t="shared" si="33"/>
        <v>1</v>
      </c>
      <c r="C577" s="8">
        <f t="shared" si="34"/>
        <v>173.31853866577129</v>
      </c>
      <c r="D577" s="8">
        <v>576</v>
      </c>
      <c r="E577" s="8">
        <v>67.727478027343693</v>
      </c>
      <c r="F577" s="8">
        <v>65.660964965820298</v>
      </c>
      <c r="G577" s="8"/>
      <c r="H577" s="8">
        <v>576</v>
      </c>
      <c r="I577" s="8">
        <v>64.536682128906193</v>
      </c>
      <c r="J577" s="8">
        <v>67.750144958496094</v>
      </c>
      <c r="K577" s="8"/>
      <c r="L577" s="8">
        <v>576</v>
      </c>
      <c r="M577" s="8">
        <v>41.054378509521399</v>
      </c>
      <c r="N577" s="8">
        <v>66.733200073242102</v>
      </c>
      <c r="P577" s="8">
        <f t="shared" si="35"/>
        <v>312.57766723632761</v>
      </c>
      <c r="Q577">
        <v>576</v>
      </c>
      <c r="R577">
        <v>44.268775939941399</v>
      </c>
      <c r="S577">
        <v>45.890453338622997</v>
      </c>
      <c r="U577">
        <v>576</v>
      </c>
      <c r="V577">
        <v>201.36926269531199</v>
      </c>
      <c r="W577">
        <v>43.839023590087798</v>
      </c>
      <c r="Y577">
        <v>576</v>
      </c>
      <c r="Z577">
        <v>66.939628601074205</v>
      </c>
      <c r="AA577">
        <v>43.904239654541001</v>
      </c>
    </row>
    <row r="578" spans="1:27" x14ac:dyDescent="0.25">
      <c r="A578" s="8">
        <f t="shared" si="32"/>
        <v>577</v>
      </c>
      <c r="B578" s="8">
        <f t="shared" si="33"/>
        <v>1</v>
      </c>
      <c r="C578" s="8">
        <f t="shared" si="34"/>
        <v>71.216073036193706</v>
      </c>
      <c r="D578" s="8">
        <v>577</v>
      </c>
      <c r="E578" s="8">
        <v>44.1055488586425</v>
      </c>
      <c r="F578" s="8">
        <v>36.238597869872997</v>
      </c>
      <c r="G578" s="8"/>
      <c r="H578" s="8">
        <v>577</v>
      </c>
      <c r="I578" s="8">
        <v>10.960421562194799</v>
      </c>
      <c r="J578" s="8">
        <v>44.581245422363203</v>
      </c>
      <c r="K578" s="8"/>
      <c r="L578" s="8">
        <v>577</v>
      </c>
      <c r="M578" s="8">
        <v>16.150102615356399</v>
      </c>
      <c r="N578" s="8">
        <v>36.669502258300703</v>
      </c>
      <c r="P578" s="8">
        <f t="shared" si="35"/>
        <v>388.41131973266522</v>
      </c>
      <c r="Q578">
        <v>577</v>
      </c>
      <c r="R578">
        <v>46.799449920654297</v>
      </c>
      <c r="S578">
        <v>44.00435256958</v>
      </c>
      <c r="U578">
        <v>577</v>
      </c>
      <c r="V578">
        <v>260.16082763671801</v>
      </c>
      <c r="W578">
        <v>43.074306488037102</v>
      </c>
      <c r="Y578">
        <v>577</v>
      </c>
      <c r="Z578">
        <v>81.451042175292898</v>
      </c>
      <c r="AA578">
        <v>44.154148101806598</v>
      </c>
    </row>
    <row r="579" spans="1:27" x14ac:dyDescent="0.25">
      <c r="A579" s="8">
        <f t="shared" ref="A579:A642" si="36">IF(D579="","",D579)</f>
        <v>578</v>
      </c>
      <c r="B579" s="8">
        <f t="shared" ref="B579:B642" si="37">IF(OR(D579&lt;&gt;H579,H579&lt;&gt;L579,D579&lt;&gt;L579),0,1)</f>
        <v>1</v>
      </c>
      <c r="C579" s="8">
        <f t="shared" ref="C579:C642" si="38">SUM(E579,I579,M579)</f>
        <v>0.3072786889970297</v>
      </c>
      <c r="D579" s="8">
        <v>578</v>
      </c>
      <c r="E579" s="8">
        <v>5.2976090461015701E-2</v>
      </c>
      <c r="F579" s="8">
        <v>8.0677146911621094</v>
      </c>
      <c r="G579" s="8"/>
      <c r="H579" s="8">
        <v>578</v>
      </c>
      <c r="I579" s="8">
        <v>0.148282021284103</v>
      </c>
      <c r="J579" s="8">
        <v>8.0677146911621094</v>
      </c>
      <c r="K579" s="8"/>
      <c r="L579" s="8">
        <v>578</v>
      </c>
      <c r="M579" s="8">
        <v>0.106020577251911</v>
      </c>
      <c r="N579" s="8">
        <v>8.0677146911621094</v>
      </c>
      <c r="P579" s="8">
        <f t="shared" ref="P579:P642" si="39">R579+V579+Z579</f>
        <v>168.0258636474604</v>
      </c>
      <c r="Q579">
        <v>578</v>
      </c>
      <c r="R579">
        <v>24.6131381988525</v>
      </c>
      <c r="S579">
        <v>46.750988006591797</v>
      </c>
      <c r="U579">
        <v>578</v>
      </c>
      <c r="V579">
        <v>115.29367828369099</v>
      </c>
      <c r="W579">
        <v>47.395061492919901</v>
      </c>
      <c r="Y579">
        <v>578</v>
      </c>
      <c r="Z579">
        <v>28.1190471649169</v>
      </c>
      <c r="AA579">
        <v>47.565433502197202</v>
      </c>
    </row>
    <row r="580" spans="1:27" x14ac:dyDescent="0.25">
      <c r="A580" s="8">
        <f t="shared" si="36"/>
        <v>579</v>
      </c>
      <c r="B580" s="8">
        <f t="shared" si="37"/>
        <v>1</v>
      </c>
      <c r="C580" s="8">
        <f t="shared" si="38"/>
        <v>460.39713287353402</v>
      </c>
      <c r="D580" s="8">
        <v>579</v>
      </c>
      <c r="E580" s="8">
        <v>126.442543029785</v>
      </c>
      <c r="F580" s="8">
        <v>43.793128967285099</v>
      </c>
      <c r="G580" s="8"/>
      <c r="H580" s="8">
        <v>579</v>
      </c>
      <c r="I580" s="8">
        <v>187.69908142089801</v>
      </c>
      <c r="J580" s="8">
        <v>44.858245849609297</v>
      </c>
      <c r="K580" s="8"/>
      <c r="L580" s="8">
        <v>579</v>
      </c>
      <c r="M580" s="8">
        <v>146.25550842285099</v>
      </c>
      <c r="N580" s="8">
        <v>44.132919311523402</v>
      </c>
      <c r="P580" s="8">
        <f t="shared" si="39"/>
        <v>150.22280883789</v>
      </c>
      <c r="Q580">
        <v>579</v>
      </c>
      <c r="R580">
        <v>17.7998332977294</v>
      </c>
      <c r="S580">
        <v>49.798961639404297</v>
      </c>
      <c r="U580">
        <v>579</v>
      </c>
      <c r="V580">
        <v>101.53636932373</v>
      </c>
      <c r="W580">
        <v>50.475852966308501</v>
      </c>
      <c r="Y580">
        <v>579</v>
      </c>
      <c r="Z580">
        <v>30.8866062164306</v>
      </c>
      <c r="AA580">
        <v>50.622241973876903</v>
      </c>
    </row>
    <row r="581" spans="1:27" x14ac:dyDescent="0.25">
      <c r="A581" s="8">
        <f t="shared" si="36"/>
        <v>580</v>
      </c>
      <c r="B581" s="8">
        <f t="shared" si="37"/>
        <v>1</v>
      </c>
      <c r="C581" s="8">
        <f t="shared" si="38"/>
        <v>5.8217518329620299</v>
      </c>
      <c r="D581" s="8">
        <v>580</v>
      </c>
      <c r="E581" s="8">
        <v>1.81585669517517</v>
      </c>
      <c r="F581" s="8">
        <v>24.957368850708001</v>
      </c>
      <c r="G581" s="8"/>
      <c r="H581" s="8">
        <v>580</v>
      </c>
      <c r="I581" s="8">
        <v>2.3354036808013898</v>
      </c>
      <c r="J581" s="8">
        <v>25.966466903686499</v>
      </c>
      <c r="K581" s="8"/>
      <c r="L581" s="8">
        <v>580</v>
      </c>
      <c r="M581" s="8">
        <v>1.6704914569854701</v>
      </c>
      <c r="N581" s="8">
        <v>25.2652168273925</v>
      </c>
      <c r="P581" s="8">
        <f t="shared" si="39"/>
        <v>11.533843576908097</v>
      </c>
      <c r="Q581">
        <v>580</v>
      </c>
      <c r="R581">
        <v>0.91101557016372603</v>
      </c>
      <c r="S581">
        <v>42.721065521240199</v>
      </c>
      <c r="U581">
        <v>580</v>
      </c>
      <c r="V581">
        <v>9.1828279495239205</v>
      </c>
      <c r="W581">
        <v>43.300975799560497</v>
      </c>
      <c r="Y581">
        <v>580</v>
      </c>
      <c r="Z581">
        <v>1.4400000572204501</v>
      </c>
      <c r="AA581">
        <v>43.490608215332003</v>
      </c>
    </row>
    <row r="582" spans="1:27" x14ac:dyDescent="0.25">
      <c r="A582" s="8">
        <f t="shared" si="36"/>
        <v>581</v>
      </c>
      <c r="B582" s="8">
        <f t="shared" si="37"/>
        <v>1</v>
      </c>
      <c r="C582" s="8">
        <f t="shared" si="38"/>
        <v>460.40774536132699</v>
      </c>
      <c r="D582" s="8">
        <v>581</v>
      </c>
      <c r="E582" s="8">
        <v>164.83483886718699</v>
      </c>
      <c r="F582" s="8">
        <v>44.791790008544901</v>
      </c>
      <c r="G582" s="8"/>
      <c r="H582" s="8">
        <v>581</v>
      </c>
      <c r="I582" s="8">
        <v>165.81080627441401</v>
      </c>
      <c r="J582" s="8">
        <v>45.465171813964801</v>
      </c>
      <c r="K582" s="8"/>
      <c r="L582" s="8">
        <v>581</v>
      </c>
      <c r="M582" s="8">
        <v>129.76210021972599</v>
      </c>
      <c r="N582" s="8">
        <v>45.166568756103501</v>
      </c>
      <c r="P582" s="8">
        <f t="shared" si="39"/>
        <v>20.0999224185943</v>
      </c>
      <c r="Q582">
        <v>581</v>
      </c>
      <c r="R582">
        <v>3.41887211799621</v>
      </c>
      <c r="S582">
        <v>41.288551330566399</v>
      </c>
      <c r="U582">
        <v>581</v>
      </c>
      <c r="V582">
        <v>13.6104068756103</v>
      </c>
      <c r="W582">
        <v>42.129592895507798</v>
      </c>
      <c r="Y582">
        <v>581</v>
      </c>
      <c r="Z582">
        <v>3.0706434249877899</v>
      </c>
      <c r="AA582">
        <v>42.377273559570298</v>
      </c>
    </row>
    <row r="583" spans="1:27" x14ac:dyDescent="0.25">
      <c r="A583" s="8">
        <f t="shared" si="36"/>
        <v>582</v>
      </c>
      <c r="B583" s="8">
        <f t="shared" si="37"/>
        <v>1</v>
      </c>
      <c r="C583" s="8">
        <f t="shared" si="38"/>
        <v>4.4730032682418699</v>
      </c>
      <c r="D583" s="8">
        <v>582</v>
      </c>
      <c r="E583" s="8">
        <v>1.77563536167144</v>
      </c>
      <c r="F583" s="8">
        <v>25.0551662445068</v>
      </c>
      <c r="G583" s="8"/>
      <c r="H583" s="8">
        <v>582</v>
      </c>
      <c r="I583" s="8">
        <v>1.5476225614547701</v>
      </c>
      <c r="J583" s="8">
        <v>25.7226543426513</v>
      </c>
      <c r="K583" s="8"/>
      <c r="L583" s="8">
        <v>582</v>
      </c>
      <c r="M583" s="8">
        <v>1.1497453451156601</v>
      </c>
      <c r="N583" s="8">
        <v>25.469448089599599</v>
      </c>
      <c r="P583" s="8">
        <f t="shared" si="39"/>
        <v>2.7105437517166058</v>
      </c>
      <c r="Q583">
        <v>582</v>
      </c>
      <c r="R583">
        <v>0.54761904478073098</v>
      </c>
      <c r="S583">
        <v>39.455429077148402</v>
      </c>
      <c r="U583">
        <v>582</v>
      </c>
      <c r="V583">
        <v>0.56986910104751498</v>
      </c>
      <c r="W583">
        <v>39.438709259033203</v>
      </c>
      <c r="Y583">
        <v>582</v>
      </c>
      <c r="Z583">
        <v>1.59305560588836</v>
      </c>
      <c r="AA583">
        <v>39.336238861083899</v>
      </c>
    </row>
    <row r="584" spans="1:27" x14ac:dyDescent="0.25">
      <c r="A584" s="8">
        <f t="shared" si="36"/>
        <v>583</v>
      </c>
      <c r="B584" s="8">
        <f t="shared" si="37"/>
        <v>1</v>
      </c>
      <c r="C584" s="8">
        <f t="shared" si="38"/>
        <v>23.58628845214842</v>
      </c>
      <c r="D584" s="8">
        <v>583</v>
      </c>
      <c r="E584" s="8">
        <v>9.7551250457763601</v>
      </c>
      <c r="F584" s="8">
        <v>20.295555114746001</v>
      </c>
      <c r="G584" s="8"/>
      <c r="H584" s="8">
        <v>583</v>
      </c>
      <c r="I584" s="8">
        <v>8.9421977996826101</v>
      </c>
      <c r="J584" s="8">
        <v>20.6509799957275</v>
      </c>
      <c r="K584" s="8"/>
      <c r="L584" s="8">
        <v>583</v>
      </c>
      <c r="M584" s="8">
        <v>4.8889656066894496</v>
      </c>
      <c r="N584" s="8">
        <v>20.4705486297607</v>
      </c>
      <c r="P584" s="8">
        <f t="shared" si="39"/>
        <v>2.0500000007450581</v>
      </c>
      <c r="Q584">
        <v>583</v>
      </c>
      <c r="R584">
        <v>0.5</v>
      </c>
      <c r="S584">
        <v>38.295764923095703</v>
      </c>
      <c r="U584">
        <v>583</v>
      </c>
      <c r="V584">
        <v>5.0000000745057997E-2</v>
      </c>
      <c r="W584">
        <v>39.012493133544901</v>
      </c>
      <c r="Y584">
        <v>583</v>
      </c>
      <c r="Z584">
        <v>1.5</v>
      </c>
      <c r="AA584">
        <v>39.432914733886697</v>
      </c>
    </row>
    <row r="585" spans="1:27" x14ac:dyDescent="0.25">
      <c r="A585" s="8">
        <f t="shared" si="36"/>
        <v>584</v>
      </c>
      <c r="B585" s="8">
        <f t="shared" si="37"/>
        <v>1</v>
      </c>
      <c r="C585" s="8">
        <f t="shared" si="38"/>
        <v>6.6354705095290907</v>
      </c>
      <c r="D585" s="8">
        <v>584</v>
      </c>
      <c r="E585" s="8">
        <v>2.9501960277557302</v>
      </c>
      <c r="F585" s="8">
        <v>22.4830722808837</v>
      </c>
      <c r="G585" s="8"/>
      <c r="H585" s="8">
        <v>584</v>
      </c>
      <c r="I585" s="8">
        <v>1.7972468137741</v>
      </c>
      <c r="J585" s="8">
        <v>24.943527221679599</v>
      </c>
      <c r="K585" s="8"/>
      <c r="L585" s="8">
        <v>584</v>
      </c>
      <c r="M585" s="8">
        <v>1.88802766799926</v>
      </c>
      <c r="N585" s="8">
        <v>23.115400314331001</v>
      </c>
      <c r="P585" s="8">
        <f t="shared" si="39"/>
        <v>117.9975605010985</v>
      </c>
      <c r="Q585">
        <v>584</v>
      </c>
      <c r="R585">
        <v>18.652208328246999</v>
      </c>
      <c r="S585">
        <v>30.128196716308501</v>
      </c>
      <c r="U585">
        <v>584</v>
      </c>
      <c r="V585">
        <v>75.287246704101506</v>
      </c>
      <c r="W585">
        <v>30.4249973297119</v>
      </c>
      <c r="Y585">
        <v>584</v>
      </c>
      <c r="Z585">
        <v>24.05810546875</v>
      </c>
      <c r="AA585">
        <v>30.499456405639599</v>
      </c>
    </row>
    <row r="586" spans="1:27" x14ac:dyDescent="0.25">
      <c r="A586" s="8">
        <f t="shared" si="36"/>
        <v>585</v>
      </c>
      <c r="B586" s="8">
        <f t="shared" si="37"/>
        <v>1</v>
      </c>
      <c r="C586" s="8">
        <f t="shared" si="38"/>
        <v>4.0631180405616618</v>
      </c>
      <c r="D586" s="8">
        <v>585</v>
      </c>
      <c r="E586" s="8">
        <v>1.38296175003051</v>
      </c>
      <c r="F586" s="8">
        <v>23.278963088989201</v>
      </c>
      <c r="G586" s="8"/>
      <c r="H586" s="8">
        <v>585</v>
      </c>
      <c r="I586" s="8">
        <v>1.68556904792785</v>
      </c>
      <c r="J586" s="8">
        <v>23.499700546264599</v>
      </c>
      <c r="K586" s="8"/>
      <c r="L586" s="8">
        <v>585</v>
      </c>
      <c r="M586" s="8">
        <v>0.994587242603302</v>
      </c>
      <c r="N586" s="8">
        <v>23.347047805786101</v>
      </c>
      <c r="P586" s="8">
        <f t="shared" si="39"/>
        <v>87.719233036041189</v>
      </c>
      <c r="Q586">
        <v>585</v>
      </c>
      <c r="R586">
        <v>7.5755639076232901</v>
      </c>
      <c r="S586">
        <v>28.829086303710898</v>
      </c>
      <c r="U586">
        <v>585</v>
      </c>
      <c r="V586">
        <v>55.462490081787102</v>
      </c>
      <c r="W586">
        <v>28.9195537567138</v>
      </c>
      <c r="Y586">
        <v>585</v>
      </c>
      <c r="Z586">
        <v>24.681179046630799</v>
      </c>
      <c r="AA586">
        <v>29.016008377075099</v>
      </c>
    </row>
    <row r="587" spans="1:27" x14ac:dyDescent="0.25">
      <c r="A587" s="8">
        <f t="shared" si="36"/>
        <v>586</v>
      </c>
      <c r="B587" s="8">
        <f t="shared" si="37"/>
        <v>1</v>
      </c>
      <c r="C587" s="8">
        <f t="shared" si="38"/>
        <v>0</v>
      </c>
      <c r="D587" s="8">
        <v>586</v>
      </c>
      <c r="E587" s="8">
        <v>0</v>
      </c>
      <c r="F587" s="8">
        <v>1.7988497018814</v>
      </c>
      <c r="G587" s="8"/>
      <c r="H587" s="8">
        <v>586</v>
      </c>
      <c r="I587" s="8">
        <v>0</v>
      </c>
      <c r="J587" s="8">
        <v>1.7988497018814</v>
      </c>
      <c r="K587" s="8"/>
      <c r="L587" s="8">
        <v>586</v>
      </c>
      <c r="M587" s="8">
        <v>0</v>
      </c>
      <c r="N587" s="8">
        <v>1.7988497018814</v>
      </c>
      <c r="P587" s="8">
        <f t="shared" si="39"/>
        <v>19.119288682937519</v>
      </c>
      <c r="Q587">
        <v>586</v>
      </c>
      <c r="R587">
        <v>2.7491965293884202</v>
      </c>
      <c r="S587">
        <v>35.656936645507798</v>
      </c>
      <c r="U587">
        <v>586</v>
      </c>
      <c r="V587">
        <v>13.6159257888793</v>
      </c>
      <c r="W587">
        <v>36.332874298095703</v>
      </c>
      <c r="Y587">
        <v>586</v>
      </c>
      <c r="Z587">
        <v>2.7541663646697998</v>
      </c>
      <c r="AA587">
        <v>36.481334686279297</v>
      </c>
    </row>
    <row r="588" spans="1:27" x14ac:dyDescent="0.25">
      <c r="A588" s="8">
        <f t="shared" si="36"/>
        <v>587</v>
      </c>
      <c r="B588" s="8">
        <f t="shared" si="37"/>
        <v>1</v>
      </c>
      <c r="C588" s="8">
        <f t="shared" si="38"/>
        <v>0</v>
      </c>
      <c r="D588" s="8">
        <v>587</v>
      </c>
      <c r="E588" s="8">
        <v>0</v>
      </c>
      <c r="F588" s="8">
        <v>5.3739471435546804</v>
      </c>
      <c r="G588" s="8"/>
      <c r="H588" s="8">
        <v>587</v>
      </c>
      <c r="I588" s="8">
        <v>0</v>
      </c>
      <c r="J588" s="8">
        <v>5.3724260330200098</v>
      </c>
      <c r="K588" s="8"/>
      <c r="L588" s="8">
        <v>587</v>
      </c>
      <c r="M588" s="8">
        <v>0</v>
      </c>
      <c r="N588" s="8">
        <v>5.3717565536498997</v>
      </c>
      <c r="P588" s="8">
        <f t="shared" si="39"/>
        <v>16.722644329070988</v>
      </c>
      <c r="Q588">
        <v>587</v>
      </c>
      <c r="R588">
        <v>1.89909696578979</v>
      </c>
      <c r="S588">
        <v>35.500297546386697</v>
      </c>
      <c r="U588">
        <v>587</v>
      </c>
      <c r="V588">
        <v>10.8209428787231</v>
      </c>
      <c r="W588">
        <v>36.477428436279297</v>
      </c>
      <c r="Y588">
        <v>587</v>
      </c>
      <c r="Z588">
        <v>4.0026044845581001</v>
      </c>
      <c r="AA588">
        <v>36.974643707275298</v>
      </c>
    </row>
    <row r="589" spans="1:27" x14ac:dyDescent="0.25">
      <c r="A589" s="8">
        <f t="shared" si="36"/>
        <v>588</v>
      </c>
      <c r="B589" s="8">
        <f t="shared" si="37"/>
        <v>1</v>
      </c>
      <c r="C589" s="8">
        <f t="shared" si="38"/>
        <v>14.607453823089593</v>
      </c>
      <c r="D589" s="8">
        <v>588</v>
      </c>
      <c r="E589" s="8">
        <v>4.9418740272521902</v>
      </c>
      <c r="F589" s="8">
        <v>49.838794708251903</v>
      </c>
      <c r="G589" s="8"/>
      <c r="H589" s="8">
        <v>588</v>
      </c>
      <c r="I589" s="8">
        <v>5.4156994819641104</v>
      </c>
      <c r="J589" s="8">
        <v>50.851955413818303</v>
      </c>
      <c r="K589" s="8"/>
      <c r="L589" s="8">
        <v>588</v>
      </c>
      <c r="M589" s="8">
        <v>4.2498803138732901</v>
      </c>
      <c r="N589" s="8">
        <v>50.307518005371001</v>
      </c>
      <c r="P589" s="8">
        <f t="shared" si="39"/>
        <v>123.58022308349601</v>
      </c>
      <c r="Q589">
        <v>588</v>
      </c>
      <c r="R589">
        <v>16.091018676757798</v>
      </c>
      <c r="S589">
        <v>35.560623168945298</v>
      </c>
      <c r="U589">
        <v>588</v>
      </c>
      <c r="V589">
        <v>80.771095275878906</v>
      </c>
      <c r="W589">
        <v>36.290512084960902</v>
      </c>
      <c r="Y589">
        <v>588</v>
      </c>
      <c r="Z589">
        <v>26.7181091308593</v>
      </c>
      <c r="AA589">
        <v>36.418369293212798</v>
      </c>
    </row>
    <row r="590" spans="1:27" x14ac:dyDescent="0.25">
      <c r="A590" s="8">
        <f t="shared" si="36"/>
        <v>589</v>
      </c>
      <c r="B590" s="8">
        <f t="shared" si="37"/>
        <v>1</v>
      </c>
      <c r="C590" s="8">
        <f t="shared" si="38"/>
        <v>3.3221330046653619</v>
      </c>
      <c r="D590" s="8">
        <v>589</v>
      </c>
      <c r="E590" s="8">
        <v>1.3376206159591599</v>
      </c>
      <c r="F590" s="8">
        <v>49.5889472961425</v>
      </c>
      <c r="G590" s="8"/>
      <c r="H590" s="8">
        <v>589</v>
      </c>
      <c r="I590" s="8">
        <v>0.93452578783035201</v>
      </c>
      <c r="J590" s="8">
        <v>50.444442749023402</v>
      </c>
      <c r="K590" s="8"/>
      <c r="L590" s="8">
        <v>589</v>
      </c>
      <c r="M590" s="8">
        <v>1.0499866008758501</v>
      </c>
      <c r="N590" s="8">
        <v>49.97900390625</v>
      </c>
      <c r="P590" s="8">
        <f t="shared" si="39"/>
        <v>147.92045211791969</v>
      </c>
      <c r="Q590">
        <v>589</v>
      </c>
      <c r="R590">
        <v>26.261693954467699</v>
      </c>
      <c r="S590">
        <v>34.974639892578097</v>
      </c>
      <c r="U590">
        <v>589</v>
      </c>
      <c r="V590">
        <v>90.453018188476506</v>
      </c>
      <c r="W590">
        <v>36.275917053222599</v>
      </c>
      <c r="Y590">
        <v>589</v>
      </c>
      <c r="Z590">
        <v>31.205739974975501</v>
      </c>
      <c r="AA590">
        <v>36.314647674560497</v>
      </c>
    </row>
    <row r="591" spans="1:27" x14ac:dyDescent="0.25">
      <c r="A591" s="8">
        <f t="shared" si="36"/>
        <v>590</v>
      </c>
      <c r="B591" s="8">
        <f t="shared" si="37"/>
        <v>1</v>
      </c>
      <c r="C591" s="8">
        <f t="shared" si="38"/>
        <v>15.101041555404649</v>
      </c>
      <c r="D591" s="8">
        <v>590</v>
      </c>
      <c r="E591" s="8">
        <v>5.47953033447265</v>
      </c>
      <c r="F591" s="8">
        <v>34.125213623046797</v>
      </c>
      <c r="G591" s="8"/>
      <c r="H591" s="8">
        <v>590</v>
      </c>
      <c r="I591" s="8">
        <v>6.2049269676208496</v>
      </c>
      <c r="J591" s="8">
        <v>35.910606384277301</v>
      </c>
      <c r="K591" s="8"/>
      <c r="L591" s="8">
        <v>590</v>
      </c>
      <c r="M591" s="8">
        <v>3.4165842533111501</v>
      </c>
      <c r="N591" s="8">
        <v>34.799903869628899</v>
      </c>
      <c r="P591" s="8">
        <f t="shared" si="39"/>
        <v>212.61278724670399</v>
      </c>
      <c r="Q591">
        <v>590</v>
      </c>
      <c r="R591">
        <v>26.8882732391357</v>
      </c>
      <c r="S591">
        <v>35.028213500976499</v>
      </c>
      <c r="U591">
        <v>590</v>
      </c>
      <c r="V591">
        <v>144.74293518066401</v>
      </c>
      <c r="W591">
        <v>35.0491523742675</v>
      </c>
      <c r="Y591">
        <v>590</v>
      </c>
      <c r="Z591">
        <v>40.981578826904297</v>
      </c>
      <c r="AA591">
        <v>35.176273345947202</v>
      </c>
    </row>
    <row r="592" spans="1:27" x14ac:dyDescent="0.25">
      <c r="A592" s="8">
        <f t="shared" si="36"/>
        <v>591</v>
      </c>
      <c r="B592" s="8">
        <f t="shared" si="37"/>
        <v>1</v>
      </c>
      <c r="C592" s="8">
        <f t="shared" si="38"/>
        <v>6.3999997377395506</v>
      </c>
      <c r="D592" s="8">
        <v>591</v>
      </c>
      <c r="E592" s="8">
        <v>1.6666666269302299</v>
      </c>
      <c r="F592" s="8">
        <v>35.820808410644503</v>
      </c>
      <c r="G592" s="8"/>
      <c r="H592" s="8">
        <v>591</v>
      </c>
      <c r="I592" s="8">
        <v>2.36666655540466</v>
      </c>
      <c r="J592" s="8">
        <v>36.085945129394503</v>
      </c>
      <c r="K592" s="8"/>
      <c r="L592" s="8">
        <v>591</v>
      </c>
      <c r="M592" s="8">
        <v>2.36666655540466</v>
      </c>
      <c r="N592" s="8">
        <v>35.934299468994098</v>
      </c>
      <c r="P592" s="8">
        <f t="shared" si="39"/>
        <v>134.42506408691401</v>
      </c>
      <c r="Q592">
        <v>591</v>
      </c>
      <c r="R592">
        <v>16.0068359375</v>
      </c>
      <c r="S592">
        <v>34.418888092041001</v>
      </c>
      <c r="U592">
        <v>591</v>
      </c>
      <c r="V592">
        <v>85.50634765625</v>
      </c>
      <c r="W592">
        <v>34.445533752441399</v>
      </c>
      <c r="Y592">
        <v>591</v>
      </c>
      <c r="Z592">
        <v>32.911880493163999</v>
      </c>
      <c r="AA592">
        <v>34.543106079101499</v>
      </c>
    </row>
    <row r="593" spans="1:27" x14ac:dyDescent="0.25">
      <c r="A593" s="8">
        <f t="shared" si="36"/>
        <v>592</v>
      </c>
      <c r="B593" s="8">
        <f t="shared" si="37"/>
        <v>1</v>
      </c>
      <c r="C593" s="8">
        <f t="shared" si="38"/>
        <v>12.714976787567132</v>
      </c>
      <c r="D593" s="8">
        <v>592</v>
      </c>
      <c r="E593" s="8">
        <v>4.2597455978393501</v>
      </c>
      <c r="F593" s="8">
        <v>28.654779434204102</v>
      </c>
      <c r="G593" s="8"/>
      <c r="H593" s="8">
        <v>592</v>
      </c>
      <c r="I593" s="8">
        <v>4.2640957832336399</v>
      </c>
      <c r="J593" s="8">
        <v>29.0512599945068</v>
      </c>
      <c r="K593" s="8"/>
      <c r="L593" s="8">
        <v>592</v>
      </c>
      <c r="M593" s="8">
        <v>4.1911354064941397</v>
      </c>
      <c r="N593" s="8">
        <v>28.824068069458001</v>
      </c>
      <c r="P593" s="8">
        <f t="shared" si="39"/>
        <v>88.669856071471997</v>
      </c>
      <c r="Q593">
        <v>592</v>
      </c>
      <c r="R593">
        <v>11.916800498962401</v>
      </c>
      <c r="S593">
        <v>39.497123718261697</v>
      </c>
      <c r="U593">
        <v>592</v>
      </c>
      <c r="V593">
        <v>54.710918426513601</v>
      </c>
      <c r="W593">
        <v>39.606060028076101</v>
      </c>
      <c r="Y593">
        <v>592</v>
      </c>
      <c r="Z593">
        <v>22.042137145996001</v>
      </c>
      <c r="AA593">
        <v>39.661708831787102</v>
      </c>
    </row>
    <row r="594" spans="1:27" x14ac:dyDescent="0.25">
      <c r="A594" s="8">
        <f t="shared" si="36"/>
        <v>593</v>
      </c>
      <c r="B594" s="8">
        <f t="shared" si="37"/>
        <v>1</v>
      </c>
      <c r="C594" s="8">
        <f t="shared" si="38"/>
        <v>58.649519920348901</v>
      </c>
      <c r="D594" s="8">
        <v>593</v>
      </c>
      <c r="E594" s="8">
        <v>30.8233032226562</v>
      </c>
      <c r="F594" s="8">
        <v>15.0028953552246</v>
      </c>
      <c r="G594" s="8"/>
      <c r="H594" s="8">
        <v>593</v>
      </c>
      <c r="I594" s="8">
        <v>15.158626556396401</v>
      </c>
      <c r="J594" s="8">
        <v>15.584627151489199</v>
      </c>
      <c r="K594" s="8"/>
      <c r="L594" s="8">
        <v>593</v>
      </c>
      <c r="M594" s="8">
        <v>12.6675901412963</v>
      </c>
      <c r="N594" s="8">
        <v>15.160641670226999</v>
      </c>
      <c r="P594" s="8">
        <f t="shared" si="39"/>
        <v>96.816922187805133</v>
      </c>
      <c r="Q594">
        <v>593</v>
      </c>
      <c r="R594">
        <v>7.6529970169067303</v>
      </c>
      <c r="S594">
        <v>39.764015197753899</v>
      </c>
      <c r="U594">
        <v>593</v>
      </c>
      <c r="V594">
        <v>60.833614349365199</v>
      </c>
      <c r="W594">
        <v>40.500606536865199</v>
      </c>
      <c r="Y594">
        <v>593</v>
      </c>
      <c r="Z594">
        <v>28.3303108215332</v>
      </c>
      <c r="AA594">
        <v>40.934314727783203</v>
      </c>
    </row>
    <row r="595" spans="1:27" x14ac:dyDescent="0.25">
      <c r="A595" s="8">
        <f t="shared" si="36"/>
        <v>594</v>
      </c>
      <c r="B595" s="8">
        <f t="shared" si="37"/>
        <v>1</v>
      </c>
      <c r="C595" s="8">
        <f t="shared" si="38"/>
        <v>14.69177699089049</v>
      </c>
      <c r="D595" s="8">
        <v>594</v>
      </c>
      <c r="E595" s="8">
        <v>4.3788647651672301</v>
      </c>
      <c r="F595" s="8">
        <v>10.043164253234799</v>
      </c>
      <c r="G595" s="8"/>
      <c r="H595" s="8">
        <v>594</v>
      </c>
      <c r="I595" s="8">
        <v>6.7712769508361799</v>
      </c>
      <c r="J595" s="8">
        <v>10.1223449707031</v>
      </c>
      <c r="K595" s="8"/>
      <c r="L595" s="8">
        <v>594</v>
      </c>
      <c r="M595" s="8">
        <v>3.5416352748870801</v>
      </c>
      <c r="N595" s="8">
        <v>10.098971366882299</v>
      </c>
      <c r="P595" s="8">
        <f t="shared" si="39"/>
        <v>24.300000667571979</v>
      </c>
      <c r="Q595">
        <v>594</v>
      </c>
      <c r="R595">
        <v>3.0999999046325599</v>
      </c>
      <c r="S595">
        <v>20.009971618652301</v>
      </c>
      <c r="U595">
        <v>594</v>
      </c>
      <c r="V595">
        <v>12.1000003814697</v>
      </c>
      <c r="W595">
        <v>20.904445648193299</v>
      </c>
      <c r="Y595">
        <v>594</v>
      </c>
      <c r="Z595">
        <v>9.1000003814697195</v>
      </c>
      <c r="AA595">
        <v>21.614151000976499</v>
      </c>
    </row>
    <row r="596" spans="1:27" x14ac:dyDescent="0.25">
      <c r="A596" s="8">
        <f t="shared" si="36"/>
        <v>595</v>
      </c>
      <c r="B596" s="8">
        <f t="shared" si="37"/>
        <v>1</v>
      </c>
      <c r="C596" s="8">
        <f t="shared" si="38"/>
        <v>80.708135604858299</v>
      </c>
      <c r="D596" s="8">
        <v>595</v>
      </c>
      <c r="E596" s="8">
        <v>29.0838928222656</v>
      </c>
      <c r="F596" s="8">
        <v>27.1749362945556</v>
      </c>
      <c r="G596" s="8"/>
      <c r="H596" s="8">
        <v>595</v>
      </c>
      <c r="I596" s="8">
        <v>30.638534545898398</v>
      </c>
      <c r="J596" s="8">
        <v>27.4973430633544</v>
      </c>
      <c r="K596" s="8"/>
      <c r="L596" s="8">
        <v>595</v>
      </c>
      <c r="M596" s="8">
        <v>20.9857082366943</v>
      </c>
      <c r="N596" s="8">
        <v>27.425399780273398</v>
      </c>
      <c r="P596" s="8">
        <f t="shared" si="39"/>
        <v>14.599999427795389</v>
      </c>
      <c r="Q596">
        <v>595</v>
      </c>
      <c r="R596">
        <v>4.1999998092651296</v>
      </c>
      <c r="S596">
        <v>20.649497985839801</v>
      </c>
      <c r="U596">
        <v>595</v>
      </c>
      <c r="V596">
        <v>5.1999998092651296</v>
      </c>
      <c r="W596">
        <v>20.876150131225501</v>
      </c>
      <c r="Y596">
        <v>595</v>
      </c>
      <c r="Z596">
        <v>5.1999998092651296</v>
      </c>
      <c r="AA596">
        <v>20.481876373291001</v>
      </c>
    </row>
    <row r="597" spans="1:27" x14ac:dyDescent="0.25">
      <c r="A597" s="8">
        <f t="shared" si="36"/>
        <v>596</v>
      </c>
      <c r="B597" s="8">
        <f t="shared" si="37"/>
        <v>1</v>
      </c>
      <c r="C597" s="8">
        <f t="shared" si="38"/>
        <v>91.191873550415011</v>
      </c>
      <c r="D597" s="8">
        <v>596</v>
      </c>
      <c r="E597" s="8">
        <v>35.871349334716797</v>
      </c>
      <c r="F597" s="8">
        <v>26.151060104370099</v>
      </c>
      <c r="G597" s="8"/>
      <c r="H597" s="8">
        <v>596</v>
      </c>
      <c r="I597" s="8">
        <v>32.581172943115199</v>
      </c>
      <c r="J597" s="8">
        <v>27.138767242431602</v>
      </c>
      <c r="K597" s="8"/>
      <c r="L597" s="8">
        <v>596</v>
      </c>
      <c r="M597" s="8">
        <v>22.739351272583001</v>
      </c>
      <c r="N597" s="8">
        <v>26.533592224121001</v>
      </c>
      <c r="P597" s="8">
        <f t="shared" si="39"/>
        <v>1.5</v>
      </c>
      <c r="Q597">
        <v>596</v>
      </c>
      <c r="R597">
        <v>0</v>
      </c>
      <c r="S597">
        <v>39.5108642578125</v>
      </c>
      <c r="U597">
        <v>596</v>
      </c>
      <c r="V597">
        <v>1</v>
      </c>
      <c r="W597">
        <v>39.703628540038999</v>
      </c>
      <c r="Y597">
        <v>596</v>
      </c>
      <c r="Z597">
        <v>0.5</v>
      </c>
      <c r="AA597">
        <v>39.710990905761697</v>
      </c>
    </row>
    <row r="598" spans="1:27" x14ac:dyDescent="0.25">
      <c r="A598" s="8">
        <f t="shared" si="36"/>
        <v>597</v>
      </c>
      <c r="B598" s="8">
        <f t="shared" si="37"/>
        <v>1</v>
      </c>
      <c r="C598" s="8">
        <f t="shared" si="38"/>
        <v>5.9999999999999902</v>
      </c>
      <c r="D598" s="8">
        <v>597</v>
      </c>
      <c r="E598" s="8">
        <v>1.6000000238418499</v>
      </c>
      <c r="F598" s="8">
        <v>19.1229648590087</v>
      </c>
      <c r="G598" s="8"/>
      <c r="H598" s="8">
        <v>597</v>
      </c>
      <c r="I598" s="8">
        <v>2.5</v>
      </c>
      <c r="J598" s="8">
        <v>19.523309707641602</v>
      </c>
      <c r="K598" s="8"/>
      <c r="L598" s="8">
        <v>597</v>
      </c>
      <c r="M598" s="8">
        <v>1.8999999761581401</v>
      </c>
      <c r="N598" s="8">
        <v>19.250503540038999</v>
      </c>
      <c r="P598" s="8">
        <f t="shared" si="39"/>
        <v>4.1666665673255814</v>
      </c>
      <c r="Q598">
        <v>597</v>
      </c>
      <c r="R598">
        <v>0.66666668653488104</v>
      </c>
      <c r="S598">
        <v>29.8104934692382</v>
      </c>
      <c r="U598">
        <v>597</v>
      </c>
      <c r="V598">
        <v>1.3333333730697601</v>
      </c>
      <c r="W598">
        <v>30.3936042785644</v>
      </c>
      <c r="Y598">
        <v>597</v>
      </c>
      <c r="Z598">
        <v>2.1666665077209402</v>
      </c>
      <c r="AA598">
        <v>30.998180389404201</v>
      </c>
    </row>
    <row r="599" spans="1:27" x14ac:dyDescent="0.25">
      <c r="A599" s="8">
        <f t="shared" si="36"/>
        <v>598</v>
      </c>
      <c r="B599" s="8">
        <f t="shared" si="37"/>
        <v>1</v>
      </c>
      <c r="C599" s="8">
        <f t="shared" si="38"/>
        <v>15.350007534027089</v>
      </c>
      <c r="D599" s="8">
        <v>598</v>
      </c>
      <c r="E599" s="8">
        <v>6.6865577697753897</v>
      </c>
      <c r="F599" s="8">
        <v>14.823056221008301</v>
      </c>
      <c r="G599" s="8"/>
      <c r="H599" s="8">
        <v>598</v>
      </c>
      <c r="I599" s="8">
        <v>4.2538995742797798</v>
      </c>
      <c r="J599" s="8">
        <v>15.0988502502441</v>
      </c>
      <c r="K599" s="8"/>
      <c r="L599" s="8">
        <v>598</v>
      </c>
      <c r="M599" s="8">
        <v>4.4095501899719203</v>
      </c>
      <c r="N599" s="8">
        <v>14.9228296279907</v>
      </c>
      <c r="P599" s="8">
        <f t="shared" si="39"/>
        <v>1.833333343267439</v>
      </c>
      <c r="Q599">
        <v>598</v>
      </c>
      <c r="R599">
        <v>0.33333334326744002</v>
      </c>
      <c r="S599">
        <v>29.1383743286132</v>
      </c>
      <c r="U599">
        <v>598</v>
      </c>
      <c r="V599">
        <v>0.66666668653488104</v>
      </c>
      <c r="W599">
        <v>29.549816131591701</v>
      </c>
      <c r="Y599">
        <v>598</v>
      </c>
      <c r="Z599">
        <v>0.83333331346511796</v>
      </c>
      <c r="AA599">
        <v>29.9887886047363</v>
      </c>
    </row>
    <row r="600" spans="1:27" x14ac:dyDescent="0.25">
      <c r="A600" s="8">
        <f t="shared" si="36"/>
        <v>599</v>
      </c>
      <c r="B600" s="8">
        <f t="shared" si="37"/>
        <v>1</v>
      </c>
      <c r="C600" s="8">
        <f t="shared" si="38"/>
        <v>10.60271739959715</v>
      </c>
      <c r="D600" s="8">
        <v>599</v>
      </c>
      <c r="E600" s="8">
        <v>4.5828948020934996</v>
      </c>
      <c r="F600" s="8">
        <v>26.000402450561499</v>
      </c>
      <c r="G600" s="8"/>
      <c r="H600" s="8">
        <v>599</v>
      </c>
      <c r="I600" s="8">
        <v>3.2007517814636199</v>
      </c>
      <c r="J600" s="8">
        <v>26.377748489379801</v>
      </c>
      <c r="K600" s="8"/>
      <c r="L600" s="8">
        <v>599</v>
      </c>
      <c r="M600" s="8">
        <v>2.8190708160400302</v>
      </c>
      <c r="N600" s="8">
        <v>26.1339302062988</v>
      </c>
      <c r="P600" s="8">
        <f t="shared" si="39"/>
        <v>0</v>
      </c>
      <c r="Q600">
        <v>599</v>
      </c>
      <c r="R600">
        <v>0</v>
      </c>
      <c r="S600">
        <v>21.8626098632812</v>
      </c>
      <c r="U600">
        <v>599</v>
      </c>
      <c r="V600">
        <v>0</v>
      </c>
      <c r="W600">
        <v>21.574703216552699</v>
      </c>
      <c r="Y600">
        <v>599</v>
      </c>
      <c r="Z600">
        <v>0</v>
      </c>
      <c r="AA600">
        <v>21.634342193603501</v>
      </c>
    </row>
    <row r="601" spans="1:27" x14ac:dyDescent="0.25">
      <c r="A601" s="8">
        <f t="shared" si="36"/>
        <v>600</v>
      </c>
      <c r="B601" s="8">
        <f t="shared" si="37"/>
        <v>1</v>
      </c>
      <c r="C601" s="8">
        <f t="shared" si="38"/>
        <v>22.53686237335204</v>
      </c>
      <c r="D601" s="8">
        <v>600</v>
      </c>
      <c r="E601" s="8">
        <v>7.8366494178771902</v>
      </c>
      <c r="F601" s="8">
        <v>23.8741455078125</v>
      </c>
      <c r="G601" s="8"/>
      <c r="H601" s="8">
        <v>600</v>
      </c>
      <c r="I601" s="8">
        <v>7.0822296142578098</v>
      </c>
      <c r="J601" s="8">
        <v>24.3145332336425</v>
      </c>
      <c r="K601" s="8"/>
      <c r="L601" s="8">
        <v>600</v>
      </c>
      <c r="M601" s="8">
        <v>7.6179833412170401</v>
      </c>
      <c r="N601" s="8">
        <v>24.059873580932599</v>
      </c>
      <c r="P601" s="8">
        <f t="shared" si="39"/>
        <v>198.6137485504145</v>
      </c>
      <c r="Q601">
        <v>600</v>
      </c>
      <c r="R601">
        <v>27.362257003784102</v>
      </c>
      <c r="S601">
        <v>74.943527221679602</v>
      </c>
      <c r="U601">
        <v>600</v>
      </c>
      <c r="V601">
        <v>124.934921264648</v>
      </c>
      <c r="W601">
        <v>72.999427795410099</v>
      </c>
      <c r="Y601">
        <v>600</v>
      </c>
      <c r="Z601">
        <v>46.316570281982401</v>
      </c>
      <c r="AA601">
        <v>72.348693847656193</v>
      </c>
    </row>
    <row r="602" spans="1:27" x14ac:dyDescent="0.25">
      <c r="A602" s="8">
        <f t="shared" si="36"/>
        <v>601</v>
      </c>
      <c r="B602" s="8">
        <f t="shared" si="37"/>
        <v>1</v>
      </c>
      <c r="C602" s="8">
        <f t="shared" si="38"/>
        <v>47.586681365966705</v>
      </c>
      <c r="D602" s="8">
        <v>601</v>
      </c>
      <c r="E602" s="8">
        <v>14.887806892395</v>
      </c>
      <c r="F602" s="8">
        <v>19.572639465331999</v>
      </c>
      <c r="G602" s="8"/>
      <c r="H602" s="8">
        <v>601</v>
      </c>
      <c r="I602" s="8">
        <v>18.989433288574201</v>
      </c>
      <c r="J602" s="8">
        <v>20.047618865966701</v>
      </c>
      <c r="K602" s="8"/>
      <c r="L602" s="8">
        <v>601</v>
      </c>
      <c r="M602" s="8">
        <v>13.7094411849975</v>
      </c>
      <c r="N602" s="8">
        <v>19.7337322235107</v>
      </c>
      <c r="P602" s="8">
        <f t="shared" si="39"/>
        <v>180.2612285614008</v>
      </c>
      <c r="Q602">
        <v>601</v>
      </c>
      <c r="R602">
        <v>24.463014602661101</v>
      </c>
      <c r="S602">
        <v>101.590698242187</v>
      </c>
      <c r="U602">
        <v>601</v>
      </c>
      <c r="V602">
        <v>113.45362091064401</v>
      </c>
      <c r="W602">
        <v>99.611869812011705</v>
      </c>
      <c r="Y602">
        <v>601</v>
      </c>
      <c r="Z602">
        <v>42.344593048095703</v>
      </c>
      <c r="AA602">
        <v>99.158790588378906</v>
      </c>
    </row>
    <row r="603" spans="1:27" x14ac:dyDescent="0.25">
      <c r="A603" s="8">
        <f t="shared" si="36"/>
        <v>602</v>
      </c>
      <c r="B603" s="8">
        <f t="shared" si="37"/>
        <v>1</v>
      </c>
      <c r="C603" s="8">
        <f t="shared" si="38"/>
        <v>28.444904327392493</v>
      </c>
      <c r="D603" s="8">
        <v>602</v>
      </c>
      <c r="E603" s="8">
        <v>8.9403667449951101</v>
      </c>
      <c r="F603" s="8">
        <v>17.364524841308501</v>
      </c>
      <c r="G603" s="8"/>
      <c r="H603" s="8">
        <v>602</v>
      </c>
      <c r="I603" s="8">
        <v>11.9890527725219</v>
      </c>
      <c r="J603" s="8">
        <v>17.687105178833001</v>
      </c>
      <c r="K603" s="8"/>
      <c r="L603" s="8">
        <v>602</v>
      </c>
      <c r="M603" s="8">
        <v>7.5154848098754803</v>
      </c>
      <c r="N603" s="8">
        <v>17.435848236083899</v>
      </c>
      <c r="P603" s="8">
        <f t="shared" si="39"/>
        <v>206.8810577392569</v>
      </c>
      <c r="Q603">
        <v>602</v>
      </c>
      <c r="R603">
        <v>31.232639312744102</v>
      </c>
      <c r="S603">
        <v>96.291160583496094</v>
      </c>
      <c r="U603">
        <v>602</v>
      </c>
      <c r="V603">
        <v>130.31686401367099</v>
      </c>
      <c r="W603">
        <v>99.055572509765597</v>
      </c>
      <c r="Y603">
        <v>602</v>
      </c>
      <c r="Z603">
        <v>45.331554412841797</v>
      </c>
      <c r="AA603">
        <v>102.699378967285</v>
      </c>
    </row>
    <row r="604" spans="1:27" x14ac:dyDescent="0.25">
      <c r="A604" s="8">
        <f t="shared" si="36"/>
        <v>603</v>
      </c>
      <c r="B604" s="8">
        <f t="shared" si="37"/>
        <v>1</v>
      </c>
      <c r="C604" s="8">
        <f t="shared" si="38"/>
        <v>35.787500381469656</v>
      </c>
      <c r="D604" s="8">
        <v>603</v>
      </c>
      <c r="E604" s="8">
        <v>18.9375</v>
      </c>
      <c r="F604" s="8">
        <v>46.332775115966797</v>
      </c>
      <c r="G604" s="8"/>
      <c r="H604" s="8">
        <v>603</v>
      </c>
      <c r="I604" s="8">
        <v>10.425000190734799</v>
      </c>
      <c r="J604" s="8">
        <v>47.956386566162102</v>
      </c>
      <c r="K604" s="8"/>
      <c r="L604" s="8">
        <v>603</v>
      </c>
      <c r="M604" s="8">
        <v>6.4250001907348597</v>
      </c>
      <c r="N604" s="8">
        <v>45.410457611083899</v>
      </c>
      <c r="P604" s="8">
        <f t="shared" si="39"/>
        <v>181.56639671325652</v>
      </c>
      <c r="Q604">
        <v>603</v>
      </c>
      <c r="R604">
        <v>27.382497787475501</v>
      </c>
      <c r="S604">
        <v>73.996566772460895</v>
      </c>
      <c r="U604">
        <v>603</v>
      </c>
      <c r="V604">
        <v>113.21622467041</v>
      </c>
      <c r="W604">
        <v>76.625816345214801</v>
      </c>
      <c r="Y604">
        <v>603</v>
      </c>
      <c r="Z604">
        <v>40.967674255371001</v>
      </c>
      <c r="AA604">
        <v>79.948860168457003</v>
      </c>
    </row>
    <row r="605" spans="1:27" x14ac:dyDescent="0.25">
      <c r="A605" s="8">
        <f t="shared" si="36"/>
        <v>604</v>
      </c>
      <c r="B605" s="8">
        <f t="shared" si="37"/>
        <v>1</v>
      </c>
      <c r="C605" s="8">
        <f t="shared" si="38"/>
        <v>16.531200647354112</v>
      </c>
      <c r="D605" s="8">
        <v>604</v>
      </c>
      <c r="E605" s="8">
        <v>9.2553491592407209</v>
      </c>
      <c r="F605" s="8">
        <v>39.176780700683501</v>
      </c>
      <c r="G605" s="8"/>
      <c r="H605" s="8">
        <v>604</v>
      </c>
      <c r="I605" s="8">
        <v>3.7490367889404199</v>
      </c>
      <c r="J605" s="8">
        <v>39.665298461913999</v>
      </c>
      <c r="K605" s="8"/>
      <c r="L605" s="8">
        <v>604</v>
      </c>
      <c r="M605" s="8">
        <v>3.5268146991729701</v>
      </c>
      <c r="N605" s="8">
        <v>39.354251861572202</v>
      </c>
      <c r="P605" s="8">
        <f t="shared" si="39"/>
        <v>163.96923065185541</v>
      </c>
      <c r="Q605">
        <v>604</v>
      </c>
      <c r="R605">
        <v>21.2387580871582</v>
      </c>
      <c r="S605">
        <v>38.234519958496001</v>
      </c>
      <c r="U605">
        <v>604</v>
      </c>
      <c r="V605">
        <v>109.246223449707</v>
      </c>
      <c r="W605">
        <v>38.910266876220703</v>
      </c>
      <c r="Y605">
        <v>604</v>
      </c>
      <c r="Z605">
        <v>33.484249114990199</v>
      </c>
      <c r="AA605">
        <v>38.9115600585937</v>
      </c>
    </row>
    <row r="606" spans="1:27" x14ac:dyDescent="0.25">
      <c r="A606" s="8">
        <f t="shared" si="36"/>
        <v>605</v>
      </c>
      <c r="B606" s="8">
        <f t="shared" si="37"/>
        <v>1</v>
      </c>
      <c r="C606" s="8">
        <f t="shared" si="38"/>
        <v>11.595833063125589</v>
      </c>
      <c r="D606" s="8">
        <v>605</v>
      </c>
      <c r="E606" s="8">
        <v>5.9791665077209402</v>
      </c>
      <c r="F606" s="8">
        <v>39.362953186035099</v>
      </c>
      <c r="G606" s="8"/>
      <c r="H606" s="8">
        <v>605</v>
      </c>
      <c r="I606" s="8">
        <v>3.4749999046325599</v>
      </c>
      <c r="J606" s="8">
        <v>40.920051574707003</v>
      </c>
      <c r="K606" s="8"/>
      <c r="L606" s="8">
        <v>605</v>
      </c>
      <c r="M606" s="8">
        <v>2.1416666507720898</v>
      </c>
      <c r="N606" s="8">
        <v>38.386177062988203</v>
      </c>
      <c r="P606" s="8">
        <f t="shared" si="39"/>
        <v>220.73628234863239</v>
      </c>
      <c r="Q606">
        <v>605</v>
      </c>
      <c r="R606">
        <v>28.177322387695298</v>
      </c>
      <c r="S606">
        <v>32.387393951416001</v>
      </c>
      <c r="U606">
        <v>605</v>
      </c>
      <c r="V606">
        <v>147.38607788085901</v>
      </c>
      <c r="W606">
        <v>33.050403594970703</v>
      </c>
      <c r="Y606">
        <v>605</v>
      </c>
      <c r="Z606">
        <v>45.172882080078097</v>
      </c>
      <c r="AA606">
        <v>33.076179504394503</v>
      </c>
    </row>
    <row r="607" spans="1:27" x14ac:dyDescent="0.25">
      <c r="A607" s="8">
        <f t="shared" si="36"/>
        <v>606</v>
      </c>
      <c r="B607" s="8">
        <f t="shared" si="37"/>
        <v>1</v>
      </c>
      <c r="C607" s="8">
        <f t="shared" si="38"/>
        <v>16.88525629043577</v>
      </c>
      <c r="D607" s="8">
        <v>606</v>
      </c>
      <c r="E607" s="8">
        <v>6.1649999618530202</v>
      </c>
      <c r="F607" s="8">
        <v>24.6988410949707</v>
      </c>
      <c r="G607" s="8"/>
      <c r="H607" s="8">
        <v>606</v>
      </c>
      <c r="I607" s="8">
        <v>6.5885896682739196</v>
      </c>
      <c r="J607" s="8">
        <v>25.1993808746337</v>
      </c>
      <c r="K607" s="8"/>
      <c r="L607" s="8">
        <v>606</v>
      </c>
      <c r="M607" s="8">
        <v>4.1316666603088299</v>
      </c>
      <c r="N607" s="8">
        <v>24.717424392700099</v>
      </c>
      <c r="P607" s="8">
        <f t="shared" si="39"/>
        <v>130.4923610687255</v>
      </c>
      <c r="Q607">
        <v>606</v>
      </c>
      <c r="R607">
        <v>19.2724514007568</v>
      </c>
      <c r="S607">
        <v>37.237632751464801</v>
      </c>
      <c r="U607">
        <v>606</v>
      </c>
      <c r="V607">
        <v>86.185363769531193</v>
      </c>
      <c r="W607">
        <v>37.947135925292898</v>
      </c>
      <c r="Y607">
        <v>606</v>
      </c>
      <c r="Z607">
        <v>25.0345458984375</v>
      </c>
      <c r="AA607">
        <v>38.295143127441399</v>
      </c>
    </row>
    <row r="608" spans="1:27" x14ac:dyDescent="0.25">
      <c r="A608" s="8">
        <f t="shared" si="36"/>
        <v>607</v>
      </c>
      <c r="B608" s="8">
        <f t="shared" si="37"/>
        <v>1</v>
      </c>
      <c r="C608" s="8">
        <f t="shared" si="38"/>
        <v>8.5241789817809988</v>
      </c>
      <c r="D608" s="8">
        <v>607</v>
      </c>
      <c r="E608" s="8">
        <v>2.82511234283447</v>
      </c>
      <c r="F608" s="8">
        <v>24.4925003051757</v>
      </c>
      <c r="G608" s="8"/>
      <c r="H608" s="8">
        <v>607</v>
      </c>
      <c r="I608" s="8">
        <v>2.7871618270874001</v>
      </c>
      <c r="J608" s="8">
        <v>24.777269363403299</v>
      </c>
      <c r="K608" s="8"/>
      <c r="L608" s="8">
        <v>607</v>
      </c>
      <c r="M608" s="8">
        <v>2.91190481185913</v>
      </c>
      <c r="N608" s="8">
        <v>24.671983718871999</v>
      </c>
      <c r="P608" s="8">
        <f t="shared" si="39"/>
        <v>598.24899291992085</v>
      </c>
      <c r="Q608">
        <v>607</v>
      </c>
      <c r="R608">
        <v>85.541488647460895</v>
      </c>
      <c r="S608">
        <v>56.0587158203125</v>
      </c>
      <c r="U608">
        <v>607</v>
      </c>
      <c r="V608">
        <v>403.38406372070301</v>
      </c>
      <c r="W608">
        <v>56.614475250244098</v>
      </c>
      <c r="Y608">
        <v>607</v>
      </c>
      <c r="Z608">
        <v>109.323440551757</v>
      </c>
      <c r="AA608">
        <v>56.7402954101562</v>
      </c>
    </row>
    <row r="609" spans="1:27" x14ac:dyDescent="0.25">
      <c r="A609" s="8">
        <f t="shared" si="36"/>
        <v>608</v>
      </c>
      <c r="B609" s="8">
        <f t="shared" si="37"/>
        <v>1</v>
      </c>
      <c r="C609" s="8">
        <f t="shared" si="38"/>
        <v>17.048357963561998</v>
      </c>
      <c r="D609" s="8">
        <v>608</v>
      </c>
      <c r="E609" s="8">
        <v>5.65022468566894</v>
      </c>
      <c r="F609" s="8">
        <v>26.191827774047798</v>
      </c>
      <c r="G609" s="8"/>
      <c r="H609" s="8">
        <v>608</v>
      </c>
      <c r="I609" s="8">
        <v>5.5743236541748002</v>
      </c>
      <c r="J609" s="8">
        <v>26.476596832275298</v>
      </c>
      <c r="K609" s="8"/>
      <c r="L609" s="8">
        <v>608</v>
      </c>
      <c r="M609" s="8">
        <v>5.8238096237182599</v>
      </c>
      <c r="N609" s="8">
        <v>26.371309280395501</v>
      </c>
      <c r="P609" s="8">
        <f t="shared" si="39"/>
        <v>525.5186614990231</v>
      </c>
      <c r="Q609">
        <v>608</v>
      </c>
      <c r="R609">
        <v>77.050941467285099</v>
      </c>
      <c r="S609">
        <v>55.197639465332003</v>
      </c>
      <c r="U609">
        <v>608</v>
      </c>
      <c r="V609">
        <v>340.8486328125</v>
      </c>
      <c r="W609">
        <v>55.869678497314403</v>
      </c>
      <c r="Y609">
        <v>608</v>
      </c>
      <c r="Z609">
        <v>107.619087219238</v>
      </c>
      <c r="AA609">
        <v>56.195827484130803</v>
      </c>
    </row>
    <row r="610" spans="1:27" x14ac:dyDescent="0.25">
      <c r="A610" s="8">
        <f t="shared" si="36"/>
        <v>609</v>
      </c>
      <c r="B610" s="8">
        <f t="shared" si="37"/>
        <v>1</v>
      </c>
      <c r="C610" s="8">
        <f t="shared" si="38"/>
        <v>1.221360370516775</v>
      </c>
      <c r="D610" s="8">
        <v>609</v>
      </c>
      <c r="E610" s="8">
        <v>0.170940175652503</v>
      </c>
      <c r="F610" s="8">
        <v>10.786054611206</v>
      </c>
      <c r="G610" s="8"/>
      <c r="H610" s="8">
        <v>609</v>
      </c>
      <c r="I610" s="8">
        <v>0.37815126776695202</v>
      </c>
      <c r="J610" s="8">
        <v>10.8367004394531</v>
      </c>
      <c r="K610" s="8"/>
      <c r="L610" s="8">
        <v>609</v>
      </c>
      <c r="M610" s="8">
        <v>0.67226892709732</v>
      </c>
      <c r="N610" s="8">
        <v>10.8381690979003</v>
      </c>
      <c r="P610" s="8">
        <f t="shared" si="39"/>
        <v>68.470485687255803</v>
      </c>
      <c r="Q610">
        <v>609</v>
      </c>
      <c r="R610">
        <v>18.3508186340332</v>
      </c>
      <c r="S610">
        <v>28.294956207275298</v>
      </c>
      <c r="U610">
        <v>609</v>
      </c>
      <c r="V610">
        <v>38.452011108398402</v>
      </c>
      <c r="W610">
        <v>28.052373886108398</v>
      </c>
      <c r="Y610">
        <v>609</v>
      </c>
      <c r="Z610">
        <v>11.667655944824199</v>
      </c>
      <c r="AA610">
        <v>28.028343200683501</v>
      </c>
    </row>
    <row r="611" spans="1:27" x14ac:dyDescent="0.25">
      <c r="A611" s="8">
        <f t="shared" si="36"/>
        <v>610</v>
      </c>
      <c r="B611" s="8">
        <f t="shared" si="37"/>
        <v>1</v>
      </c>
      <c r="C611" s="8">
        <f t="shared" si="38"/>
        <v>23.732983589172338</v>
      </c>
      <c r="D611" s="8">
        <v>610</v>
      </c>
      <c r="E611" s="8">
        <v>6.3662800788879297</v>
      </c>
      <c r="F611" s="8">
        <v>14.0896654129028</v>
      </c>
      <c r="G611" s="8"/>
      <c r="H611" s="8">
        <v>610</v>
      </c>
      <c r="I611" s="8">
        <v>9.9060277938842702</v>
      </c>
      <c r="J611" s="8">
        <v>15.1513404846191</v>
      </c>
      <c r="K611" s="8"/>
      <c r="L611" s="8">
        <v>610</v>
      </c>
      <c r="M611" s="8">
        <v>7.4606757164001403</v>
      </c>
      <c r="N611" s="8">
        <v>14.3427619934082</v>
      </c>
      <c r="P611" s="8">
        <f t="shared" si="39"/>
        <v>19.578046798706012</v>
      </c>
      <c r="Q611">
        <v>610</v>
      </c>
      <c r="R611">
        <v>0.90833997726440396</v>
      </c>
      <c r="S611">
        <v>25.311153411865199</v>
      </c>
      <c r="U611">
        <v>610</v>
      </c>
      <c r="V611">
        <v>15.7420034408569</v>
      </c>
      <c r="W611">
        <v>25.4158115386962</v>
      </c>
      <c r="Y611">
        <v>610</v>
      </c>
      <c r="Z611">
        <v>2.9277033805847101</v>
      </c>
      <c r="AA611">
        <v>25.4371242523193</v>
      </c>
    </row>
    <row r="612" spans="1:27" x14ac:dyDescent="0.25">
      <c r="A612" s="8">
        <f t="shared" si="36"/>
        <v>611</v>
      </c>
      <c r="B612" s="8">
        <f t="shared" si="37"/>
        <v>1</v>
      </c>
      <c r="C612" s="8">
        <f t="shared" si="38"/>
        <v>4.9526548385619904</v>
      </c>
      <c r="D612" s="8">
        <v>611</v>
      </c>
      <c r="E612" s="8">
        <v>1.6441866159439</v>
      </c>
      <c r="F612" s="8">
        <v>20.224061965942301</v>
      </c>
      <c r="G612" s="8"/>
      <c r="H612" s="8">
        <v>611</v>
      </c>
      <c r="I612" s="8">
        <v>2.2606024742126398</v>
      </c>
      <c r="J612" s="8">
        <v>20.5301704406738</v>
      </c>
      <c r="K612" s="8"/>
      <c r="L612" s="8">
        <v>611</v>
      </c>
      <c r="M612" s="8">
        <v>1.0478657484054501</v>
      </c>
      <c r="N612" s="8">
        <v>20.479875564575099</v>
      </c>
      <c r="P612" s="8">
        <f t="shared" si="39"/>
        <v>28.823591709136899</v>
      </c>
      <c r="Q612">
        <v>611</v>
      </c>
      <c r="R612">
        <v>3.7804627418518</v>
      </c>
      <c r="S612">
        <v>38.931068420410099</v>
      </c>
      <c r="U612">
        <v>611</v>
      </c>
      <c r="V612">
        <v>20.7141609191894</v>
      </c>
      <c r="W612">
        <v>38.558052062988203</v>
      </c>
      <c r="Y612">
        <v>611</v>
      </c>
      <c r="Z612">
        <v>4.3289680480956996</v>
      </c>
      <c r="AA612">
        <v>38.5321044921875</v>
      </c>
    </row>
    <row r="613" spans="1:27" x14ac:dyDescent="0.25">
      <c r="A613" s="8">
        <f t="shared" si="36"/>
        <v>612</v>
      </c>
      <c r="B613" s="8">
        <f t="shared" si="37"/>
        <v>1</v>
      </c>
      <c r="C613" s="8">
        <f t="shared" si="38"/>
        <v>22.916666269302297</v>
      </c>
      <c r="D613" s="8">
        <v>612</v>
      </c>
      <c r="E613" s="8">
        <v>12.383333206176699</v>
      </c>
      <c r="F613" s="8">
        <v>17.276157379150298</v>
      </c>
      <c r="G613" s="8"/>
      <c r="H613" s="8">
        <v>612</v>
      </c>
      <c r="I613" s="8">
        <v>7.5999999046325604</v>
      </c>
      <c r="J613" s="8">
        <v>17.9464607238769</v>
      </c>
      <c r="K613" s="8"/>
      <c r="L613" s="8">
        <v>612</v>
      </c>
      <c r="M613" s="8">
        <v>2.9333331584930402</v>
      </c>
      <c r="N613" s="8">
        <v>17.325485229492099</v>
      </c>
      <c r="P613" s="8">
        <f t="shared" si="39"/>
        <v>69.625153541564828</v>
      </c>
      <c r="Q613">
        <v>612</v>
      </c>
      <c r="R613">
        <v>9.6620874404907209</v>
      </c>
      <c r="S613">
        <v>47.721450805663999</v>
      </c>
      <c r="U613">
        <v>612</v>
      </c>
      <c r="V613">
        <v>47.6107788085937</v>
      </c>
      <c r="W613">
        <v>48.662208557128899</v>
      </c>
      <c r="Y613">
        <v>612</v>
      </c>
      <c r="Z613">
        <v>12.352287292480399</v>
      </c>
      <c r="AA613">
        <v>49.170871734619098</v>
      </c>
    </row>
    <row r="614" spans="1:27" x14ac:dyDescent="0.25">
      <c r="A614" s="8">
        <f t="shared" si="36"/>
        <v>613</v>
      </c>
      <c r="B614" s="8">
        <f t="shared" si="37"/>
        <v>1</v>
      </c>
      <c r="C614" s="8">
        <f t="shared" si="38"/>
        <v>92.808860778808395</v>
      </c>
      <c r="D614" s="8">
        <v>613</v>
      </c>
      <c r="E614" s="8">
        <v>32.200508117675703</v>
      </c>
      <c r="F614" s="8">
        <v>40.172988891601499</v>
      </c>
      <c r="G614" s="8"/>
      <c r="H614" s="8">
        <v>613</v>
      </c>
      <c r="I614" s="8">
        <v>37.910839080810497</v>
      </c>
      <c r="J614" s="8">
        <v>40.854110717773402</v>
      </c>
      <c r="K614" s="8"/>
      <c r="L614" s="8">
        <v>613</v>
      </c>
      <c r="M614" s="8">
        <v>22.697513580322202</v>
      </c>
      <c r="N614" s="8">
        <v>40.531600952148402</v>
      </c>
      <c r="P614" s="8">
        <f t="shared" si="39"/>
        <v>45.635206222534109</v>
      </c>
      <c r="Q614">
        <v>613</v>
      </c>
      <c r="R614">
        <v>6.7283115386962802</v>
      </c>
      <c r="S614">
        <v>49.423526763916001</v>
      </c>
      <c r="U614">
        <v>613</v>
      </c>
      <c r="V614">
        <v>28.979635238647401</v>
      </c>
      <c r="W614">
        <v>49.9456367492675</v>
      </c>
      <c r="Y614">
        <v>613</v>
      </c>
      <c r="Z614">
        <v>9.9272594451904297</v>
      </c>
      <c r="AA614">
        <v>49.83251953125</v>
      </c>
    </row>
    <row r="615" spans="1:27" x14ac:dyDescent="0.25">
      <c r="A615" s="8">
        <f t="shared" si="36"/>
        <v>614</v>
      </c>
      <c r="B615" s="8">
        <f t="shared" si="37"/>
        <v>1</v>
      </c>
      <c r="C615" s="8">
        <f t="shared" si="38"/>
        <v>202.09403991699199</v>
      </c>
      <c r="D615" s="8">
        <v>614</v>
      </c>
      <c r="E615" s="8">
        <v>74.950149536132798</v>
      </c>
      <c r="F615" s="8">
        <v>41.126461029052699</v>
      </c>
      <c r="G615" s="8"/>
      <c r="H615" s="8">
        <v>614</v>
      </c>
      <c r="I615" s="8">
        <v>80.085983276367102</v>
      </c>
      <c r="J615" s="8">
        <v>42.291404724121001</v>
      </c>
      <c r="K615" s="8"/>
      <c r="L615" s="8">
        <v>614</v>
      </c>
      <c r="M615" s="8">
        <v>47.057907104492102</v>
      </c>
      <c r="N615" s="8">
        <v>41.698760986328097</v>
      </c>
      <c r="P615" s="8">
        <f t="shared" si="39"/>
        <v>66.712114334106346</v>
      </c>
      <c r="Q615">
        <v>614</v>
      </c>
      <c r="R615">
        <v>6.7649822235107404</v>
      </c>
      <c r="S615">
        <v>32.454421997070298</v>
      </c>
      <c r="U615">
        <v>614</v>
      </c>
      <c r="V615">
        <v>45.1123657226562</v>
      </c>
      <c r="W615">
        <v>32.807659149169901</v>
      </c>
      <c r="Y615">
        <v>614</v>
      </c>
      <c r="Z615">
        <v>14.8347663879394</v>
      </c>
      <c r="AA615">
        <v>32.809551239013601</v>
      </c>
    </row>
    <row r="616" spans="1:27" x14ac:dyDescent="0.25">
      <c r="A616" s="8">
        <f t="shared" si="36"/>
        <v>615</v>
      </c>
      <c r="B616" s="8">
        <f t="shared" si="37"/>
        <v>1</v>
      </c>
      <c r="C616" s="8">
        <f t="shared" si="38"/>
        <v>36.216397285461326</v>
      </c>
      <c r="D616" s="8">
        <v>615</v>
      </c>
      <c r="E616" s="8">
        <v>14.3333311080932</v>
      </c>
      <c r="F616" s="8">
        <v>26.681926727294901</v>
      </c>
      <c r="G616" s="8"/>
      <c r="H616" s="8">
        <v>615</v>
      </c>
      <c r="I616" s="8">
        <v>12.5823469161987</v>
      </c>
      <c r="J616" s="8">
        <v>27.3350505828857</v>
      </c>
      <c r="K616" s="8"/>
      <c r="L616" s="8">
        <v>615</v>
      </c>
      <c r="M616" s="8">
        <v>9.30071926116943</v>
      </c>
      <c r="N616" s="8">
        <v>27.063417434692301</v>
      </c>
      <c r="P616" s="8">
        <f t="shared" si="39"/>
        <v>54.155266761779714</v>
      </c>
      <c r="Q616">
        <v>615</v>
      </c>
      <c r="R616">
        <v>5.57747459411621</v>
      </c>
      <c r="S616">
        <v>31.180158615112301</v>
      </c>
      <c r="U616">
        <v>615</v>
      </c>
      <c r="V616">
        <v>37.754741668701101</v>
      </c>
      <c r="W616">
        <v>31.8381538391113</v>
      </c>
      <c r="Y616">
        <v>615</v>
      </c>
      <c r="Z616">
        <v>10.823050498962401</v>
      </c>
      <c r="AA616">
        <v>32.007049560546797</v>
      </c>
    </row>
    <row r="617" spans="1:27" x14ac:dyDescent="0.25">
      <c r="A617" s="8">
        <f t="shared" si="36"/>
        <v>616</v>
      </c>
      <c r="B617" s="8">
        <f t="shared" si="37"/>
        <v>1</v>
      </c>
      <c r="C617" s="8">
        <f t="shared" si="38"/>
        <v>6.7404345273971398</v>
      </c>
      <c r="D617" s="8">
        <v>616</v>
      </c>
      <c r="E617" s="8">
        <v>2.6533577442169101</v>
      </c>
      <c r="F617" s="8">
        <v>24.175209045410099</v>
      </c>
      <c r="G617" s="8"/>
      <c r="H617" s="8">
        <v>616</v>
      </c>
      <c r="I617" s="8">
        <v>2.1877877712249698</v>
      </c>
      <c r="J617" s="8">
        <v>24.803518295288001</v>
      </c>
      <c r="K617" s="8"/>
      <c r="L617" s="8">
        <v>616</v>
      </c>
      <c r="M617" s="8">
        <v>1.8992890119552599</v>
      </c>
      <c r="N617" s="8">
        <v>24.4783935546875</v>
      </c>
      <c r="P617" s="8">
        <f t="shared" si="39"/>
        <v>25.601797342300362</v>
      </c>
      <c r="Q617">
        <v>616</v>
      </c>
      <c r="R617">
        <v>2.7666666507720898</v>
      </c>
      <c r="S617">
        <v>29.8493633270263</v>
      </c>
      <c r="U617">
        <v>616</v>
      </c>
      <c r="V617">
        <v>18.435131072998001</v>
      </c>
      <c r="W617">
        <v>30.321428298950099</v>
      </c>
      <c r="Y617">
        <v>616</v>
      </c>
      <c r="Z617">
        <v>4.3999996185302699</v>
      </c>
      <c r="AA617">
        <v>30.255809783935501</v>
      </c>
    </row>
    <row r="618" spans="1:27" x14ac:dyDescent="0.25">
      <c r="A618" s="8">
        <f t="shared" si="36"/>
        <v>617</v>
      </c>
      <c r="B618" s="8">
        <f t="shared" si="37"/>
        <v>1</v>
      </c>
      <c r="C618" s="8">
        <f t="shared" si="38"/>
        <v>69.680386543273798</v>
      </c>
      <c r="D618" s="8">
        <v>617</v>
      </c>
      <c r="E618" s="8">
        <v>31.406782150268501</v>
      </c>
      <c r="F618" s="8">
        <v>25.5403652191162</v>
      </c>
      <c r="G618" s="8"/>
      <c r="H618" s="8">
        <v>617</v>
      </c>
      <c r="I618" s="8">
        <v>23.549709320068299</v>
      </c>
      <c r="J618" s="8">
        <v>26.005344390869102</v>
      </c>
      <c r="K618" s="8"/>
      <c r="L618" s="8">
        <v>617</v>
      </c>
      <c r="M618" s="8">
        <v>14.723895072936999</v>
      </c>
      <c r="N618" s="8">
        <v>25.8802585601806</v>
      </c>
      <c r="P618" s="8">
        <f t="shared" si="39"/>
        <v>16.014297008514298</v>
      </c>
      <c r="Q618">
        <v>617</v>
      </c>
      <c r="R618">
        <v>1.1979167461395199</v>
      </c>
      <c r="S618">
        <v>20.340642929077099</v>
      </c>
      <c r="U618">
        <v>617</v>
      </c>
      <c r="V618">
        <v>12.7663803100585</v>
      </c>
      <c r="W618">
        <v>20.798475265502901</v>
      </c>
      <c r="Y618">
        <v>617</v>
      </c>
      <c r="Z618">
        <v>2.0499999523162802</v>
      </c>
      <c r="AA618">
        <v>20.7619094848632</v>
      </c>
    </row>
    <row r="619" spans="1:27" x14ac:dyDescent="0.25">
      <c r="A619" s="8">
        <f t="shared" si="36"/>
        <v>618</v>
      </c>
      <c r="B619" s="8">
        <f t="shared" si="37"/>
        <v>1</v>
      </c>
      <c r="C619" s="8">
        <f t="shared" si="38"/>
        <v>23.421414852142263</v>
      </c>
      <c r="D619" s="8">
        <v>618</v>
      </c>
      <c r="E619" s="8">
        <v>10.5197038650512</v>
      </c>
      <c r="F619" s="8">
        <v>48.915184020996001</v>
      </c>
      <c r="G619" s="8"/>
      <c r="H619" s="8">
        <v>618</v>
      </c>
      <c r="I619" s="8">
        <v>8.5407257080078107</v>
      </c>
      <c r="J619" s="8">
        <v>50.0541381835937</v>
      </c>
      <c r="K619" s="8"/>
      <c r="L619" s="8">
        <v>618</v>
      </c>
      <c r="M619" s="8">
        <v>4.3609852790832502</v>
      </c>
      <c r="N619" s="8">
        <v>49.615917205810497</v>
      </c>
      <c r="P619" s="8">
        <f t="shared" si="39"/>
        <v>27.344801187515159</v>
      </c>
      <c r="Q619">
        <v>618</v>
      </c>
      <c r="R619">
        <v>2.8979437351226802</v>
      </c>
      <c r="S619">
        <v>28.5240268707275</v>
      </c>
      <c r="U619">
        <v>618</v>
      </c>
      <c r="V619">
        <v>18.403110504150298</v>
      </c>
      <c r="W619">
        <v>29.237468719482401</v>
      </c>
      <c r="Y619">
        <v>618</v>
      </c>
      <c r="Z619">
        <v>6.0437469482421804</v>
      </c>
      <c r="AA619">
        <v>29.344518661498999</v>
      </c>
    </row>
    <row r="620" spans="1:27" x14ac:dyDescent="0.25">
      <c r="A620" s="8">
        <f t="shared" si="36"/>
        <v>619</v>
      </c>
      <c r="B620" s="8">
        <f t="shared" si="37"/>
        <v>1</v>
      </c>
      <c r="C620" s="8">
        <f t="shared" si="38"/>
        <v>11.055945634841901</v>
      </c>
      <c r="D620" s="8">
        <v>619</v>
      </c>
      <c r="E620" s="8">
        <v>4.8669948577880797</v>
      </c>
      <c r="F620" s="8">
        <v>45.657051086425703</v>
      </c>
      <c r="G620" s="8"/>
      <c r="H620" s="8">
        <v>619</v>
      </c>
      <c r="I620" s="8">
        <v>4.0411963462829501</v>
      </c>
      <c r="J620" s="8">
        <v>46.988388061523402</v>
      </c>
      <c r="K620" s="8"/>
      <c r="L620" s="8">
        <v>619</v>
      </c>
      <c r="M620" s="8">
        <v>2.14775443077087</v>
      </c>
      <c r="N620" s="8">
        <v>46.350067138671797</v>
      </c>
      <c r="P620" s="8">
        <f t="shared" si="39"/>
        <v>26.698885917663468</v>
      </c>
      <c r="Q620">
        <v>619</v>
      </c>
      <c r="R620">
        <v>2.8931818008422798</v>
      </c>
      <c r="S620">
        <v>19.612977981567301</v>
      </c>
      <c r="U620">
        <v>619</v>
      </c>
      <c r="V620">
        <v>17.840610504150298</v>
      </c>
      <c r="W620">
        <v>20.224870681762599</v>
      </c>
      <c r="Y620">
        <v>619</v>
      </c>
      <c r="Z620">
        <v>5.9650936126708896</v>
      </c>
      <c r="AA620">
        <v>20.286178588867099</v>
      </c>
    </row>
    <row r="621" spans="1:27" x14ac:dyDescent="0.25">
      <c r="A621" s="8">
        <f t="shared" si="36"/>
        <v>620</v>
      </c>
      <c r="B621" s="8">
        <f t="shared" si="37"/>
        <v>1</v>
      </c>
      <c r="C621" s="8">
        <f t="shared" si="38"/>
        <v>12.314636707305889</v>
      </c>
      <c r="D621" s="8">
        <v>620</v>
      </c>
      <c r="E621" s="8">
        <v>4.1711730957031197</v>
      </c>
      <c r="F621" s="8">
        <v>49.227859497070298</v>
      </c>
      <c r="G621" s="8"/>
      <c r="H621" s="8">
        <v>620</v>
      </c>
      <c r="I621" s="8">
        <v>4.5789704322814897</v>
      </c>
      <c r="J621" s="8">
        <v>51.169307708740199</v>
      </c>
      <c r="K621" s="8"/>
      <c r="L621" s="8">
        <v>620</v>
      </c>
      <c r="M621" s="8">
        <v>3.5644931793212802</v>
      </c>
      <c r="N621" s="8">
        <v>49.494941711425703</v>
      </c>
      <c r="P621" s="8">
        <f t="shared" si="39"/>
        <v>14.48855090141295</v>
      </c>
      <c r="Q621">
        <v>620</v>
      </c>
      <c r="R621">
        <v>4.9825077056884703</v>
      </c>
      <c r="S621">
        <v>26.3205852508544</v>
      </c>
      <c r="U621">
        <v>620</v>
      </c>
      <c r="V621">
        <v>8.2060432434081996</v>
      </c>
      <c r="W621">
        <v>26.172714233398398</v>
      </c>
      <c r="Y621">
        <v>620</v>
      </c>
      <c r="Z621">
        <v>1.29999995231628</v>
      </c>
      <c r="AA621">
        <v>26.202724456787099</v>
      </c>
    </row>
    <row r="622" spans="1:27" x14ac:dyDescent="0.25">
      <c r="A622" s="8">
        <f t="shared" si="36"/>
        <v>621</v>
      </c>
      <c r="B622" s="8">
        <f t="shared" si="37"/>
        <v>1</v>
      </c>
      <c r="C622" s="8">
        <f t="shared" si="38"/>
        <v>21.962604999542222</v>
      </c>
      <c r="D622" s="8">
        <v>621</v>
      </c>
      <c r="E622" s="8">
        <v>7.2312350273132298</v>
      </c>
      <c r="F622" s="8">
        <v>44.490016937255803</v>
      </c>
      <c r="G622" s="8"/>
      <c r="H622" s="8">
        <v>621</v>
      </c>
      <c r="I622" s="8">
        <v>8.0468282699584908</v>
      </c>
      <c r="J622" s="8">
        <v>46.034770965576101</v>
      </c>
      <c r="K622" s="8"/>
      <c r="L622" s="8">
        <v>621</v>
      </c>
      <c r="M622" s="8">
        <v>6.6845417022704998</v>
      </c>
      <c r="N622" s="8">
        <v>44.710929870605398</v>
      </c>
      <c r="P622" s="8">
        <f t="shared" si="39"/>
        <v>0</v>
      </c>
      <c r="Q622">
        <v>621</v>
      </c>
      <c r="R622">
        <v>0</v>
      </c>
      <c r="S622">
        <v>15.7437620162963</v>
      </c>
      <c r="U622">
        <v>621</v>
      </c>
      <c r="V622">
        <v>0</v>
      </c>
      <c r="W622">
        <v>15.678051948547299</v>
      </c>
      <c r="Y622">
        <v>621</v>
      </c>
      <c r="Z622">
        <v>0</v>
      </c>
      <c r="AA622">
        <v>15.6956777572631</v>
      </c>
    </row>
    <row r="623" spans="1:27" x14ac:dyDescent="0.25">
      <c r="A623" s="8">
        <f t="shared" si="36"/>
        <v>622</v>
      </c>
      <c r="B623" s="8">
        <f t="shared" si="37"/>
        <v>1</v>
      </c>
      <c r="C623" s="8">
        <f t="shared" si="38"/>
        <v>11.11429214477538</v>
      </c>
      <c r="D623" s="8">
        <v>622</v>
      </c>
      <c r="E623" s="8">
        <v>3.2138292789459202</v>
      </c>
      <c r="F623" s="8">
        <v>58.640571594238203</v>
      </c>
      <c r="G623" s="8"/>
      <c r="H623" s="8">
        <v>622</v>
      </c>
      <c r="I623" s="8">
        <v>2.5668408870696999</v>
      </c>
      <c r="J623" s="8">
        <v>60.772983551025298</v>
      </c>
      <c r="K623" s="8"/>
      <c r="L623" s="8">
        <v>622</v>
      </c>
      <c r="M623" s="8">
        <v>5.3336219787597603</v>
      </c>
      <c r="N623" s="8">
        <v>58.664318084716797</v>
      </c>
      <c r="P623" s="8">
        <f t="shared" si="39"/>
        <v>64.014649391174203</v>
      </c>
      <c r="Q623">
        <v>622</v>
      </c>
      <c r="R623">
        <v>15.666007995605399</v>
      </c>
      <c r="S623">
        <v>36.777076721191399</v>
      </c>
      <c r="U623">
        <v>622</v>
      </c>
      <c r="V623">
        <v>41.135128021240199</v>
      </c>
      <c r="W623">
        <v>36.956275939941399</v>
      </c>
      <c r="Y623">
        <v>622</v>
      </c>
      <c r="Z623">
        <v>7.2135133743286097</v>
      </c>
      <c r="AA623">
        <v>37.056434631347599</v>
      </c>
    </row>
    <row r="624" spans="1:27" x14ac:dyDescent="0.25">
      <c r="A624" s="8">
        <f t="shared" si="36"/>
        <v>623</v>
      </c>
      <c r="B624" s="8">
        <f t="shared" si="37"/>
        <v>1</v>
      </c>
      <c r="C624" s="8">
        <f t="shared" si="38"/>
        <v>22.323422908782948</v>
      </c>
      <c r="D624" s="8">
        <v>623</v>
      </c>
      <c r="E624" s="8">
        <v>7.9639015197753897</v>
      </c>
      <c r="F624" s="8">
        <v>63.947673797607401</v>
      </c>
      <c r="G624" s="8"/>
      <c r="H624" s="8">
        <v>623</v>
      </c>
      <c r="I624" s="8">
        <v>6.4644832611083896</v>
      </c>
      <c r="J624" s="8">
        <v>67.657821655273395</v>
      </c>
      <c r="K624" s="8"/>
      <c r="L624" s="8">
        <v>623</v>
      </c>
      <c r="M624" s="8">
        <v>7.8950381278991699</v>
      </c>
      <c r="N624" s="8">
        <v>63.144115447997997</v>
      </c>
      <c r="P624" s="8">
        <f t="shared" si="39"/>
        <v>63.458199024200333</v>
      </c>
      <c r="Q624">
        <v>623</v>
      </c>
      <c r="R624">
        <v>7.5496296882629297</v>
      </c>
      <c r="S624">
        <v>34.782825469970703</v>
      </c>
      <c r="U624">
        <v>623</v>
      </c>
      <c r="V624">
        <v>36.949913024902301</v>
      </c>
      <c r="W624">
        <v>34.990100860595703</v>
      </c>
      <c r="Y624">
        <v>623</v>
      </c>
      <c r="Z624">
        <v>18.958656311035099</v>
      </c>
      <c r="AA624">
        <v>35.117713928222599</v>
      </c>
    </row>
    <row r="625" spans="1:27" x14ac:dyDescent="0.25">
      <c r="A625" s="8">
        <f t="shared" si="36"/>
        <v>624</v>
      </c>
      <c r="B625" s="8">
        <f t="shared" si="37"/>
        <v>1</v>
      </c>
      <c r="C625" s="8">
        <f t="shared" si="38"/>
        <v>87.306701660156094</v>
      </c>
      <c r="D625" s="8">
        <v>624</v>
      </c>
      <c r="E625" s="8">
        <v>36.544925689697202</v>
      </c>
      <c r="F625" s="8">
        <v>35.798145294189403</v>
      </c>
      <c r="G625" s="8"/>
      <c r="H625" s="8">
        <v>624</v>
      </c>
      <c r="I625" s="8">
        <v>29.406618118286101</v>
      </c>
      <c r="J625" s="8">
        <v>36.429241180419901</v>
      </c>
      <c r="K625" s="8"/>
      <c r="L625" s="8">
        <v>624</v>
      </c>
      <c r="M625" s="8">
        <v>21.355157852172798</v>
      </c>
      <c r="N625" s="8">
        <v>36.028022766113203</v>
      </c>
      <c r="P625" s="8">
        <f t="shared" si="39"/>
        <v>312.97880172729424</v>
      </c>
      <c r="Q625">
        <v>624</v>
      </c>
      <c r="R625">
        <v>38.727870941162102</v>
      </c>
      <c r="S625">
        <v>23.0382976531982</v>
      </c>
      <c r="U625">
        <v>624</v>
      </c>
      <c r="V625">
        <v>198.439361572265</v>
      </c>
      <c r="W625">
        <v>24.001825332641602</v>
      </c>
      <c r="Y625">
        <v>624</v>
      </c>
      <c r="Z625">
        <v>75.811569213867102</v>
      </c>
      <c r="AA625">
        <v>24.143562316894499</v>
      </c>
    </row>
    <row r="626" spans="1:27" x14ac:dyDescent="0.25">
      <c r="A626" s="8">
        <f t="shared" si="36"/>
        <v>625</v>
      </c>
      <c r="B626" s="8">
        <f t="shared" si="37"/>
        <v>1</v>
      </c>
      <c r="C626" s="8">
        <f t="shared" si="38"/>
        <v>103.79369735717751</v>
      </c>
      <c r="D626" s="8">
        <v>625</v>
      </c>
      <c r="E626" s="8">
        <v>45.296775817871001</v>
      </c>
      <c r="F626" s="8">
        <v>37.428001403808501</v>
      </c>
      <c r="G626" s="8"/>
      <c r="H626" s="8">
        <v>625</v>
      </c>
      <c r="I626" s="8">
        <v>34.147064208984297</v>
      </c>
      <c r="J626" s="8">
        <v>39.545169830322202</v>
      </c>
      <c r="K626" s="8"/>
      <c r="L626" s="8">
        <v>625</v>
      </c>
      <c r="M626" s="8">
        <v>24.349857330322202</v>
      </c>
      <c r="N626" s="8">
        <v>37.912601470947202</v>
      </c>
      <c r="P626" s="8">
        <f t="shared" si="39"/>
        <v>294.95403289794922</v>
      </c>
      <c r="Q626">
        <v>625</v>
      </c>
      <c r="R626">
        <v>43.805973052978501</v>
      </c>
      <c r="S626">
        <v>22.652570724487301</v>
      </c>
      <c r="U626">
        <v>625</v>
      </c>
      <c r="V626">
        <v>189.8818359375</v>
      </c>
      <c r="W626">
        <v>23.2615756988525</v>
      </c>
      <c r="Y626">
        <v>625</v>
      </c>
      <c r="Z626">
        <v>61.266223907470703</v>
      </c>
      <c r="AA626">
        <v>23.377344131469702</v>
      </c>
    </row>
    <row r="627" spans="1:27" x14ac:dyDescent="0.25">
      <c r="A627" s="8">
        <f t="shared" si="36"/>
        <v>626</v>
      </c>
      <c r="B627" s="8">
        <f t="shared" si="37"/>
        <v>1</v>
      </c>
      <c r="C627" s="8">
        <f t="shared" si="38"/>
        <v>79.123928070068203</v>
      </c>
      <c r="D627" s="8">
        <v>626</v>
      </c>
      <c r="E627" s="8">
        <v>33.911479949951101</v>
      </c>
      <c r="F627" s="8">
        <v>41.632484436035099</v>
      </c>
      <c r="G627" s="8"/>
      <c r="H627" s="8">
        <v>626</v>
      </c>
      <c r="I627" s="8">
        <v>28.5610446929931</v>
      </c>
      <c r="J627" s="8">
        <v>48.643356323242102</v>
      </c>
      <c r="K627" s="8"/>
      <c r="L627" s="8">
        <v>626</v>
      </c>
      <c r="M627" s="8">
        <v>16.651403427123999</v>
      </c>
      <c r="N627" s="8">
        <v>42.296577453613203</v>
      </c>
      <c r="P627" s="8">
        <f t="shared" si="39"/>
        <v>150.59882736206049</v>
      </c>
      <c r="Q627">
        <v>626</v>
      </c>
      <c r="R627">
        <v>14.260684967041</v>
      </c>
      <c r="S627">
        <v>29.569717407226499</v>
      </c>
      <c r="U627">
        <v>626</v>
      </c>
      <c r="V627">
        <v>97.51806640625</v>
      </c>
      <c r="W627">
        <v>30.455680847167901</v>
      </c>
      <c r="Y627">
        <v>626</v>
      </c>
      <c r="Z627">
        <v>38.820075988769503</v>
      </c>
      <c r="AA627">
        <v>30.601991653442301</v>
      </c>
    </row>
    <row r="628" spans="1:27" x14ac:dyDescent="0.25">
      <c r="A628" s="8">
        <f t="shared" si="36"/>
        <v>629</v>
      </c>
      <c r="B628" s="8">
        <f t="shared" si="37"/>
        <v>1</v>
      </c>
      <c r="C628" s="8">
        <f t="shared" si="38"/>
        <v>8.1037955284118492</v>
      </c>
      <c r="D628" s="8">
        <v>629</v>
      </c>
      <c r="E628" s="8">
        <v>2.9502696990966699</v>
      </c>
      <c r="F628" s="8">
        <v>50.224971771240199</v>
      </c>
      <c r="G628" s="8"/>
      <c r="H628" s="8">
        <v>629</v>
      </c>
      <c r="I628" s="8">
        <v>2.8492400646209699</v>
      </c>
      <c r="J628" s="8">
        <v>54.459606170654297</v>
      </c>
      <c r="K628" s="8"/>
      <c r="L628" s="8">
        <v>629</v>
      </c>
      <c r="M628" s="8">
        <v>2.3042857646942099</v>
      </c>
      <c r="N628" s="8">
        <v>51.256111145019503</v>
      </c>
      <c r="P628" s="8">
        <f t="shared" si="39"/>
        <v>162.2635440826414</v>
      </c>
      <c r="Q628">
        <v>627</v>
      </c>
      <c r="R628">
        <v>22.496290206909102</v>
      </c>
      <c r="S628">
        <v>29.691692352294901</v>
      </c>
      <c r="U628">
        <v>627</v>
      </c>
      <c r="V628">
        <v>95.415740966796804</v>
      </c>
      <c r="W628">
        <v>30.332307815551701</v>
      </c>
      <c r="Y628">
        <v>627</v>
      </c>
      <c r="Z628">
        <v>44.351512908935497</v>
      </c>
      <c r="AA628">
        <v>30.5715236663818</v>
      </c>
    </row>
    <row r="629" spans="1:27" x14ac:dyDescent="0.25">
      <c r="A629" s="8">
        <f t="shared" si="36"/>
        <v>630</v>
      </c>
      <c r="B629" s="8">
        <f t="shared" si="37"/>
        <v>1</v>
      </c>
      <c r="C629" s="8">
        <f t="shared" si="38"/>
        <v>2.711762726306914</v>
      </c>
      <c r="D629" s="8">
        <v>630</v>
      </c>
      <c r="E629" s="8">
        <v>0.89999800920486395</v>
      </c>
      <c r="F629" s="8">
        <v>39.165580749511697</v>
      </c>
      <c r="G629" s="8"/>
      <c r="H629" s="8">
        <v>630</v>
      </c>
      <c r="I629" s="8">
        <v>0.97604715824127197</v>
      </c>
      <c r="J629" s="8">
        <v>41.795787811279297</v>
      </c>
      <c r="K629" s="8"/>
      <c r="L629" s="8">
        <v>630</v>
      </c>
      <c r="M629" s="8">
        <v>0.83571755886077803</v>
      </c>
      <c r="N629" s="8">
        <v>39.652751922607401</v>
      </c>
      <c r="P629" s="8">
        <f t="shared" si="39"/>
        <v>910.48205566406091</v>
      </c>
      <c r="Q629">
        <v>628</v>
      </c>
      <c r="R629">
        <v>144.33316040039</v>
      </c>
      <c r="S629">
        <v>60.101722717285099</v>
      </c>
      <c r="U629">
        <v>628</v>
      </c>
      <c r="V629">
        <v>600.38507080078102</v>
      </c>
      <c r="W629">
        <v>60.866844177246001</v>
      </c>
      <c r="Y629">
        <v>628</v>
      </c>
      <c r="Z629">
        <v>165.76382446289</v>
      </c>
      <c r="AA629">
        <v>61.2312622070312</v>
      </c>
    </row>
    <row r="630" spans="1:27" x14ac:dyDescent="0.25">
      <c r="A630" s="8">
        <f t="shared" si="36"/>
        <v>631</v>
      </c>
      <c r="B630" s="8">
        <f t="shared" si="37"/>
        <v>1</v>
      </c>
      <c r="C630" s="8">
        <f t="shared" si="38"/>
        <v>2.137143313884732</v>
      </c>
      <c r="D630" s="8">
        <v>631</v>
      </c>
      <c r="E630" s="8">
        <v>0.670926094055175</v>
      </c>
      <c r="F630" s="8">
        <v>47.443630218505803</v>
      </c>
      <c r="G630" s="8"/>
      <c r="H630" s="8">
        <v>631</v>
      </c>
      <c r="I630" s="8">
        <v>1.0110387802123999</v>
      </c>
      <c r="J630" s="8">
        <v>51.065906524658203</v>
      </c>
      <c r="K630" s="8"/>
      <c r="L630" s="8">
        <v>631</v>
      </c>
      <c r="M630" s="8">
        <v>0.45517843961715698</v>
      </c>
      <c r="N630" s="8">
        <v>48.492744445800703</v>
      </c>
      <c r="P630" s="8">
        <f t="shared" si="39"/>
        <v>673.10979461669808</v>
      </c>
      <c r="Q630">
        <v>629</v>
      </c>
      <c r="R630">
        <v>92.777992248535099</v>
      </c>
      <c r="S630">
        <v>59.704647064208899</v>
      </c>
      <c r="U630">
        <v>629</v>
      </c>
      <c r="V630">
        <v>445.69638061523398</v>
      </c>
      <c r="W630">
        <v>59.869663238525298</v>
      </c>
      <c r="Y630">
        <v>629</v>
      </c>
      <c r="Z630">
        <v>134.63542175292901</v>
      </c>
      <c r="AA630">
        <v>59.893123626708899</v>
      </c>
    </row>
    <row r="631" spans="1:27" x14ac:dyDescent="0.25">
      <c r="A631" s="8">
        <f t="shared" si="36"/>
        <v>632</v>
      </c>
      <c r="B631" s="8">
        <f t="shared" si="37"/>
        <v>1</v>
      </c>
      <c r="C631" s="8">
        <f t="shared" si="38"/>
        <v>1.7091449797153451</v>
      </c>
      <c r="D631" s="8">
        <v>632</v>
      </c>
      <c r="E631" s="8">
        <v>0.77131032943725497</v>
      </c>
      <c r="F631" s="8">
        <v>46.409786224365199</v>
      </c>
      <c r="G631" s="8"/>
      <c r="H631" s="8">
        <v>632</v>
      </c>
      <c r="I631" s="8">
        <v>0.72976404428482</v>
      </c>
      <c r="J631" s="8">
        <v>48.324295043945298</v>
      </c>
      <c r="K631" s="8"/>
      <c r="L631" s="8">
        <v>632</v>
      </c>
      <c r="M631" s="8">
        <v>0.20807060599327001</v>
      </c>
      <c r="N631" s="8">
        <v>47.154117584228501</v>
      </c>
      <c r="P631" s="8">
        <f t="shared" si="39"/>
        <v>213.30167770385671</v>
      </c>
      <c r="Q631">
        <v>630</v>
      </c>
      <c r="R631">
        <v>34.985378265380803</v>
      </c>
      <c r="S631">
        <v>41.970809936523402</v>
      </c>
      <c r="U631">
        <v>630</v>
      </c>
      <c r="V631">
        <v>139.782135009765</v>
      </c>
      <c r="W631">
        <v>42.147861480712798</v>
      </c>
      <c r="Y631">
        <v>630</v>
      </c>
      <c r="Z631">
        <v>38.534164428710902</v>
      </c>
      <c r="AA631">
        <v>42.182075500488203</v>
      </c>
    </row>
    <row r="632" spans="1:27" x14ac:dyDescent="0.25">
      <c r="A632" s="8">
        <f t="shared" si="36"/>
        <v>633</v>
      </c>
      <c r="B632" s="8">
        <f t="shared" si="37"/>
        <v>1</v>
      </c>
      <c r="C632" s="8">
        <f t="shared" si="38"/>
        <v>0.6761526446789492</v>
      </c>
      <c r="D632" s="8">
        <v>633</v>
      </c>
      <c r="E632" s="8">
        <v>0.230027601122856</v>
      </c>
      <c r="F632" s="8">
        <v>44.826732635497997</v>
      </c>
      <c r="G632" s="8"/>
      <c r="H632" s="8">
        <v>633</v>
      </c>
      <c r="I632" s="8">
        <v>1.00775193423032E-2</v>
      </c>
      <c r="J632" s="8">
        <v>49.639328002929602</v>
      </c>
      <c r="K632" s="8"/>
      <c r="L632" s="8">
        <v>633</v>
      </c>
      <c r="M632" s="8">
        <v>0.43604752421379001</v>
      </c>
      <c r="N632" s="8">
        <v>45.892726898193303</v>
      </c>
      <c r="P632" s="8">
        <f t="shared" si="39"/>
        <v>203.9123191833487</v>
      </c>
      <c r="Q632">
        <v>631</v>
      </c>
      <c r="R632">
        <v>30.919761657714801</v>
      </c>
      <c r="S632">
        <v>42.672286987304602</v>
      </c>
      <c r="U632">
        <v>631</v>
      </c>
      <c r="V632">
        <v>130.14204406738199</v>
      </c>
      <c r="W632">
        <v>42.930206298828097</v>
      </c>
      <c r="Y632">
        <v>631</v>
      </c>
      <c r="Z632">
        <v>42.850513458251903</v>
      </c>
      <c r="AA632">
        <v>43.008785247802699</v>
      </c>
    </row>
    <row r="633" spans="1:27" x14ac:dyDescent="0.25">
      <c r="A633" s="8">
        <f t="shared" si="36"/>
        <v>634</v>
      </c>
      <c r="B633" s="8">
        <f t="shared" si="37"/>
        <v>1</v>
      </c>
      <c r="C633" s="8">
        <f t="shared" si="38"/>
        <v>7.8349249362945503</v>
      </c>
      <c r="D633" s="8">
        <v>634</v>
      </c>
      <c r="E633" s="8">
        <v>2.2655444145202601</v>
      </c>
      <c r="F633" s="8">
        <v>71.652587890625</v>
      </c>
      <c r="G633" s="8"/>
      <c r="H633" s="8">
        <v>634</v>
      </c>
      <c r="I633" s="8">
        <v>3.1816747188568102</v>
      </c>
      <c r="J633" s="8">
        <v>73.011711120605398</v>
      </c>
      <c r="K633" s="8"/>
      <c r="L633" s="8">
        <v>634</v>
      </c>
      <c r="M633" s="8">
        <v>2.38770580291748</v>
      </c>
      <c r="N633" s="8">
        <v>72.420997619628906</v>
      </c>
      <c r="P633" s="8">
        <f t="shared" si="39"/>
        <v>35.405915260314899</v>
      </c>
      <c r="Q633">
        <v>632</v>
      </c>
      <c r="R633">
        <v>4.8086299896240199</v>
      </c>
      <c r="S633">
        <v>23.751396179199201</v>
      </c>
      <c r="U633">
        <v>632</v>
      </c>
      <c r="V633">
        <v>23.5203762054443</v>
      </c>
      <c r="W633">
        <v>23.709093093871999</v>
      </c>
      <c r="Y633">
        <v>632</v>
      </c>
      <c r="Z633">
        <v>7.0769090652465803</v>
      </c>
      <c r="AA633">
        <v>23.675981521606399</v>
      </c>
    </row>
    <row r="634" spans="1:27" x14ac:dyDescent="0.25">
      <c r="A634" s="8">
        <f t="shared" si="36"/>
        <v>635</v>
      </c>
      <c r="B634" s="8">
        <f t="shared" si="37"/>
        <v>1</v>
      </c>
      <c r="C634" s="8">
        <f t="shared" si="38"/>
        <v>3.056052684783928</v>
      </c>
      <c r="D634" s="8">
        <v>635</v>
      </c>
      <c r="E634" s="8">
        <v>1.2141761779785101</v>
      </c>
      <c r="F634" s="8">
        <v>48.228878021240199</v>
      </c>
      <c r="G634" s="8"/>
      <c r="H634" s="8">
        <v>635</v>
      </c>
      <c r="I634" s="8">
        <v>0.82711696624755804</v>
      </c>
      <c r="J634" s="8">
        <v>49.017066955566399</v>
      </c>
      <c r="K634" s="8"/>
      <c r="L634" s="8">
        <v>635</v>
      </c>
      <c r="M634" s="8">
        <v>1.01475954055786</v>
      </c>
      <c r="N634" s="8">
        <v>48.520767211913999</v>
      </c>
      <c r="P634" s="8">
        <f t="shared" si="39"/>
        <v>82.330930709838697</v>
      </c>
      <c r="Q634">
        <v>633</v>
      </c>
      <c r="R634">
        <v>10.741712570190399</v>
      </c>
      <c r="S634">
        <v>26.944372177123999</v>
      </c>
      <c r="U634">
        <v>633</v>
      </c>
      <c r="V634">
        <v>53.700950622558501</v>
      </c>
      <c r="W634">
        <v>27.062961578369102</v>
      </c>
      <c r="Y634">
        <v>633</v>
      </c>
      <c r="Z634">
        <v>17.888267517089801</v>
      </c>
      <c r="AA634">
        <v>27.229625701904201</v>
      </c>
    </row>
    <row r="635" spans="1:27" x14ac:dyDescent="0.25">
      <c r="A635" s="8">
        <f t="shared" si="36"/>
        <v>636</v>
      </c>
      <c r="B635" s="8">
        <f t="shared" si="37"/>
        <v>1</v>
      </c>
      <c r="C635" s="8">
        <f t="shared" si="38"/>
        <v>199.5773468017577</v>
      </c>
      <c r="D635" s="8">
        <v>636</v>
      </c>
      <c r="E635" s="8">
        <v>88.659904479980398</v>
      </c>
      <c r="F635" s="8">
        <v>40.816612243652301</v>
      </c>
      <c r="G635" s="8"/>
      <c r="H635" s="8">
        <v>636</v>
      </c>
      <c r="I635" s="8">
        <v>65.894287109375</v>
      </c>
      <c r="J635" s="8">
        <v>45.166683197021399</v>
      </c>
      <c r="K635" s="8"/>
      <c r="L635" s="8">
        <v>636</v>
      </c>
      <c r="M635" s="8">
        <v>45.023155212402301</v>
      </c>
      <c r="N635" s="8">
        <v>40.140193939208899</v>
      </c>
      <c r="P635" s="8">
        <f t="shared" si="39"/>
        <v>2.2666665092110563</v>
      </c>
      <c r="Q635">
        <v>634</v>
      </c>
      <c r="R635">
        <v>0</v>
      </c>
      <c r="S635">
        <v>33.579437255859297</v>
      </c>
      <c r="U635">
        <v>634</v>
      </c>
      <c r="V635">
        <v>2.1666665077209402</v>
      </c>
      <c r="W635">
        <v>34.546882629394503</v>
      </c>
      <c r="Y635">
        <v>634</v>
      </c>
      <c r="Z635">
        <v>0.10000000149011599</v>
      </c>
      <c r="AA635">
        <v>35.6769409179687</v>
      </c>
    </row>
    <row r="636" spans="1:27" x14ac:dyDescent="0.25">
      <c r="A636" s="8">
        <f t="shared" si="36"/>
        <v>637</v>
      </c>
      <c r="B636" s="8">
        <f t="shared" si="37"/>
        <v>1</v>
      </c>
      <c r="C636" s="8">
        <f t="shared" si="38"/>
        <v>251.59238433837831</v>
      </c>
      <c r="D636" s="8">
        <v>637</v>
      </c>
      <c r="E636" s="8">
        <v>114.711303710937</v>
      </c>
      <c r="F636" s="8">
        <v>64.399879455566406</v>
      </c>
      <c r="G636" s="8"/>
      <c r="H636" s="8">
        <v>637</v>
      </c>
      <c r="I636" s="8">
        <v>78.217399597167898</v>
      </c>
      <c r="J636" s="8">
        <v>69.757698059082003</v>
      </c>
      <c r="K636" s="8"/>
      <c r="L636" s="8">
        <v>637</v>
      </c>
      <c r="M636" s="8">
        <v>58.663681030273402</v>
      </c>
      <c r="N636" s="8">
        <v>64.0677490234375</v>
      </c>
      <c r="P636" s="8">
        <f t="shared" si="39"/>
        <v>0</v>
      </c>
      <c r="Q636">
        <v>635</v>
      </c>
      <c r="R636">
        <v>0</v>
      </c>
      <c r="S636">
        <v>37.392124176025298</v>
      </c>
      <c r="U636">
        <v>635</v>
      </c>
      <c r="V636">
        <v>0</v>
      </c>
      <c r="W636">
        <v>35.772300720214801</v>
      </c>
      <c r="Y636">
        <v>635</v>
      </c>
      <c r="Z636">
        <v>0</v>
      </c>
      <c r="AA636">
        <v>35.224098205566399</v>
      </c>
    </row>
    <row r="637" spans="1:27" x14ac:dyDescent="0.25">
      <c r="A637" s="8">
        <f t="shared" si="36"/>
        <v>638</v>
      </c>
      <c r="B637" s="8">
        <f t="shared" si="37"/>
        <v>1</v>
      </c>
      <c r="C637" s="8">
        <f t="shared" si="38"/>
        <v>53.375865936279197</v>
      </c>
      <c r="D637" s="8">
        <v>638</v>
      </c>
      <c r="E637" s="8">
        <v>23.464902877807599</v>
      </c>
      <c r="F637" s="8">
        <v>41.012706756591797</v>
      </c>
      <c r="G637" s="8"/>
      <c r="H637" s="8">
        <v>638</v>
      </c>
      <c r="I637" s="8">
        <v>18.109380722045898</v>
      </c>
      <c r="J637" s="8">
        <v>44.501876831054602</v>
      </c>
      <c r="K637" s="8"/>
      <c r="L637" s="8">
        <v>638</v>
      </c>
      <c r="M637" s="8">
        <v>11.8015823364257</v>
      </c>
      <c r="N637" s="8">
        <v>40.410770416259702</v>
      </c>
      <c r="P637" s="8">
        <f t="shared" si="39"/>
        <v>204.84062004089341</v>
      </c>
      <c r="Q637">
        <v>636</v>
      </c>
      <c r="R637">
        <v>24.0833835601806</v>
      </c>
      <c r="S637">
        <v>36.746917724609297</v>
      </c>
      <c r="U637">
        <v>636</v>
      </c>
      <c r="V637">
        <v>135.88429260253901</v>
      </c>
      <c r="W637">
        <v>36.866245269775298</v>
      </c>
      <c r="Y637">
        <v>636</v>
      </c>
      <c r="Z637">
        <v>44.8729438781738</v>
      </c>
      <c r="AA637">
        <v>36.977787017822202</v>
      </c>
    </row>
    <row r="638" spans="1:27" x14ac:dyDescent="0.25">
      <c r="A638" s="8">
        <f t="shared" si="36"/>
        <v>639</v>
      </c>
      <c r="B638" s="8">
        <f t="shared" si="37"/>
        <v>1</v>
      </c>
      <c r="C638" s="8">
        <f t="shared" si="38"/>
        <v>176.57869720458959</v>
      </c>
      <c r="D638" s="8">
        <v>639</v>
      </c>
      <c r="E638" s="8">
        <v>75.688911437988196</v>
      </c>
      <c r="F638" s="8">
        <v>57.750625610351499</v>
      </c>
      <c r="G638" s="8"/>
      <c r="H638" s="8">
        <v>639</v>
      </c>
      <c r="I638" s="8">
        <v>57.662456512451101</v>
      </c>
      <c r="J638" s="8">
        <v>61.219863891601499</v>
      </c>
      <c r="K638" s="8"/>
      <c r="L638" s="8">
        <v>639</v>
      </c>
      <c r="M638" s="8">
        <v>43.227329254150298</v>
      </c>
      <c r="N638" s="8">
        <v>57.057014465332003</v>
      </c>
      <c r="P638" s="8">
        <f t="shared" si="39"/>
        <v>246.38656234741131</v>
      </c>
      <c r="Q638">
        <v>637</v>
      </c>
      <c r="R638">
        <v>50.073032379150298</v>
      </c>
      <c r="S638">
        <v>36.045299530029297</v>
      </c>
      <c r="U638">
        <v>637</v>
      </c>
      <c r="V638">
        <v>155.04191589355401</v>
      </c>
      <c r="W638">
        <v>35.745094299316399</v>
      </c>
      <c r="Y638">
        <v>637</v>
      </c>
      <c r="Z638">
        <v>41.271614074707003</v>
      </c>
      <c r="AA638">
        <v>35.66943359375</v>
      </c>
    </row>
    <row r="639" spans="1:27" x14ac:dyDescent="0.25">
      <c r="A639" s="8">
        <f t="shared" si="36"/>
        <v>640</v>
      </c>
      <c r="B639" s="8">
        <f t="shared" si="37"/>
        <v>1</v>
      </c>
      <c r="C639" s="8">
        <f t="shared" si="38"/>
        <v>311.5556411743151</v>
      </c>
      <c r="D639" s="8">
        <v>640</v>
      </c>
      <c r="E639" s="8">
        <v>142.09260559082</v>
      </c>
      <c r="F639" s="8">
        <v>36.659099578857401</v>
      </c>
      <c r="G639" s="8"/>
      <c r="H639" s="8">
        <v>640</v>
      </c>
      <c r="I639" s="8">
        <v>101.75340270996</v>
      </c>
      <c r="J639" s="8">
        <v>41.314235687255803</v>
      </c>
      <c r="K639" s="8"/>
      <c r="L639" s="8">
        <v>640</v>
      </c>
      <c r="M639" s="8">
        <v>67.709632873535099</v>
      </c>
      <c r="N639" s="8">
        <v>35.791027069091797</v>
      </c>
      <c r="P639" s="8">
        <f t="shared" si="39"/>
        <v>114.96820068359371</v>
      </c>
      <c r="Q639">
        <v>638</v>
      </c>
      <c r="R639">
        <v>17.160291671752901</v>
      </c>
      <c r="S639">
        <v>49.544841766357401</v>
      </c>
      <c r="U639">
        <v>638</v>
      </c>
      <c r="V639">
        <v>74.102394104003906</v>
      </c>
      <c r="W639">
        <v>50.147129058837798</v>
      </c>
      <c r="Y639">
        <v>638</v>
      </c>
      <c r="Z639">
        <v>23.7055149078369</v>
      </c>
      <c r="AA639">
        <v>50.646759033203097</v>
      </c>
    </row>
    <row r="640" spans="1:27" x14ac:dyDescent="0.25">
      <c r="A640" s="8">
        <f t="shared" si="36"/>
        <v>641</v>
      </c>
      <c r="B640" s="8">
        <f t="shared" si="37"/>
        <v>1</v>
      </c>
      <c r="C640" s="8">
        <f t="shared" si="38"/>
        <v>298.76546478271331</v>
      </c>
      <c r="D640" s="8">
        <v>641</v>
      </c>
      <c r="E640" s="8">
        <v>121.995216369628</v>
      </c>
      <c r="F640" s="8">
        <v>29.6749057769775</v>
      </c>
      <c r="G640" s="8"/>
      <c r="H640" s="8">
        <v>641</v>
      </c>
      <c r="I640" s="8">
        <v>106.30140686035099</v>
      </c>
      <c r="J640" s="8">
        <v>33.267143249511697</v>
      </c>
      <c r="K640" s="8"/>
      <c r="L640" s="8">
        <v>641</v>
      </c>
      <c r="M640" s="8">
        <v>70.468841552734304</v>
      </c>
      <c r="N640" s="8">
        <v>28.820512771606399</v>
      </c>
      <c r="P640" s="8">
        <f t="shared" si="39"/>
        <v>153.0276489257804</v>
      </c>
      <c r="Q640">
        <v>639</v>
      </c>
      <c r="R640">
        <v>36.572887420654297</v>
      </c>
      <c r="S640">
        <v>52.404975891113203</v>
      </c>
      <c r="U640">
        <v>639</v>
      </c>
      <c r="V640">
        <v>102.396797180175</v>
      </c>
      <c r="W640">
        <v>50.607131958007798</v>
      </c>
      <c r="Y640">
        <v>639</v>
      </c>
      <c r="Z640">
        <v>14.057964324951101</v>
      </c>
      <c r="AA640">
        <v>50.394718170166001</v>
      </c>
    </row>
    <row r="641" spans="1:27" x14ac:dyDescent="0.25">
      <c r="A641" s="8">
        <f t="shared" si="36"/>
        <v>642</v>
      </c>
      <c r="B641" s="8">
        <f t="shared" si="37"/>
        <v>1</v>
      </c>
      <c r="C641" s="8">
        <f t="shared" si="38"/>
        <v>220.279155731201</v>
      </c>
      <c r="D641" s="8">
        <v>642</v>
      </c>
      <c r="E641" s="8">
        <v>91.314140319824205</v>
      </c>
      <c r="F641" s="8">
        <v>34.324748992919901</v>
      </c>
      <c r="G641" s="8"/>
      <c r="H641" s="8">
        <v>642</v>
      </c>
      <c r="I641" s="8">
        <v>77.702804565429602</v>
      </c>
      <c r="J641" s="8">
        <v>37.592781066894503</v>
      </c>
      <c r="K641" s="8"/>
      <c r="L641" s="8">
        <v>642</v>
      </c>
      <c r="M641" s="8">
        <v>51.262210845947202</v>
      </c>
      <c r="N641" s="8">
        <v>33.556190490722599</v>
      </c>
      <c r="P641" s="8">
        <f t="shared" si="39"/>
        <v>54.149061203002901</v>
      </c>
      <c r="Q641">
        <v>640</v>
      </c>
      <c r="R641">
        <v>4.5480279922485298</v>
      </c>
      <c r="S641">
        <v>26.192111968994102</v>
      </c>
      <c r="U641">
        <v>640</v>
      </c>
      <c r="V641">
        <v>40.852703094482401</v>
      </c>
      <c r="W641">
        <v>26.412530899047798</v>
      </c>
      <c r="Y641">
        <v>640</v>
      </c>
      <c r="Z641">
        <v>8.7483301162719709</v>
      </c>
      <c r="AA641">
        <v>26.415626525878899</v>
      </c>
    </row>
    <row r="642" spans="1:27" x14ac:dyDescent="0.25">
      <c r="A642" s="8">
        <f t="shared" si="36"/>
        <v>643</v>
      </c>
      <c r="B642" s="8">
        <f t="shared" si="37"/>
        <v>1</v>
      </c>
      <c r="C642" s="8">
        <f t="shared" si="38"/>
        <v>119.24929618835439</v>
      </c>
      <c r="D642" s="8">
        <v>643</v>
      </c>
      <c r="E642" s="8">
        <v>52.179927825927699</v>
      </c>
      <c r="F642" s="8">
        <v>54.908721923828097</v>
      </c>
      <c r="G642" s="8"/>
      <c r="H642" s="8">
        <v>643</v>
      </c>
      <c r="I642" s="8">
        <v>39.164791107177699</v>
      </c>
      <c r="J642" s="8">
        <v>60.874454498291001</v>
      </c>
      <c r="K642" s="8"/>
      <c r="L642" s="8">
        <v>643</v>
      </c>
      <c r="M642" s="8">
        <v>27.904577255248999</v>
      </c>
      <c r="N642" s="8">
        <v>53.6746826171875</v>
      </c>
      <c r="P642" s="8">
        <f t="shared" si="39"/>
        <v>83.826171874999901</v>
      </c>
      <c r="Q642">
        <v>641</v>
      </c>
      <c r="R642">
        <v>17.055419921875</v>
      </c>
      <c r="S642">
        <v>28.318382263183501</v>
      </c>
      <c r="U642">
        <v>641</v>
      </c>
      <c r="V642">
        <v>52.296524047851499</v>
      </c>
      <c r="W642">
        <v>28.596284866333001</v>
      </c>
      <c r="Y642">
        <v>641</v>
      </c>
      <c r="Z642">
        <v>14.4742279052734</v>
      </c>
      <c r="AA642">
        <v>28.562715530395501</v>
      </c>
    </row>
    <row r="643" spans="1:27" x14ac:dyDescent="0.25">
      <c r="A643" s="8">
        <f t="shared" ref="A643:A706" si="40">IF(D643="","",D643)</f>
        <v>644</v>
      </c>
      <c r="B643" s="8">
        <f t="shared" ref="B643:B706" si="41">IF(OR(D643&lt;&gt;H643,H643&lt;&gt;L643,D643&lt;&gt;L643),0,1)</f>
        <v>1</v>
      </c>
      <c r="C643" s="8">
        <f t="shared" ref="C643:C706" si="42">SUM(E643,I643,M643)</f>
        <v>152.84169006347651</v>
      </c>
      <c r="D643" s="8">
        <v>644</v>
      </c>
      <c r="E643" s="8">
        <v>60.1168212890625</v>
      </c>
      <c r="F643" s="8">
        <v>38.831871032714801</v>
      </c>
      <c r="G643" s="8"/>
      <c r="H643" s="8">
        <v>644</v>
      </c>
      <c r="I643" s="8">
        <v>55.584194183349602</v>
      </c>
      <c r="J643" s="8">
        <v>43.646335601806598</v>
      </c>
      <c r="K643" s="8"/>
      <c r="L643" s="8">
        <v>644</v>
      </c>
      <c r="M643" s="8">
        <v>37.140674591064403</v>
      </c>
      <c r="N643" s="8">
        <v>37.992378234863203</v>
      </c>
      <c r="P643" s="8">
        <f t="shared" ref="P643:P706" si="43">R643+V643+Z643</f>
        <v>1730.4887237548801</v>
      </c>
      <c r="Q643">
        <v>642</v>
      </c>
      <c r="R643">
        <v>244.68095397949199</v>
      </c>
      <c r="S643">
        <v>87.718338012695298</v>
      </c>
      <c r="U643">
        <v>642</v>
      </c>
      <c r="V643">
        <v>1127.50695800781</v>
      </c>
      <c r="W643">
        <v>87.593154907226506</v>
      </c>
      <c r="Y643">
        <v>642</v>
      </c>
      <c r="Z643">
        <v>358.30081176757801</v>
      </c>
      <c r="AA643">
        <v>87.701530456542898</v>
      </c>
    </row>
    <row r="644" spans="1:27" x14ac:dyDescent="0.25">
      <c r="A644" s="8">
        <f t="shared" si="40"/>
        <v>645</v>
      </c>
      <c r="B644" s="8">
        <f t="shared" si="41"/>
        <v>1</v>
      </c>
      <c r="C644" s="8">
        <f t="shared" si="42"/>
        <v>928.41082763671807</v>
      </c>
      <c r="D644" s="8">
        <v>645</v>
      </c>
      <c r="E644" s="8">
        <v>330.705322265625</v>
      </c>
      <c r="F644" s="8">
        <v>57.474124908447202</v>
      </c>
      <c r="G644" s="8"/>
      <c r="H644" s="8">
        <v>645</v>
      </c>
      <c r="I644" s="8">
        <v>348.63293457031199</v>
      </c>
      <c r="J644" s="8">
        <v>58.957729339599602</v>
      </c>
      <c r="K644" s="8"/>
      <c r="L644" s="8">
        <v>645</v>
      </c>
      <c r="M644" s="8">
        <v>249.07257080078099</v>
      </c>
      <c r="N644" s="8">
        <v>58.2478218078613</v>
      </c>
      <c r="P644" s="8">
        <f t="shared" si="43"/>
        <v>1718.2559509277341</v>
      </c>
      <c r="Q644">
        <v>643</v>
      </c>
      <c r="R644">
        <v>256.70559692382801</v>
      </c>
      <c r="S644">
        <v>86.796440124511705</v>
      </c>
      <c r="U644">
        <v>643</v>
      </c>
      <c r="V644">
        <v>1137.52685546875</v>
      </c>
      <c r="W644">
        <v>88.364212036132798</v>
      </c>
      <c r="Y644">
        <v>643</v>
      </c>
      <c r="Z644">
        <v>324.02349853515602</v>
      </c>
      <c r="AA644">
        <v>89.259140014648395</v>
      </c>
    </row>
    <row r="645" spans="1:27" x14ac:dyDescent="0.25">
      <c r="A645" s="8">
        <f t="shared" si="40"/>
        <v>646</v>
      </c>
      <c r="B645" s="8">
        <f t="shared" si="41"/>
        <v>1</v>
      </c>
      <c r="C645" s="8">
        <f t="shared" si="42"/>
        <v>620.08154296874909</v>
      </c>
      <c r="D645" s="8">
        <v>646</v>
      </c>
      <c r="E645" s="8">
        <v>234.568359375</v>
      </c>
      <c r="F645" s="8">
        <v>57.038116455078097</v>
      </c>
      <c r="G645" s="8"/>
      <c r="H645" s="8">
        <v>646</v>
      </c>
      <c r="I645" s="8">
        <v>221.96043395996</v>
      </c>
      <c r="J645" s="8">
        <v>59.821372985839801</v>
      </c>
      <c r="K645" s="8"/>
      <c r="L645" s="8">
        <v>646</v>
      </c>
      <c r="M645" s="8">
        <v>163.55274963378901</v>
      </c>
      <c r="N645" s="8">
        <v>57.862495422363203</v>
      </c>
      <c r="P645" s="8">
        <f t="shared" si="43"/>
        <v>597.63375091552609</v>
      </c>
      <c r="Q645">
        <v>644</v>
      </c>
      <c r="R645">
        <v>142.10003662109301</v>
      </c>
      <c r="S645">
        <v>73.501747131347599</v>
      </c>
      <c r="U645">
        <v>644</v>
      </c>
      <c r="V645">
        <v>381.69494628906199</v>
      </c>
      <c r="W645">
        <v>70.152671813964801</v>
      </c>
      <c r="Y645">
        <v>644</v>
      </c>
      <c r="Z645">
        <v>73.838768005371094</v>
      </c>
      <c r="AA645">
        <v>71.153015136718693</v>
      </c>
    </row>
    <row r="646" spans="1:27" x14ac:dyDescent="0.25">
      <c r="A646" s="8">
        <f t="shared" si="40"/>
        <v>647</v>
      </c>
      <c r="B646" s="8">
        <f t="shared" si="41"/>
        <v>1</v>
      </c>
      <c r="C646" s="8">
        <f t="shared" si="42"/>
        <v>209.56519317626939</v>
      </c>
      <c r="D646" s="8">
        <v>647</v>
      </c>
      <c r="E646" s="8">
        <v>74.832183837890597</v>
      </c>
      <c r="F646" s="8">
        <v>42.098014831542898</v>
      </c>
      <c r="G646" s="8"/>
      <c r="H646" s="8">
        <v>647</v>
      </c>
      <c r="I646" s="8">
        <v>77.498870849609304</v>
      </c>
      <c r="J646" s="8">
        <v>43.6893501281738</v>
      </c>
      <c r="K646" s="8"/>
      <c r="L646" s="8">
        <v>647</v>
      </c>
      <c r="M646" s="8">
        <v>57.234138488769503</v>
      </c>
      <c r="N646" s="8">
        <v>42.699161529541001</v>
      </c>
      <c r="P646" s="8">
        <f t="shared" si="43"/>
        <v>324.50488281249955</v>
      </c>
      <c r="Q646">
        <v>647</v>
      </c>
      <c r="R646">
        <v>74.420150756835895</v>
      </c>
      <c r="S646">
        <v>7</v>
      </c>
      <c r="U646">
        <v>647</v>
      </c>
      <c r="V646">
        <v>205.92491149902301</v>
      </c>
      <c r="W646">
        <v>7</v>
      </c>
      <c r="Y646">
        <v>647</v>
      </c>
      <c r="Z646">
        <v>44.159820556640597</v>
      </c>
      <c r="AA646">
        <v>7</v>
      </c>
    </row>
    <row r="647" spans="1:27" x14ac:dyDescent="0.25">
      <c r="A647" s="8">
        <f t="shared" si="40"/>
        <v>648</v>
      </c>
      <c r="B647" s="8">
        <f t="shared" si="41"/>
        <v>1</v>
      </c>
      <c r="C647" s="8">
        <f t="shared" si="42"/>
        <v>1572.2996215820301</v>
      </c>
      <c r="D647" s="8">
        <v>648</v>
      </c>
      <c r="E647" s="8">
        <v>612.74346923828102</v>
      </c>
      <c r="F647" s="8">
        <v>40.567535400390597</v>
      </c>
      <c r="G647" s="8"/>
      <c r="H647" s="8">
        <v>648</v>
      </c>
      <c r="I647" s="8">
        <v>593.21612548828102</v>
      </c>
      <c r="J647" s="8">
        <v>44.148704528808501</v>
      </c>
      <c r="K647" s="8"/>
      <c r="L647" s="8">
        <v>648</v>
      </c>
      <c r="M647" s="8">
        <v>366.34002685546801</v>
      </c>
      <c r="N647" s="8">
        <v>40.511234283447202</v>
      </c>
      <c r="P647" s="8">
        <f t="shared" si="43"/>
        <v>160.70082092285151</v>
      </c>
      <c r="Q647">
        <v>648</v>
      </c>
      <c r="R647">
        <v>3</v>
      </c>
      <c r="S647">
        <v>7</v>
      </c>
      <c r="U647">
        <v>648</v>
      </c>
      <c r="V647">
        <v>96.700820922851506</v>
      </c>
      <c r="W647">
        <v>7</v>
      </c>
      <c r="Y647">
        <v>648</v>
      </c>
      <c r="Z647">
        <v>61</v>
      </c>
      <c r="AA647">
        <v>7</v>
      </c>
    </row>
    <row r="648" spans="1:27" x14ac:dyDescent="0.25">
      <c r="A648" s="8">
        <f t="shared" si="40"/>
        <v>649</v>
      </c>
      <c r="B648" s="8">
        <f t="shared" si="41"/>
        <v>1</v>
      </c>
      <c r="C648" s="8">
        <f t="shared" si="42"/>
        <v>199.07278442382801</v>
      </c>
      <c r="D648" s="8">
        <v>649</v>
      </c>
      <c r="E648" s="8">
        <v>73.233604431152301</v>
      </c>
      <c r="F648" s="8">
        <v>41.616733551025298</v>
      </c>
      <c r="G648" s="8"/>
      <c r="H648" s="8">
        <v>649</v>
      </c>
      <c r="I648" s="8">
        <v>72.595176696777301</v>
      </c>
      <c r="J648" s="8">
        <v>42.148536682128899</v>
      </c>
      <c r="K648" s="8"/>
      <c r="L648" s="8">
        <v>649</v>
      </c>
      <c r="M648" s="8">
        <v>53.244003295898402</v>
      </c>
      <c r="N648" s="8">
        <v>42.030742645263601</v>
      </c>
      <c r="P648" s="8">
        <f t="shared" si="43"/>
        <v>4.842461682856066</v>
      </c>
      <c r="Q648">
        <v>649</v>
      </c>
      <c r="R648">
        <v>2.0520000457763601</v>
      </c>
      <c r="S648">
        <v>30.379999160766602</v>
      </c>
      <c r="U648">
        <v>649</v>
      </c>
      <c r="V648">
        <v>2.6904616355895898</v>
      </c>
      <c r="W648">
        <v>30.379999160766602</v>
      </c>
      <c r="Y648">
        <v>649</v>
      </c>
      <c r="Z648">
        <v>0.10000000149011599</v>
      </c>
      <c r="AA648">
        <v>30.379999160766602</v>
      </c>
    </row>
    <row r="649" spans="1:27" x14ac:dyDescent="0.25">
      <c r="A649" s="8">
        <f t="shared" si="40"/>
        <v>651</v>
      </c>
      <c r="B649" s="8">
        <f t="shared" si="41"/>
        <v>1</v>
      </c>
      <c r="C649" s="8">
        <f t="shared" si="42"/>
        <v>76.210138320922709</v>
      </c>
      <c r="D649" s="8">
        <v>651</v>
      </c>
      <c r="E649" s="8">
        <v>32.793346405029297</v>
      </c>
      <c r="F649" s="8">
        <v>68.833259582519503</v>
      </c>
      <c r="G649" s="8"/>
      <c r="H649" s="8">
        <v>651</v>
      </c>
      <c r="I649" s="8">
        <v>27.0459384918212</v>
      </c>
      <c r="J649" s="8">
        <v>74.942253112792898</v>
      </c>
      <c r="K649" s="8"/>
      <c r="L649" s="8">
        <v>651</v>
      </c>
      <c r="M649" s="8">
        <v>16.370853424072202</v>
      </c>
      <c r="N649" s="8">
        <v>68.360145568847599</v>
      </c>
      <c r="P649" s="8">
        <f t="shared" si="43"/>
        <v>5.29999995231627</v>
      </c>
      <c r="Q649">
        <v>650</v>
      </c>
      <c r="R649">
        <v>1.20000004768371</v>
      </c>
      <c r="S649">
        <v>30.380001068115199</v>
      </c>
      <c r="U649">
        <v>650</v>
      </c>
      <c r="V649">
        <v>2.0999999046325599</v>
      </c>
      <c r="W649">
        <v>30.380001068115199</v>
      </c>
      <c r="Y649">
        <v>650</v>
      </c>
      <c r="Z649">
        <v>2</v>
      </c>
      <c r="AA649">
        <v>30.380001068115199</v>
      </c>
    </row>
    <row r="650" spans="1:27" x14ac:dyDescent="0.25">
      <c r="A650" s="8">
        <f t="shared" si="40"/>
        <v>652</v>
      </c>
      <c r="B650" s="8">
        <f t="shared" si="41"/>
        <v>1</v>
      </c>
      <c r="C650" s="8">
        <f t="shared" si="42"/>
        <v>227.05920410156233</v>
      </c>
      <c r="D650" s="8">
        <v>652</v>
      </c>
      <c r="E650" s="8">
        <v>81.217475891113196</v>
      </c>
      <c r="F650" s="8">
        <v>35.646343231201101</v>
      </c>
      <c r="G650" s="8"/>
      <c r="H650" s="8">
        <v>652</v>
      </c>
      <c r="I650" s="8">
        <v>75.654747009277301</v>
      </c>
      <c r="J650" s="8">
        <v>38.125377655029297</v>
      </c>
      <c r="K650" s="8"/>
      <c r="L650" s="8">
        <v>652</v>
      </c>
      <c r="M650" s="8">
        <v>70.186981201171804</v>
      </c>
      <c r="N650" s="8">
        <v>36.356235504150298</v>
      </c>
      <c r="P650" s="8">
        <f t="shared" si="43"/>
        <v>1.5142857450991858</v>
      </c>
      <c r="Q650">
        <v>651</v>
      </c>
      <c r="R650">
        <v>0.57142859697341897</v>
      </c>
      <c r="S650">
        <v>40.709999084472599</v>
      </c>
      <c r="U650">
        <v>651</v>
      </c>
      <c r="V650">
        <v>0.91428571939468295</v>
      </c>
      <c r="W650">
        <v>40.709999084472599</v>
      </c>
      <c r="Y650">
        <v>651</v>
      </c>
      <c r="Z650">
        <v>2.8571428731083801E-2</v>
      </c>
      <c r="AA650">
        <v>40.709999084472599</v>
      </c>
    </row>
    <row r="651" spans="1:27" x14ac:dyDescent="0.25">
      <c r="A651" s="8">
        <f t="shared" si="40"/>
        <v>653</v>
      </c>
      <c r="B651" s="8">
        <f t="shared" si="41"/>
        <v>1</v>
      </c>
      <c r="C651" s="8">
        <f t="shared" si="42"/>
        <v>540.579200744628</v>
      </c>
      <c r="D651" s="8">
        <v>653</v>
      </c>
      <c r="E651" s="8">
        <v>245.01745605468699</v>
      </c>
      <c r="F651" s="8">
        <v>38.545211791992102</v>
      </c>
      <c r="G651" s="8"/>
      <c r="H651" s="8">
        <v>653</v>
      </c>
      <c r="I651" s="8">
        <v>181.349685668945</v>
      </c>
      <c r="J651" s="8">
        <v>43.0619087219238</v>
      </c>
      <c r="K651" s="8"/>
      <c r="L651" s="8">
        <v>653</v>
      </c>
      <c r="M651" s="8">
        <v>114.21205902099599</v>
      </c>
      <c r="N651" s="8">
        <v>37.564506530761697</v>
      </c>
      <c r="P651" s="8">
        <f t="shared" si="43"/>
        <v>0.94883074425160796</v>
      </c>
      <c r="Q651">
        <v>652</v>
      </c>
      <c r="R651">
        <v>1.4007782563567101E-2</v>
      </c>
      <c r="S651">
        <v>40.709999084472599</v>
      </c>
      <c r="U651">
        <v>652</v>
      </c>
      <c r="V651">
        <v>0.79474514722824097</v>
      </c>
      <c r="W651">
        <v>40.709999084472599</v>
      </c>
      <c r="Y651">
        <v>652</v>
      </c>
      <c r="Z651">
        <v>0.1400778144598</v>
      </c>
      <c r="AA651">
        <v>40.709999084472599</v>
      </c>
    </row>
    <row r="652" spans="1:27" x14ac:dyDescent="0.25">
      <c r="A652" s="8">
        <f t="shared" si="40"/>
        <v>654</v>
      </c>
      <c r="B652" s="8">
        <f t="shared" si="41"/>
        <v>1</v>
      </c>
      <c r="C652" s="8">
        <f t="shared" si="42"/>
        <v>105.92420387268049</v>
      </c>
      <c r="D652" s="8">
        <v>654</v>
      </c>
      <c r="E652" s="8">
        <v>47.063179016113203</v>
      </c>
      <c r="F652" s="8">
        <v>40.131401062011697</v>
      </c>
      <c r="G652" s="8"/>
      <c r="H652" s="8">
        <v>654</v>
      </c>
      <c r="I652" s="8">
        <v>35.949356079101499</v>
      </c>
      <c r="J652" s="8">
        <v>44.415000915527301</v>
      </c>
      <c r="K652" s="8"/>
      <c r="L652" s="8">
        <v>654</v>
      </c>
      <c r="M652" s="8">
        <v>22.911668777465799</v>
      </c>
      <c r="N652" s="8">
        <v>39.244468688964801</v>
      </c>
      <c r="P652" s="8">
        <f t="shared" si="43"/>
        <v>0</v>
      </c>
      <c r="Q652">
        <v>653</v>
      </c>
      <c r="R652">
        <v>0</v>
      </c>
      <c r="S652">
        <v>14.770000457763601</v>
      </c>
      <c r="U652">
        <v>653</v>
      </c>
      <c r="V652">
        <v>0</v>
      </c>
      <c r="W652">
        <v>14.770000457763601</v>
      </c>
      <c r="Y652">
        <v>653</v>
      </c>
      <c r="Z652">
        <v>0</v>
      </c>
      <c r="AA652">
        <v>14.770000457763601</v>
      </c>
    </row>
    <row r="653" spans="1:27" x14ac:dyDescent="0.25">
      <c r="A653" s="8">
        <f t="shared" si="40"/>
        <v>655</v>
      </c>
      <c r="B653" s="8">
        <f t="shared" si="41"/>
        <v>1</v>
      </c>
      <c r="C653" s="8">
        <f t="shared" si="42"/>
        <v>245.48274612426721</v>
      </c>
      <c r="D653" s="8">
        <v>655</v>
      </c>
      <c r="E653" s="8">
        <v>107.799507141113</v>
      </c>
      <c r="F653" s="8">
        <v>53.890823364257798</v>
      </c>
      <c r="G653" s="8"/>
      <c r="H653" s="8">
        <v>655</v>
      </c>
      <c r="I653" s="8">
        <v>78.646377563476506</v>
      </c>
      <c r="J653" s="8">
        <v>56.342079162597599</v>
      </c>
      <c r="K653" s="8"/>
      <c r="L653" s="8">
        <v>655</v>
      </c>
      <c r="M653" s="8">
        <v>59.036861419677699</v>
      </c>
      <c r="N653" s="8">
        <v>54.593227386474602</v>
      </c>
      <c r="P653" s="8">
        <f t="shared" si="43"/>
        <v>2</v>
      </c>
      <c r="Q653">
        <v>654</v>
      </c>
      <c r="R653">
        <v>0</v>
      </c>
      <c r="S653">
        <v>14.770000457763601</v>
      </c>
      <c r="U653">
        <v>654</v>
      </c>
      <c r="V653">
        <v>2</v>
      </c>
      <c r="W653">
        <v>14.770000457763601</v>
      </c>
      <c r="Y653">
        <v>654</v>
      </c>
      <c r="Z653">
        <v>0</v>
      </c>
      <c r="AA653">
        <v>14.770000457763601</v>
      </c>
    </row>
    <row r="654" spans="1:27" x14ac:dyDescent="0.25">
      <c r="A654" s="8">
        <f t="shared" si="40"/>
        <v>656</v>
      </c>
      <c r="B654" s="8">
        <f t="shared" si="41"/>
        <v>1</v>
      </c>
      <c r="C654" s="8">
        <f t="shared" si="42"/>
        <v>519.98291015624795</v>
      </c>
      <c r="D654" s="8">
        <v>656</v>
      </c>
      <c r="E654" s="8">
        <v>217.40278625488199</v>
      </c>
      <c r="F654" s="8">
        <v>56.824100494384702</v>
      </c>
      <c r="G654" s="8"/>
      <c r="H654" s="8">
        <v>656</v>
      </c>
      <c r="I654" s="8">
        <v>163.48161315917901</v>
      </c>
      <c r="J654" s="8">
        <v>62.155731201171797</v>
      </c>
      <c r="K654" s="8"/>
      <c r="L654" s="8">
        <v>656</v>
      </c>
      <c r="M654" s="8">
        <v>139.09851074218699</v>
      </c>
      <c r="N654" s="8">
        <v>55.727638244628899</v>
      </c>
      <c r="P654" s="8">
        <f t="shared" si="43"/>
        <v>36.597662210464385</v>
      </c>
      <c r="Q654">
        <v>655</v>
      </c>
      <c r="R654">
        <v>8.5277204513549805</v>
      </c>
      <c r="S654">
        <v>35.049999237060497</v>
      </c>
      <c r="U654">
        <v>655</v>
      </c>
      <c r="V654">
        <v>24.8699417114257</v>
      </c>
      <c r="W654">
        <v>35.049999237060497</v>
      </c>
      <c r="Y654">
        <v>655</v>
      </c>
      <c r="Z654">
        <v>3.20000004768371</v>
      </c>
      <c r="AA654">
        <v>35.049999237060497</v>
      </c>
    </row>
    <row r="655" spans="1:27" x14ac:dyDescent="0.25">
      <c r="A655" s="8">
        <f t="shared" si="40"/>
        <v>657</v>
      </c>
      <c r="B655" s="8">
        <f t="shared" si="41"/>
        <v>1</v>
      </c>
      <c r="C655" s="8">
        <f t="shared" si="42"/>
        <v>121.77031517028799</v>
      </c>
      <c r="D655" s="8">
        <v>657</v>
      </c>
      <c r="E655" s="8">
        <v>51.8115425109863</v>
      </c>
      <c r="F655" s="8">
        <v>52.100662231445298</v>
      </c>
      <c r="G655" s="8"/>
      <c r="H655" s="8">
        <v>657</v>
      </c>
      <c r="I655" s="8">
        <v>44.226879119872997</v>
      </c>
      <c r="J655" s="8">
        <v>55.750553131103501</v>
      </c>
      <c r="K655" s="8"/>
      <c r="L655" s="8">
        <v>657</v>
      </c>
      <c r="M655" s="8">
        <v>25.7318935394287</v>
      </c>
      <c r="N655" s="8">
        <v>51.437839508056598</v>
      </c>
      <c r="P655" s="8">
        <f t="shared" si="43"/>
        <v>25.399999812245333</v>
      </c>
      <c r="Q655">
        <v>656</v>
      </c>
      <c r="R655">
        <v>0.20000000298023199</v>
      </c>
      <c r="S655">
        <v>35.049999237060497</v>
      </c>
      <c r="U655">
        <v>656</v>
      </c>
      <c r="V655">
        <v>15.199999809265099</v>
      </c>
      <c r="W655">
        <v>35.049999237060497</v>
      </c>
      <c r="Y655">
        <v>656</v>
      </c>
      <c r="Z655">
        <v>10</v>
      </c>
      <c r="AA655">
        <v>35.049999237060497</v>
      </c>
    </row>
    <row r="656" spans="1:27" x14ac:dyDescent="0.25">
      <c r="A656" s="8">
        <f t="shared" si="40"/>
        <v>658</v>
      </c>
      <c r="B656" s="8">
        <f t="shared" si="41"/>
        <v>1</v>
      </c>
      <c r="C656" s="8">
        <f t="shared" si="42"/>
        <v>45.255367279052678</v>
      </c>
      <c r="D656" s="8">
        <v>658</v>
      </c>
      <c r="E656" s="8">
        <v>21.862306594848601</v>
      </c>
      <c r="F656" s="8">
        <v>59.018764495849602</v>
      </c>
      <c r="G656" s="8"/>
      <c r="H656" s="8">
        <v>658</v>
      </c>
      <c r="I656" s="8">
        <v>14.2229776382446</v>
      </c>
      <c r="J656" s="8">
        <v>64.035659790039006</v>
      </c>
      <c r="K656" s="8"/>
      <c r="L656" s="8">
        <v>658</v>
      </c>
      <c r="M656" s="8">
        <v>9.1700830459594709</v>
      </c>
      <c r="N656" s="8">
        <v>59.881931304931598</v>
      </c>
      <c r="P656" s="8">
        <f t="shared" si="43"/>
        <v>11.06236970424651</v>
      </c>
      <c r="Q656">
        <v>657</v>
      </c>
      <c r="R656">
        <v>2.32027983665466</v>
      </c>
      <c r="S656">
        <v>60.1900024414062</v>
      </c>
      <c r="U656">
        <v>657</v>
      </c>
      <c r="V656">
        <v>7.64208984375</v>
      </c>
      <c r="W656">
        <v>60.1900024414062</v>
      </c>
      <c r="Y656">
        <v>657</v>
      </c>
      <c r="Z656">
        <v>1.1000000238418499</v>
      </c>
      <c r="AA656">
        <v>60.1900024414062</v>
      </c>
    </row>
    <row r="657" spans="1:27" x14ac:dyDescent="0.25">
      <c r="A657" s="8">
        <f t="shared" si="40"/>
        <v>659</v>
      </c>
      <c r="B657" s="8">
        <f t="shared" si="41"/>
        <v>1</v>
      </c>
      <c r="C657" s="8">
        <f t="shared" si="42"/>
        <v>96.769398689269906</v>
      </c>
      <c r="D657" s="8">
        <v>659</v>
      </c>
      <c r="E657" s="8">
        <v>49.381214141845703</v>
      </c>
      <c r="F657" s="8">
        <v>51.239280700683501</v>
      </c>
      <c r="G657" s="8"/>
      <c r="H657" s="8">
        <v>659</v>
      </c>
      <c r="I657" s="8">
        <v>31.843893051147401</v>
      </c>
      <c r="J657" s="8">
        <v>57.142757415771399</v>
      </c>
      <c r="K657" s="8"/>
      <c r="L657" s="8">
        <v>659</v>
      </c>
      <c r="M657" s="8">
        <v>15.5442914962768</v>
      </c>
      <c r="N657" s="8">
        <v>51.148555755615199</v>
      </c>
      <c r="P657" s="8">
        <f t="shared" si="43"/>
        <v>12.532375454902636</v>
      </c>
      <c r="Q657">
        <v>658</v>
      </c>
      <c r="R657">
        <v>0.60000002384185702</v>
      </c>
      <c r="S657">
        <v>60.1900024414062</v>
      </c>
      <c r="U657">
        <v>658</v>
      </c>
      <c r="V657">
        <v>7.6323752403259197</v>
      </c>
      <c r="W657">
        <v>60.1900024414062</v>
      </c>
      <c r="Y657">
        <v>658</v>
      </c>
      <c r="Z657">
        <v>4.3000001907348597</v>
      </c>
      <c r="AA657">
        <v>60.1900024414062</v>
      </c>
    </row>
    <row r="658" spans="1:27" x14ac:dyDescent="0.25">
      <c r="A658" s="8">
        <f t="shared" si="40"/>
        <v>660</v>
      </c>
      <c r="B658" s="8">
        <f t="shared" si="41"/>
        <v>1</v>
      </c>
      <c r="C658" s="8">
        <f t="shared" si="42"/>
        <v>16.884640932083112</v>
      </c>
      <c r="D658" s="8">
        <v>660</v>
      </c>
      <c r="E658" s="8">
        <v>8.5534458160400302</v>
      </c>
      <c r="F658" s="8">
        <v>61.158596038818303</v>
      </c>
      <c r="G658" s="8"/>
      <c r="H658" s="8">
        <v>660</v>
      </c>
      <c r="I658" s="8">
        <v>4.4114294052123997</v>
      </c>
      <c r="J658" s="8">
        <v>67.656570434570298</v>
      </c>
      <c r="K658" s="8"/>
      <c r="L658" s="8">
        <v>660</v>
      </c>
      <c r="M658" s="8">
        <v>3.91976571083068</v>
      </c>
      <c r="N658" s="8">
        <v>60.377819061279297</v>
      </c>
      <c r="P658" s="8">
        <f t="shared" si="43"/>
        <v>27.355061531066831</v>
      </c>
      <c r="Q658">
        <v>659</v>
      </c>
      <c r="R658">
        <v>5.9285712242126403</v>
      </c>
      <c r="S658">
        <v>27.079999923706001</v>
      </c>
      <c r="U658">
        <v>659</v>
      </c>
      <c r="V658">
        <v>18.155061721801701</v>
      </c>
      <c r="W658">
        <v>27.079999923706001</v>
      </c>
      <c r="Y658">
        <v>659</v>
      </c>
      <c r="Z658">
        <v>3.2714285850524898</v>
      </c>
      <c r="AA658">
        <v>27.079999923706001</v>
      </c>
    </row>
    <row r="659" spans="1:27" x14ac:dyDescent="0.25">
      <c r="A659" s="8">
        <f t="shared" si="40"/>
        <v>661</v>
      </c>
      <c r="B659" s="8">
        <f t="shared" si="41"/>
        <v>1</v>
      </c>
      <c r="C659" s="8">
        <f t="shared" si="42"/>
        <v>51.956288337707306</v>
      </c>
      <c r="D659" s="8">
        <v>661</v>
      </c>
      <c r="E659" s="8">
        <v>23.026016235351499</v>
      </c>
      <c r="F659" s="8">
        <v>83.406364440917898</v>
      </c>
      <c r="G659" s="8"/>
      <c r="H659" s="8">
        <v>661</v>
      </c>
      <c r="I659" s="8">
        <v>17.707042694091701</v>
      </c>
      <c r="J659" s="8">
        <v>92.585075378417898</v>
      </c>
      <c r="K659" s="8"/>
      <c r="L659" s="8">
        <v>661</v>
      </c>
      <c r="M659" s="8">
        <v>11.2232294082641</v>
      </c>
      <c r="N659" s="8">
        <v>81.657844543457003</v>
      </c>
      <c r="P659" s="8">
        <f t="shared" si="43"/>
        <v>27.351516991853686</v>
      </c>
      <c r="Q659">
        <v>660</v>
      </c>
      <c r="R659">
        <v>0.31356170773506098</v>
      </c>
      <c r="S659">
        <v>27.079999923706001</v>
      </c>
      <c r="U659">
        <v>660</v>
      </c>
      <c r="V659">
        <v>17.534315109252901</v>
      </c>
      <c r="W659">
        <v>27.079999923706001</v>
      </c>
      <c r="Y659">
        <v>660</v>
      </c>
      <c r="Z659">
        <v>9.5036401748657209</v>
      </c>
      <c r="AA659">
        <v>27.079999923706001</v>
      </c>
    </row>
    <row r="660" spans="1:27" x14ac:dyDescent="0.25">
      <c r="A660" s="8">
        <f t="shared" si="40"/>
        <v>662</v>
      </c>
      <c r="B660" s="8">
        <f t="shared" si="41"/>
        <v>1</v>
      </c>
      <c r="C660" s="8">
        <f t="shared" si="42"/>
        <v>16.141591548919671</v>
      </c>
      <c r="D660" s="8">
        <v>662</v>
      </c>
      <c r="E660" s="8">
        <v>6.2318558692932102</v>
      </c>
      <c r="F660" s="8">
        <v>78.612564086914006</v>
      </c>
      <c r="G660" s="8"/>
      <c r="H660" s="8">
        <v>662</v>
      </c>
      <c r="I660" s="8">
        <v>5.1331644058227504</v>
      </c>
      <c r="J660" s="8">
        <v>85.414741516113196</v>
      </c>
      <c r="K660" s="8"/>
      <c r="L660" s="8">
        <v>662</v>
      </c>
      <c r="M660" s="8">
        <v>4.77657127380371</v>
      </c>
      <c r="N660" s="8">
        <v>77.089179992675696</v>
      </c>
      <c r="P660" s="8">
        <f t="shared" si="43"/>
        <v>4.7857144251465673</v>
      </c>
      <c r="Q660">
        <v>661</v>
      </c>
      <c r="R660">
        <v>1.42857146263122</v>
      </c>
      <c r="S660">
        <v>9.6099996566772408</v>
      </c>
      <c r="U660">
        <v>661</v>
      </c>
      <c r="V660">
        <v>3.2857143878936701</v>
      </c>
      <c r="W660">
        <v>9.6099996566772408</v>
      </c>
      <c r="Y660">
        <v>661</v>
      </c>
      <c r="Z660">
        <v>7.1428574621677399E-2</v>
      </c>
      <c r="AA660">
        <v>9.6099996566772408</v>
      </c>
    </row>
    <row r="661" spans="1:27" x14ac:dyDescent="0.25">
      <c r="A661" s="8">
        <f t="shared" si="40"/>
        <v>663</v>
      </c>
      <c r="B661" s="8">
        <f t="shared" si="41"/>
        <v>1</v>
      </c>
      <c r="C661" s="8">
        <f t="shared" si="42"/>
        <v>121.5086555480956</v>
      </c>
      <c r="D661" s="8">
        <v>663</v>
      </c>
      <c r="E661" s="8">
        <v>50.921951293945298</v>
      </c>
      <c r="F661" s="8">
        <v>68.748054504394503</v>
      </c>
      <c r="G661" s="8"/>
      <c r="H661" s="8">
        <v>663</v>
      </c>
      <c r="I661" s="8">
        <v>43.340282440185497</v>
      </c>
      <c r="J661" s="8">
        <v>75.039611816406193</v>
      </c>
      <c r="K661" s="8"/>
      <c r="L661" s="8">
        <v>663</v>
      </c>
      <c r="M661" s="8">
        <v>27.246421813964801</v>
      </c>
      <c r="N661" s="8">
        <v>67.720268249511705</v>
      </c>
      <c r="P661" s="8">
        <f t="shared" si="43"/>
        <v>5.4511691331863315</v>
      </c>
      <c r="Q661">
        <v>662</v>
      </c>
      <c r="R661">
        <v>8.5992217063903795E-2</v>
      </c>
      <c r="S661">
        <v>9.6099996566772408</v>
      </c>
      <c r="U661">
        <v>662</v>
      </c>
      <c r="V661">
        <v>4.5052547454833896</v>
      </c>
      <c r="W661">
        <v>9.6099996566772408</v>
      </c>
      <c r="Y661">
        <v>662</v>
      </c>
      <c r="Z661">
        <v>0.85992217063903797</v>
      </c>
      <c r="AA661">
        <v>9.6099996566772408</v>
      </c>
    </row>
    <row r="662" spans="1:27" x14ac:dyDescent="0.25">
      <c r="A662" s="8">
        <f t="shared" si="40"/>
        <v>664</v>
      </c>
      <c r="B662" s="8">
        <f t="shared" si="41"/>
        <v>1</v>
      </c>
      <c r="C662" s="8">
        <f t="shared" si="42"/>
        <v>89.5966472625731</v>
      </c>
      <c r="D662" s="8">
        <v>664</v>
      </c>
      <c r="E662" s="8">
        <v>43.295272827148402</v>
      </c>
      <c r="F662" s="8">
        <v>54.411426544189403</v>
      </c>
      <c r="G662" s="8"/>
      <c r="H662" s="8">
        <v>664</v>
      </c>
      <c r="I662" s="8">
        <v>22.943325042724599</v>
      </c>
      <c r="J662" s="8">
        <v>60.258914947509702</v>
      </c>
      <c r="K662" s="8"/>
      <c r="L662" s="8">
        <v>664</v>
      </c>
      <c r="M662" s="8">
        <v>23.358049392700099</v>
      </c>
      <c r="N662" s="8">
        <v>53.661842346191399</v>
      </c>
      <c r="P662" s="8">
        <f t="shared" si="43"/>
        <v>3.0237304717302318</v>
      </c>
      <c r="Q662">
        <v>663</v>
      </c>
      <c r="R662">
        <v>1.303466796875</v>
      </c>
      <c r="S662">
        <v>2</v>
      </c>
      <c r="U662">
        <v>663</v>
      </c>
      <c r="V662">
        <v>1.520263671875</v>
      </c>
      <c r="W662">
        <v>2</v>
      </c>
      <c r="Y662">
        <v>663</v>
      </c>
      <c r="Z662">
        <v>0.20000000298023199</v>
      </c>
      <c r="AA662">
        <v>2</v>
      </c>
    </row>
    <row r="663" spans="1:27" x14ac:dyDescent="0.25">
      <c r="A663" s="8">
        <f t="shared" si="40"/>
        <v>665</v>
      </c>
      <c r="B663" s="8">
        <f t="shared" si="41"/>
        <v>1</v>
      </c>
      <c r="C663" s="8">
        <f t="shared" si="42"/>
        <v>215.8890495300291</v>
      </c>
      <c r="D663" s="8">
        <v>665</v>
      </c>
      <c r="E663" s="8">
        <v>94.685005187988196</v>
      </c>
      <c r="F663" s="8">
        <v>53.952110290527301</v>
      </c>
      <c r="G663" s="8"/>
      <c r="H663" s="8">
        <v>665</v>
      </c>
      <c r="I663" s="8">
        <v>70.272323608398395</v>
      </c>
      <c r="J663" s="8">
        <v>57.337673187255803</v>
      </c>
      <c r="K663" s="8"/>
      <c r="L663" s="8">
        <v>665</v>
      </c>
      <c r="M663" s="8">
        <v>50.9317207336425</v>
      </c>
      <c r="N663" s="8">
        <v>53.165534973144503</v>
      </c>
      <c r="P663" s="8">
        <f t="shared" si="43"/>
        <v>0</v>
      </c>
      <c r="Q663">
        <v>664</v>
      </c>
      <c r="R663">
        <v>0</v>
      </c>
      <c r="S663">
        <v>2</v>
      </c>
      <c r="U663">
        <v>664</v>
      </c>
      <c r="V663">
        <v>0</v>
      </c>
      <c r="W663">
        <v>2</v>
      </c>
      <c r="Y663">
        <v>664</v>
      </c>
      <c r="Z663">
        <v>0</v>
      </c>
      <c r="AA663">
        <v>2</v>
      </c>
    </row>
    <row r="664" spans="1:27" x14ac:dyDescent="0.25">
      <c r="A664" s="8">
        <f t="shared" si="40"/>
        <v>666</v>
      </c>
      <c r="B664" s="8">
        <f t="shared" si="41"/>
        <v>1</v>
      </c>
      <c r="C664" s="8">
        <f t="shared" si="42"/>
        <v>457.05773162841695</v>
      </c>
      <c r="D664" s="8">
        <v>666</v>
      </c>
      <c r="E664" s="8">
        <v>216.67671203613199</v>
      </c>
      <c r="F664" s="8">
        <v>44.728710174560497</v>
      </c>
      <c r="G664" s="8"/>
      <c r="H664" s="8">
        <v>666</v>
      </c>
      <c r="I664" s="8">
        <v>139.32618713378901</v>
      </c>
      <c r="J664" s="8">
        <v>49.792049407958899</v>
      </c>
      <c r="K664" s="8"/>
      <c r="L664" s="8">
        <v>666</v>
      </c>
      <c r="M664" s="8">
        <v>101.05483245849599</v>
      </c>
      <c r="N664" s="8">
        <v>43.957809448242102</v>
      </c>
      <c r="P664" s="8">
        <f t="shared" si="43"/>
        <v>3533.439086914062</v>
      </c>
      <c r="Q664">
        <v>665</v>
      </c>
      <c r="R664">
        <v>680.866455078125</v>
      </c>
      <c r="S664">
        <v>36.800006866455</v>
      </c>
      <c r="U664">
        <v>665</v>
      </c>
      <c r="V664">
        <v>2325.14013671875</v>
      </c>
      <c r="W664">
        <v>36.800006866455</v>
      </c>
      <c r="Y664">
        <v>665</v>
      </c>
      <c r="Z664">
        <v>527.43249511718705</v>
      </c>
      <c r="AA664">
        <v>36.800006866455</v>
      </c>
    </row>
    <row r="665" spans="1:27" x14ac:dyDescent="0.25">
      <c r="A665" s="8">
        <f t="shared" si="40"/>
        <v>667</v>
      </c>
      <c r="B665" s="8">
        <f t="shared" si="41"/>
        <v>1</v>
      </c>
      <c r="C665" s="8">
        <f t="shared" si="42"/>
        <v>122.64382743835439</v>
      </c>
      <c r="D665" s="8">
        <v>667</v>
      </c>
      <c r="E665" s="8">
        <v>57.693103790283203</v>
      </c>
      <c r="F665" s="8">
        <v>58.143230438232401</v>
      </c>
      <c r="G665" s="8"/>
      <c r="H665" s="8">
        <v>667</v>
      </c>
      <c r="I665" s="8">
        <v>38.071239471435497</v>
      </c>
      <c r="J665" s="8">
        <v>63.509986877441399</v>
      </c>
      <c r="K665" s="8"/>
      <c r="L665" s="8">
        <v>667</v>
      </c>
      <c r="M665" s="8">
        <v>26.8794841766357</v>
      </c>
      <c r="N665" s="8">
        <v>57.574863433837798</v>
      </c>
      <c r="P665" s="8">
        <f t="shared" si="43"/>
        <v>2247.3255157470689</v>
      </c>
      <c r="Q665">
        <v>666</v>
      </c>
      <c r="R665">
        <v>189.88716125488199</v>
      </c>
      <c r="S665">
        <v>36.799995422363203</v>
      </c>
      <c r="U665">
        <v>666</v>
      </c>
      <c r="V665">
        <v>1479.25537109375</v>
      </c>
      <c r="W665">
        <v>36.799995422363203</v>
      </c>
      <c r="Y665">
        <v>666</v>
      </c>
      <c r="Z665">
        <v>578.18298339843705</v>
      </c>
      <c r="AA665">
        <v>36.799995422363203</v>
      </c>
    </row>
    <row r="666" spans="1:27" x14ac:dyDescent="0.25">
      <c r="A666" s="8">
        <f t="shared" si="40"/>
        <v>668</v>
      </c>
      <c r="B666" s="8">
        <f t="shared" si="41"/>
        <v>1</v>
      </c>
      <c r="C666" s="8">
        <f t="shared" si="42"/>
        <v>508.27066040038903</v>
      </c>
      <c r="D666" s="8">
        <v>668</v>
      </c>
      <c r="E666" s="8">
        <v>233.36190795898401</v>
      </c>
      <c r="F666" s="8">
        <v>35.1716918945312</v>
      </c>
      <c r="G666" s="8"/>
      <c r="H666" s="8">
        <v>668</v>
      </c>
      <c r="I666" s="8">
        <v>165.54872131347599</v>
      </c>
      <c r="J666" s="8">
        <v>39.2325439453125</v>
      </c>
      <c r="K666" s="8"/>
      <c r="L666" s="8">
        <v>668</v>
      </c>
      <c r="M666" s="8">
        <v>109.36003112792901</v>
      </c>
      <c r="N666" s="8">
        <v>34.416454315185497</v>
      </c>
      <c r="P666" s="8">
        <f t="shared" si="43"/>
        <v>2.198883324861526</v>
      </c>
      <c r="Q666">
        <v>667</v>
      </c>
      <c r="R666">
        <v>0.40546539425849898</v>
      </c>
      <c r="S666">
        <v>44.105350494384702</v>
      </c>
      <c r="U666">
        <v>667</v>
      </c>
      <c r="V666">
        <v>1.34516441822052</v>
      </c>
      <c r="W666">
        <v>44.154716491699197</v>
      </c>
      <c r="Y666">
        <v>667</v>
      </c>
      <c r="Z666">
        <v>0.44825351238250699</v>
      </c>
      <c r="AA666">
        <v>44.644725799560497</v>
      </c>
    </row>
    <row r="667" spans="1:27" x14ac:dyDescent="0.25">
      <c r="A667" s="8">
        <f t="shared" si="40"/>
        <v>669</v>
      </c>
      <c r="B667" s="8">
        <f t="shared" si="41"/>
        <v>1</v>
      </c>
      <c r="C667" s="8">
        <f t="shared" si="42"/>
        <v>202.04145050048808</v>
      </c>
      <c r="D667" s="8">
        <v>669</v>
      </c>
      <c r="E667" s="8">
        <v>101.70034027099599</v>
      </c>
      <c r="F667" s="8">
        <v>56.9075317382812</v>
      </c>
      <c r="G667" s="8"/>
      <c r="H667" s="8">
        <v>669</v>
      </c>
      <c r="I667" s="8">
        <v>57.693801879882798</v>
      </c>
      <c r="J667" s="8">
        <v>62.957088470458899</v>
      </c>
      <c r="K667" s="8"/>
      <c r="L667" s="8">
        <v>669</v>
      </c>
      <c r="M667" s="8">
        <v>42.647308349609297</v>
      </c>
      <c r="N667" s="8">
        <v>56.437660217285099</v>
      </c>
      <c r="P667" s="8">
        <f t="shared" si="43"/>
        <v>11.112736642360682</v>
      </c>
      <c r="Q667">
        <v>668</v>
      </c>
      <c r="R667">
        <v>3.37480473518371</v>
      </c>
      <c r="S667">
        <v>46.131019592285099</v>
      </c>
      <c r="U667">
        <v>668</v>
      </c>
      <c r="V667">
        <v>7.0712652206420898</v>
      </c>
      <c r="W667">
        <v>45.486141204833899</v>
      </c>
      <c r="Y667">
        <v>668</v>
      </c>
      <c r="Z667">
        <v>0.66666668653488104</v>
      </c>
      <c r="AA667">
        <v>45.855499267578097</v>
      </c>
    </row>
    <row r="668" spans="1:27" x14ac:dyDescent="0.25">
      <c r="A668" s="8">
        <f t="shared" si="40"/>
        <v>670</v>
      </c>
      <c r="B668" s="8">
        <f t="shared" si="41"/>
        <v>1</v>
      </c>
      <c r="C668" s="8">
        <f t="shared" si="42"/>
        <v>198.49214172363259</v>
      </c>
      <c r="D668" s="8">
        <v>670</v>
      </c>
      <c r="E668" s="8">
        <v>101.604537963867</v>
      </c>
      <c r="F668" s="8">
        <v>39.017620086669901</v>
      </c>
      <c r="G668" s="8"/>
      <c r="H668" s="8">
        <v>670</v>
      </c>
      <c r="I668" s="8">
        <v>56.967128753662102</v>
      </c>
      <c r="J668" s="8">
        <v>44.173915863037102</v>
      </c>
      <c r="K668" s="8"/>
      <c r="L668" s="8">
        <v>670</v>
      </c>
      <c r="M668" s="8">
        <v>39.920475006103501</v>
      </c>
      <c r="N668" s="8">
        <v>37.95259475708</v>
      </c>
      <c r="P668" s="8">
        <f t="shared" si="43"/>
        <v>16.318749666213929</v>
      </c>
      <c r="Q668">
        <v>669</v>
      </c>
      <c r="R668">
        <v>1.37190318107604</v>
      </c>
      <c r="S668">
        <v>32.265323638916001</v>
      </c>
      <c r="U668">
        <v>669</v>
      </c>
      <c r="V668">
        <v>11.398562431335399</v>
      </c>
      <c r="W668">
        <v>32.439342498779297</v>
      </c>
      <c r="Y668">
        <v>669</v>
      </c>
      <c r="Z668">
        <v>3.5482840538024898</v>
      </c>
      <c r="AA668">
        <v>32.499382019042898</v>
      </c>
    </row>
    <row r="669" spans="1:27" x14ac:dyDescent="0.25">
      <c r="A669" s="8">
        <f t="shared" si="40"/>
        <v>671</v>
      </c>
      <c r="B669" s="8">
        <f t="shared" si="41"/>
        <v>1</v>
      </c>
      <c r="C669" s="8">
        <f t="shared" si="42"/>
        <v>175.9094963073729</v>
      </c>
      <c r="D669" s="8">
        <v>671</v>
      </c>
      <c r="E669" s="8">
        <v>88.553970336914006</v>
      </c>
      <c r="F669" s="8">
        <v>36.1780395507812</v>
      </c>
      <c r="G669" s="8"/>
      <c r="H669" s="8">
        <v>671</v>
      </c>
      <c r="I669" s="8">
        <v>51.448818206787102</v>
      </c>
      <c r="J669" s="8">
        <v>41.325981140136697</v>
      </c>
      <c r="K669" s="8"/>
      <c r="L669" s="8">
        <v>671</v>
      </c>
      <c r="M669" s="8">
        <v>35.906707763671797</v>
      </c>
      <c r="N669" s="8">
        <v>35.111442565917898</v>
      </c>
      <c r="P669" s="8">
        <f t="shared" si="43"/>
        <v>58.249874114990149</v>
      </c>
      <c r="Q669">
        <v>670</v>
      </c>
      <c r="R669">
        <v>9.86785888671875</v>
      </c>
      <c r="S669">
        <v>33.008518218994098</v>
      </c>
      <c r="U669">
        <v>670</v>
      </c>
      <c r="V669">
        <v>36.467605590820298</v>
      </c>
      <c r="W669">
        <v>33.079887390136697</v>
      </c>
      <c r="Y669">
        <v>670</v>
      </c>
      <c r="Z669">
        <v>11.914409637451101</v>
      </c>
      <c r="AA669">
        <v>33.123485565185497</v>
      </c>
    </row>
    <row r="670" spans="1:27" x14ac:dyDescent="0.25">
      <c r="A670" s="8">
        <f t="shared" si="40"/>
        <v>672</v>
      </c>
      <c r="B670" s="8">
        <f t="shared" si="41"/>
        <v>1</v>
      </c>
      <c r="C670" s="8">
        <f t="shared" si="42"/>
        <v>154.57762908935541</v>
      </c>
      <c r="D670" s="8">
        <v>672</v>
      </c>
      <c r="E670" s="8">
        <v>69.451393127441406</v>
      </c>
      <c r="F670" s="8">
        <v>34.645904541015597</v>
      </c>
      <c r="G670" s="8"/>
      <c r="H670" s="8">
        <v>672</v>
      </c>
      <c r="I670" s="8">
        <v>50.713233947753899</v>
      </c>
      <c r="J670" s="8">
        <v>38.406745910644503</v>
      </c>
      <c r="K670" s="8"/>
      <c r="L670" s="8">
        <v>672</v>
      </c>
      <c r="M670" s="8">
        <v>34.413002014160099</v>
      </c>
      <c r="N670" s="8">
        <v>33.6788330078125</v>
      </c>
      <c r="P670" s="8">
        <f t="shared" si="43"/>
        <v>64.224493026733299</v>
      </c>
      <c r="Q670">
        <v>671</v>
      </c>
      <c r="R670">
        <v>11.741806983947701</v>
      </c>
      <c r="S670">
        <v>33.519256591796797</v>
      </c>
      <c r="U670">
        <v>671</v>
      </c>
      <c r="V670">
        <v>40.722709655761697</v>
      </c>
      <c r="W670">
        <v>33.547859191894503</v>
      </c>
      <c r="Y670">
        <v>671</v>
      </c>
      <c r="Z670">
        <v>11.759976387023899</v>
      </c>
      <c r="AA670">
        <v>33.572174072265597</v>
      </c>
    </row>
    <row r="671" spans="1:27" x14ac:dyDescent="0.25">
      <c r="A671" s="8">
        <f t="shared" si="40"/>
        <v>673</v>
      </c>
      <c r="B671" s="8">
        <f t="shared" si="41"/>
        <v>1</v>
      </c>
      <c r="C671" s="8">
        <f t="shared" si="42"/>
        <v>208.51110839843687</v>
      </c>
      <c r="D671" s="8">
        <v>673</v>
      </c>
      <c r="E671" s="8">
        <v>109.06092834472599</v>
      </c>
      <c r="F671" s="8">
        <v>46.090000152587798</v>
      </c>
      <c r="G671" s="8"/>
      <c r="H671" s="8">
        <v>673</v>
      </c>
      <c r="I671" s="8">
        <v>59.182170867919901</v>
      </c>
      <c r="J671" s="8">
        <v>49.857944488525298</v>
      </c>
      <c r="K671" s="8"/>
      <c r="L671" s="8">
        <v>673</v>
      </c>
      <c r="M671" s="8">
        <v>40.268009185791001</v>
      </c>
      <c r="N671" s="8">
        <v>45.416328430175703</v>
      </c>
      <c r="P671" s="8">
        <f t="shared" si="43"/>
        <v>124.24209594726538</v>
      </c>
      <c r="Q671">
        <v>672</v>
      </c>
      <c r="R671">
        <v>19.196323394775298</v>
      </c>
      <c r="S671">
        <v>32.436267852783203</v>
      </c>
      <c r="U671">
        <v>672</v>
      </c>
      <c r="V671">
        <v>82.078598022460895</v>
      </c>
      <c r="W671">
        <v>32.462100982666001</v>
      </c>
      <c r="Y671">
        <v>672</v>
      </c>
      <c r="Z671">
        <v>22.967174530029201</v>
      </c>
      <c r="AA671">
        <v>32.512691497802699</v>
      </c>
    </row>
    <row r="672" spans="1:27" x14ac:dyDescent="0.25">
      <c r="A672" s="8">
        <f t="shared" si="40"/>
        <v>674</v>
      </c>
      <c r="B672" s="8">
        <f t="shared" si="41"/>
        <v>1</v>
      </c>
      <c r="C672" s="8">
        <f t="shared" si="42"/>
        <v>459.10214233398352</v>
      </c>
      <c r="D672" s="8">
        <v>674</v>
      </c>
      <c r="E672" s="8">
        <v>201.65902709960901</v>
      </c>
      <c r="F672" s="8">
        <v>29.1938571929931</v>
      </c>
      <c r="G672" s="8"/>
      <c r="H672" s="8">
        <v>674</v>
      </c>
      <c r="I672" s="8">
        <v>158.82383728027301</v>
      </c>
      <c r="J672" s="8">
        <v>33.278881072997997</v>
      </c>
      <c r="K672" s="8"/>
      <c r="L672" s="8">
        <v>674</v>
      </c>
      <c r="M672" s="8">
        <v>98.619277954101506</v>
      </c>
      <c r="N672" s="8">
        <v>28.140943527221602</v>
      </c>
      <c r="P672" s="8">
        <f t="shared" si="43"/>
        <v>0</v>
      </c>
      <c r="Q672">
        <v>673</v>
      </c>
      <c r="R672">
        <v>0</v>
      </c>
      <c r="S672">
        <v>26.749008178710898</v>
      </c>
      <c r="U672">
        <v>673</v>
      </c>
      <c r="V672">
        <v>0</v>
      </c>
      <c r="W672">
        <v>26.725162506103501</v>
      </c>
      <c r="Y672">
        <v>673</v>
      </c>
      <c r="Z672">
        <v>0</v>
      </c>
      <c r="AA672">
        <v>26.741411209106399</v>
      </c>
    </row>
    <row r="673" spans="1:27" x14ac:dyDescent="0.25">
      <c r="A673" s="8">
        <f t="shared" si="40"/>
        <v>675</v>
      </c>
      <c r="B673" s="8">
        <f t="shared" si="41"/>
        <v>1</v>
      </c>
      <c r="C673" s="8">
        <f t="shared" si="42"/>
        <v>295.51564025878878</v>
      </c>
      <c r="D673" s="8">
        <v>675</v>
      </c>
      <c r="E673" s="8">
        <v>126.580108642578</v>
      </c>
      <c r="F673" s="8">
        <v>45.627048492431598</v>
      </c>
      <c r="G673" s="8"/>
      <c r="H673" s="8">
        <v>675</v>
      </c>
      <c r="I673" s="8">
        <v>96.882514953613196</v>
      </c>
      <c r="J673" s="8">
        <v>49.950351715087798</v>
      </c>
      <c r="K673" s="8"/>
      <c r="L673" s="8">
        <v>675</v>
      </c>
      <c r="M673" s="8">
        <v>72.053016662597599</v>
      </c>
      <c r="N673" s="8">
        <v>44.527816772460902</v>
      </c>
      <c r="P673" s="8">
        <f t="shared" si="43"/>
        <v>59.764469146728466</v>
      </c>
      <c r="Q673">
        <v>674</v>
      </c>
      <c r="R673">
        <v>4.3785266876220703</v>
      </c>
      <c r="S673">
        <v>28.864620208740199</v>
      </c>
      <c r="U673">
        <v>674</v>
      </c>
      <c r="V673">
        <v>42.781059265136697</v>
      </c>
      <c r="W673">
        <v>29.324905395507798</v>
      </c>
      <c r="Y673">
        <v>674</v>
      </c>
      <c r="Z673">
        <v>12.6048831939697</v>
      </c>
      <c r="AA673">
        <v>29.541862487792901</v>
      </c>
    </row>
    <row r="674" spans="1:27" x14ac:dyDescent="0.25">
      <c r="A674" s="8">
        <f t="shared" si="40"/>
        <v>676</v>
      </c>
      <c r="B674" s="8">
        <f t="shared" si="41"/>
        <v>1</v>
      </c>
      <c r="C674" s="8">
        <f t="shared" si="42"/>
        <v>36.634654998779176</v>
      </c>
      <c r="D674" s="8">
        <v>676</v>
      </c>
      <c r="E674" s="8">
        <v>9.1697931289672798</v>
      </c>
      <c r="F674" s="8">
        <v>66.075019836425696</v>
      </c>
      <c r="G674" s="8"/>
      <c r="H674" s="8">
        <v>676</v>
      </c>
      <c r="I674" s="8">
        <v>15.099473953246999</v>
      </c>
      <c r="J674" s="8">
        <v>66.634078979492102</v>
      </c>
      <c r="K674" s="8"/>
      <c r="L674" s="8">
        <v>676</v>
      </c>
      <c r="M674" s="8">
        <v>12.365387916564901</v>
      </c>
      <c r="N674" s="8">
        <v>66.447570800781193</v>
      </c>
      <c r="P674" s="8">
        <f t="shared" si="43"/>
        <v>38.687623500823918</v>
      </c>
      <c r="Q674">
        <v>675</v>
      </c>
      <c r="R674">
        <v>7.1844282150268501</v>
      </c>
      <c r="S674">
        <v>16.252342224121001</v>
      </c>
      <c r="U674">
        <v>675</v>
      </c>
      <c r="V674">
        <v>23.7002849578857</v>
      </c>
      <c r="W674">
        <v>16.714593887329102</v>
      </c>
      <c r="Y674">
        <v>675</v>
      </c>
      <c r="Z674">
        <v>7.8029103279113698</v>
      </c>
      <c r="AA674">
        <v>16.981599807739201</v>
      </c>
    </row>
    <row r="675" spans="1:27" x14ac:dyDescent="0.25">
      <c r="A675" s="8">
        <f t="shared" si="40"/>
        <v>677</v>
      </c>
      <c r="B675" s="8">
        <f t="shared" si="41"/>
        <v>1</v>
      </c>
      <c r="C675" s="8">
        <f t="shared" si="42"/>
        <v>93.299861907958899</v>
      </c>
      <c r="D675" s="8">
        <v>677</v>
      </c>
      <c r="E675" s="8">
        <v>35.8498725891113</v>
      </c>
      <c r="F675" s="8">
        <v>73.364143371582003</v>
      </c>
      <c r="G675" s="8"/>
      <c r="H675" s="8">
        <v>677</v>
      </c>
      <c r="I675" s="8">
        <v>25.8856811523437</v>
      </c>
      <c r="J675" s="8">
        <v>76.254127502441406</v>
      </c>
      <c r="K675" s="8"/>
      <c r="L675" s="8">
        <v>677</v>
      </c>
      <c r="M675" s="8">
        <v>31.564308166503899</v>
      </c>
      <c r="N675" s="8">
        <v>73.235565185546804</v>
      </c>
      <c r="P675" s="8">
        <f t="shared" si="43"/>
        <v>17.541658401489251</v>
      </c>
      <c r="Q675">
        <v>676</v>
      </c>
      <c r="R675">
        <v>1.85828638076782</v>
      </c>
      <c r="S675">
        <v>16.536329269409102</v>
      </c>
      <c r="U675">
        <v>676</v>
      </c>
      <c r="V675">
        <v>11.577009201049799</v>
      </c>
      <c r="W675">
        <v>17.160255432128899</v>
      </c>
      <c r="Y675">
        <v>676</v>
      </c>
      <c r="Z675">
        <v>4.10636281967163</v>
      </c>
      <c r="AA675">
        <v>17.259941101074201</v>
      </c>
    </row>
    <row r="676" spans="1:27" x14ac:dyDescent="0.25">
      <c r="A676" s="8">
        <f t="shared" si="40"/>
        <v>678</v>
      </c>
      <c r="B676" s="8">
        <f t="shared" si="41"/>
        <v>1</v>
      </c>
      <c r="C676" s="8">
        <f t="shared" si="42"/>
        <v>85.477617263793803</v>
      </c>
      <c r="D676" s="8">
        <v>678</v>
      </c>
      <c r="E676" s="8">
        <v>33.092857360839801</v>
      </c>
      <c r="F676" s="8">
        <v>66.774795532226506</v>
      </c>
      <c r="G676" s="8"/>
      <c r="H676" s="8">
        <v>678</v>
      </c>
      <c r="I676" s="8">
        <v>23.051902770996001</v>
      </c>
      <c r="J676" s="8">
        <v>69.651992797851506</v>
      </c>
      <c r="K676" s="8"/>
      <c r="L676" s="8">
        <v>678</v>
      </c>
      <c r="M676" s="8">
        <v>29.332857131958001</v>
      </c>
      <c r="N676" s="8">
        <v>66.6290283203125</v>
      </c>
      <c r="P676" s="8">
        <f t="shared" si="43"/>
        <v>5.8154238462448005</v>
      </c>
      <c r="Q676">
        <v>677</v>
      </c>
      <c r="R676">
        <v>1.1845661401748599</v>
      </c>
      <c r="S676">
        <v>37.686840057372997</v>
      </c>
      <c r="U676">
        <v>677</v>
      </c>
      <c r="V676">
        <v>3.0249593257903999</v>
      </c>
      <c r="W676">
        <v>38.365493774413999</v>
      </c>
      <c r="Y676">
        <v>677</v>
      </c>
      <c r="Z676">
        <v>1.6058983802795399</v>
      </c>
      <c r="AA676">
        <v>38.647979736328097</v>
      </c>
    </row>
    <row r="677" spans="1:27" x14ac:dyDescent="0.25">
      <c r="A677" s="8">
        <f t="shared" si="40"/>
        <v>679</v>
      </c>
      <c r="B677" s="8">
        <f t="shared" si="41"/>
        <v>1</v>
      </c>
      <c r="C677" s="8">
        <f t="shared" si="42"/>
        <v>38.487792015075499</v>
      </c>
      <c r="D677" s="8">
        <v>679</v>
      </c>
      <c r="E677" s="8">
        <v>15.263403892516999</v>
      </c>
      <c r="F677" s="8">
        <v>71.239204406738196</v>
      </c>
      <c r="G677" s="8"/>
      <c r="H677" s="8">
        <v>679</v>
      </c>
      <c r="I677" s="8">
        <v>12.944262504577599</v>
      </c>
      <c r="J677" s="8">
        <v>73.894363403320298</v>
      </c>
      <c r="K677" s="8"/>
      <c r="L677" s="8">
        <v>679</v>
      </c>
      <c r="M677" s="8">
        <v>10.2801256179809</v>
      </c>
      <c r="N677" s="8">
        <v>71.712219238281193</v>
      </c>
      <c r="P677" s="8">
        <f t="shared" si="43"/>
        <v>154.62940025329581</v>
      </c>
      <c r="Q677">
        <v>678</v>
      </c>
      <c r="R677">
        <v>25.728427886962798</v>
      </c>
      <c r="S677">
        <v>50.839431762695298</v>
      </c>
      <c r="U677">
        <v>678</v>
      </c>
      <c r="V677">
        <v>96.91455078125</v>
      </c>
      <c r="W677">
        <v>51.383506774902301</v>
      </c>
      <c r="Y677">
        <v>678</v>
      </c>
      <c r="Z677">
        <v>31.986421585083001</v>
      </c>
      <c r="AA677">
        <v>51.499538421630803</v>
      </c>
    </row>
    <row r="678" spans="1:27" x14ac:dyDescent="0.25">
      <c r="A678" s="8">
        <f t="shared" si="40"/>
        <v>680</v>
      </c>
      <c r="B678" s="8">
        <f t="shared" si="41"/>
        <v>1</v>
      </c>
      <c r="C678" s="8">
        <f t="shared" si="42"/>
        <v>54.24796295166</v>
      </c>
      <c r="D678" s="8">
        <v>680</v>
      </c>
      <c r="E678" s="8">
        <v>19.217018127441399</v>
      </c>
      <c r="F678" s="8">
        <v>73.950431823730398</v>
      </c>
      <c r="G678" s="8"/>
      <c r="H678" s="8">
        <v>680</v>
      </c>
      <c r="I678" s="8">
        <v>18.421398162841701</v>
      </c>
      <c r="J678" s="8">
        <v>76.2041015625</v>
      </c>
      <c r="K678" s="8"/>
      <c r="L678" s="8">
        <v>680</v>
      </c>
      <c r="M678" s="8">
        <v>16.6095466613769</v>
      </c>
      <c r="N678" s="8">
        <v>74.050910949707003</v>
      </c>
      <c r="P678" s="8">
        <f t="shared" si="43"/>
        <v>105.18508434295639</v>
      </c>
      <c r="Q678">
        <v>679</v>
      </c>
      <c r="R678">
        <v>12.232302665710399</v>
      </c>
      <c r="S678">
        <v>54.911159515380803</v>
      </c>
      <c r="U678">
        <v>679</v>
      </c>
      <c r="V678">
        <v>70.532752990722599</v>
      </c>
      <c r="W678">
        <v>55.1287422180175</v>
      </c>
      <c r="Y678">
        <v>679</v>
      </c>
      <c r="Z678">
        <v>22.420028686523398</v>
      </c>
      <c r="AA678">
        <v>55.300479888916001</v>
      </c>
    </row>
    <row r="679" spans="1:27" x14ac:dyDescent="0.25">
      <c r="A679" s="8">
        <f t="shared" si="40"/>
        <v>681</v>
      </c>
      <c r="B679" s="8">
        <f t="shared" si="41"/>
        <v>1</v>
      </c>
      <c r="C679" s="8">
        <f t="shared" si="42"/>
        <v>42.323882102966103</v>
      </c>
      <c r="D679" s="8">
        <v>681</v>
      </c>
      <c r="E679" s="8">
        <v>15.2861728668212</v>
      </c>
      <c r="F679" s="8">
        <v>71.277328491210895</v>
      </c>
      <c r="G679" s="8"/>
      <c r="H679" s="8">
        <v>681</v>
      </c>
      <c r="I679" s="8">
        <v>15.4568996429443</v>
      </c>
      <c r="J679" s="8">
        <v>73.111099243164006</v>
      </c>
      <c r="K679" s="8"/>
      <c r="L679" s="8">
        <v>681</v>
      </c>
      <c r="M679" s="8">
        <v>11.5808095932006</v>
      </c>
      <c r="N679" s="8">
        <v>71.908859252929602</v>
      </c>
      <c r="P679" s="8">
        <f t="shared" si="43"/>
        <v>167.29289627075127</v>
      </c>
      <c r="Q679">
        <v>680</v>
      </c>
      <c r="R679">
        <v>34.267765045166001</v>
      </c>
      <c r="S679">
        <v>45.801780700683501</v>
      </c>
      <c r="U679">
        <v>680</v>
      </c>
      <c r="V679">
        <v>110.499046325683</v>
      </c>
      <c r="W679">
        <v>45.817485809326101</v>
      </c>
      <c r="Y679">
        <v>680</v>
      </c>
      <c r="Z679">
        <v>22.526084899902301</v>
      </c>
      <c r="AA679">
        <v>45.811187744140597</v>
      </c>
    </row>
    <row r="680" spans="1:27" x14ac:dyDescent="0.25">
      <c r="A680" s="8">
        <f t="shared" si="40"/>
        <v>682</v>
      </c>
      <c r="B680" s="8">
        <f t="shared" si="41"/>
        <v>1</v>
      </c>
      <c r="C680" s="8">
        <f t="shared" si="42"/>
        <v>234.21035003662098</v>
      </c>
      <c r="D680" s="8">
        <v>682</v>
      </c>
      <c r="E680" s="8">
        <v>77.004837036132798</v>
      </c>
      <c r="F680" s="8">
        <v>77.422508239746094</v>
      </c>
      <c r="G680" s="8"/>
      <c r="H680" s="8">
        <v>682</v>
      </c>
      <c r="I680" s="8">
        <v>78.733078002929602</v>
      </c>
      <c r="J680" s="8">
        <v>79.386405944824205</v>
      </c>
      <c r="K680" s="8"/>
      <c r="L680" s="8">
        <v>682</v>
      </c>
      <c r="M680" s="8">
        <v>78.472434997558594</v>
      </c>
      <c r="N680" s="8">
        <v>75.901931762695298</v>
      </c>
      <c r="P680" s="8">
        <f t="shared" si="43"/>
        <v>167.3136978149405</v>
      </c>
      <c r="Q680">
        <v>681</v>
      </c>
      <c r="R680">
        <v>23.980054855346602</v>
      </c>
      <c r="S680">
        <v>53.149810791015597</v>
      </c>
      <c r="U680">
        <v>681</v>
      </c>
      <c r="V680">
        <v>112.5796585083</v>
      </c>
      <c r="W680">
        <v>53.053924560546797</v>
      </c>
      <c r="Y680">
        <v>681</v>
      </c>
      <c r="Z680">
        <v>30.753984451293899</v>
      </c>
      <c r="AA680">
        <v>53.057605743408203</v>
      </c>
    </row>
    <row r="681" spans="1:27" x14ac:dyDescent="0.25">
      <c r="A681" s="8">
        <f t="shared" si="40"/>
        <v>683</v>
      </c>
      <c r="B681" s="8">
        <f t="shared" si="41"/>
        <v>1</v>
      </c>
      <c r="C681" s="8">
        <f t="shared" si="42"/>
        <v>27.49333286285399</v>
      </c>
      <c r="D681" s="8">
        <v>683</v>
      </c>
      <c r="E681" s="8">
        <v>9.7333335876464808</v>
      </c>
      <c r="F681" s="8">
        <v>80.691749572753906</v>
      </c>
      <c r="G681" s="8"/>
      <c r="H681" s="8">
        <v>683</v>
      </c>
      <c r="I681" s="8">
        <v>10.5466661453247</v>
      </c>
      <c r="J681" s="8">
        <v>81.5506591796875</v>
      </c>
      <c r="K681" s="8"/>
      <c r="L681" s="8">
        <v>683</v>
      </c>
      <c r="M681" s="8">
        <v>7.2133331298828098</v>
      </c>
      <c r="N681" s="8">
        <v>80.873336791992102</v>
      </c>
      <c r="P681" s="8">
        <f t="shared" si="43"/>
        <v>4.7279350757598806</v>
      </c>
      <c r="Q681">
        <v>682</v>
      </c>
      <c r="R681">
        <v>0</v>
      </c>
      <c r="S681">
        <v>16.126245498657202</v>
      </c>
      <c r="U681">
        <v>682</v>
      </c>
      <c r="V681">
        <v>2.4779350757598801</v>
      </c>
      <c r="W681">
        <v>16.1051006317138</v>
      </c>
      <c r="Y681">
        <v>682</v>
      </c>
      <c r="Z681">
        <v>2.25</v>
      </c>
      <c r="AA681">
        <v>16.109054565429599</v>
      </c>
    </row>
    <row r="682" spans="1:27" x14ac:dyDescent="0.25">
      <c r="A682" s="8">
        <f t="shared" si="40"/>
        <v>684</v>
      </c>
      <c r="B682" s="8">
        <f t="shared" si="41"/>
        <v>1</v>
      </c>
      <c r="C682" s="8">
        <f t="shared" si="42"/>
        <v>32.908887863159165</v>
      </c>
      <c r="D682" s="8">
        <v>684</v>
      </c>
      <c r="E682" s="8">
        <v>8.67000007629394</v>
      </c>
      <c r="F682" s="8">
        <v>79.081504821777301</v>
      </c>
      <c r="G682" s="8"/>
      <c r="H682" s="8">
        <v>684</v>
      </c>
      <c r="I682" s="8">
        <v>15.051943778991699</v>
      </c>
      <c r="J682" s="8">
        <v>79.945022583007798</v>
      </c>
      <c r="K682" s="8"/>
      <c r="L682" s="8">
        <v>684</v>
      </c>
      <c r="M682" s="8">
        <v>9.1869440078735298</v>
      </c>
      <c r="N682" s="8">
        <v>79.479911804199205</v>
      </c>
      <c r="P682" s="8">
        <f t="shared" si="43"/>
        <v>0</v>
      </c>
      <c r="Q682">
        <v>683</v>
      </c>
      <c r="R682">
        <v>0</v>
      </c>
      <c r="S682">
        <v>11.5900888442993</v>
      </c>
      <c r="U682">
        <v>683</v>
      </c>
      <c r="V682">
        <v>0</v>
      </c>
      <c r="W682">
        <v>11.5669965744018</v>
      </c>
      <c r="Y682">
        <v>683</v>
      </c>
      <c r="Z682">
        <v>0</v>
      </c>
      <c r="AA682">
        <v>11.612072944641101</v>
      </c>
    </row>
    <row r="683" spans="1:27" x14ac:dyDescent="0.25">
      <c r="A683" s="8">
        <f t="shared" si="40"/>
        <v>685</v>
      </c>
      <c r="B683" s="8">
        <f t="shared" si="41"/>
        <v>1</v>
      </c>
      <c r="C683" s="8">
        <f t="shared" si="42"/>
        <v>6.6000000238418401</v>
      </c>
      <c r="D683" s="8">
        <v>685</v>
      </c>
      <c r="E683" s="8">
        <v>1.3333333730697601</v>
      </c>
      <c r="F683" s="8">
        <v>66.633201599121094</v>
      </c>
      <c r="G683" s="8"/>
      <c r="H683" s="8">
        <v>685</v>
      </c>
      <c r="I683" s="8">
        <v>2.5999999046325599</v>
      </c>
      <c r="J683" s="8">
        <v>67.203704833984304</v>
      </c>
      <c r="K683" s="8"/>
      <c r="L683" s="8">
        <v>685</v>
      </c>
      <c r="M683" s="8">
        <v>2.6666667461395201</v>
      </c>
      <c r="N683" s="8">
        <v>67.050964355468693</v>
      </c>
      <c r="P683" s="8">
        <f t="shared" si="43"/>
        <v>11.460691452026349</v>
      </c>
      <c r="Q683">
        <v>684</v>
      </c>
      <c r="R683">
        <v>2.5032536983489901</v>
      </c>
      <c r="S683">
        <v>37.484947204589801</v>
      </c>
      <c r="U683">
        <v>684</v>
      </c>
      <c r="V683">
        <v>6.4404106140136701</v>
      </c>
      <c r="W683">
        <v>37.814826965332003</v>
      </c>
      <c r="Y683">
        <v>684</v>
      </c>
      <c r="Z683">
        <v>2.5170271396636901</v>
      </c>
      <c r="AA683">
        <v>37.967391967773402</v>
      </c>
    </row>
    <row r="684" spans="1:27" x14ac:dyDescent="0.25">
      <c r="A684" s="8">
        <f t="shared" si="40"/>
        <v>686</v>
      </c>
      <c r="B684" s="8">
        <f t="shared" si="41"/>
        <v>1</v>
      </c>
      <c r="C684" s="8">
        <f t="shared" si="42"/>
        <v>18.209257841110219</v>
      </c>
      <c r="D684" s="8">
        <v>686</v>
      </c>
      <c r="E684" s="8">
        <v>3.87999987602233</v>
      </c>
      <c r="F684" s="8">
        <v>66.094390869140597</v>
      </c>
      <c r="G684" s="8"/>
      <c r="H684" s="8">
        <v>686</v>
      </c>
      <c r="I684" s="8">
        <v>8.6446294784545898</v>
      </c>
      <c r="J684" s="8">
        <v>67.479110717773395</v>
      </c>
      <c r="K684" s="8"/>
      <c r="L684" s="8">
        <v>686</v>
      </c>
      <c r="M684" s="8">
        <v>5.6846284866332999</v>
      </c>
      <c r="N684" s="8">
        <v>66.339599609375</v>
      </c>
      <c r="P684" s="8">
        <f t="shared" si="43"/>
        <v>342.3893203735351</v>
      </c>
      <c r="Q684">
        <v>685</v>
      </c>
      <c r="R684">
        <v>46.2691650390625</v>
      </c>
      <c r="S684">
        <v>50.061508178710902</v>
      </c>
      <c r="U684">
        <v>685</v>
      </c>
      <c r="V684">
        <v>227.99098205566401</v>
      </c>
      <c r="W684">
        <v>50.076301574707003</v>
      </c>
      <c r="Y684">
        <v>685</v>
      </c>
      <c r="Z684">
        <v>68.129173278808594</v>
      </c>
      <c r="AA684">
        <v>50.073822021484297</v>
      </c>
    </row>
    <row r="685" spans="1:27" x14ac:dyDescent="0.25">
      <c r="A685" s="8">
        <f t="shared" si="40"/>
        <v>687</v>
      </c>
      <c r="B685" s="8">
        <f t="shared" si="41"/>
        <v>1</v>
      </c>
      <c r="C685" s="8">
        <f t="shared" si="42"/>
        <v>34.771154403686431</v>
      </c>
      <c r="D685" s="8">
        <v>687</v>
      </c>
      <c r="E685" s="8">
        <v>15.483334541320801</v>
      </c>
      <c r="F685" s="8">
        <v>49.817764282226499</v>
      </c>
      <c r="G685" s="8"/>
      <c r="H685" s="8">
        <v>687</v>
      </c>
      <c r="I685" s="8">
        <v>12.587820053100501</v>
      </c>
      <c r="J685" s="8">
        <v>50.814701080322202</v>
      </c>
      <c r="K685" s="8"/>
      <c r="L685" s="8">
        <v>687</v>
      </c>
      <c r="M685" s="8">
        <v>6.6999998092651296</v>
      </c>
      <c r="N685" s="8">
        <v>49.872215270996001</v>
      </c>
      <c r="P685" s="8">
        <f t="shared" si="43"/>
        <v>77.143173217773295</v>
      </c>
      <c r="Q685">
        <v>686</v>
      </c>
      <c r="R685">
        <v>16.510347366333001</v>
      </c>
      <c r="S685">
        <v>18.2992134094238</v>
      </c>
      <c r="U685">
        <v>686</v>
      </c>
      <c r="V685">
        <v>47.022422790527301</v>
      </c>
      <c r="W685">
        <v>18.351467132568299</v>
      </c>
      <c r="Y685">
        <v>686</v>
      </c>
      <c r="Z685">
        <v>13.610403060913001</v>
      </c>
      <c r="AA685">
        <v>18.396875381469702</v>
      </c>
    </row>
    <row r="686" spans="1:27" x14ac:dyDescent="0.25">
      <c r="A686" s="8">
        <f t="shared" si="40"/>
        <v>688</v>
      </c>
      <c r="B686" s="8">
        <f t="shared" si="41"/>
        <v>1</v>
      </c>
      <c r="C686" s="8">
        <f t="shared" si="42"/>
        <v>23.101602554321271</v>
      </c>
      <c r="D686" s="8">
        <v>688</v>
      </c>
      <c r="E686" s="8">
        <v>8.44166660308837</v>
      </c>
      <c r="F686" s="8">
        <v>55.996437072753899</v>
      </c>
      <c r="G686" s="8"/>
      <c r="H686" s="8">
        <v>688</v>
      </c>
      <c r="I686" s="8">
        <v>9.1666669845581001</v>
      </c>
      <c r="J686" s="8">
        <v>56.618640899658203</v>
      </c>
      <c r="K686" s="8"/>
      <c r="L686" s="8">
        <v>688</v>
      </c>
      <c r="M686" s="8">
        <v>5.4932689666748002</v>
      </c>
      <c r="N686" s="8">
        <v>56.290027618408203</v>
      </c>
      <c r="P686" s="8">
        <f t="shared" si="43"/>
        <v>35.370282649993797</v>
      </c>
      <c r="Q686">
        <v>687</v>
      </c>
      <c r="R686">
        <v>5.5918159484863201</v>
      </c>
      <c r="S686">
        <v>18.609968185424801</v>
      </c>
      <c r="U686">
        <v>687</v>
      </c>
      <c r="V686">
        <v>22.489059448242099</v>
      </c>
      <c r="W686">
        <v>18.564680099487301</v>
      </c>
      <c r="Y686">
        <v>687</v>
      </c>
      <c r="Z686">
        <v>7.28940725326538</v>
      </c>
      <c r="AA686">
        <v>18.528759002685501</v>
      </c>
    </row>
    <row r="687" spans="1:27" x14ac:dyDescent="0.25">
      <c r="A687" s="8">
        <f t="shared" si="40"/>
        <v>689</v>
      </c>
      <c r="B687" s="8">
        <f t="shared" si="41"/>
        <v>1</v>
      </c>
      <c r="C687" s="8">
        <f t="shared" si="42"/>
        <v>19.375550270080559</v>
      </c>
      <c r="D687" s="8">
        <v>689</v>
      </c>
      <c r="E687" s="8">
        <v>9.7086544036865199</v>
      </c>
      <c r="F687" s="8">
        <v>50.669445037841797</v>
      </c>
      <c r="G687" s="8"/>
      <c r="H687" s="8">
        <v>689</v>
      </c>
      <c r="I687" s="8">
        <v>4.5754122734069798</v>
      </c>
      <c r="J687" s="8">
        <v>51.5219116210937</v>
      </c>
      <c r="K687" s="8"/>
      <c r="L687" s="8">
        <v>689</v>
      </c>
      <c r="M687" s="8">
        <v>5.0914835929870597</v>
      </c>
      <c r="N687" s="8">
        <v>50.937122344970703</v>
      </c>
      <c r="P687" s="8">
        <f t="shared" si="43"/>
        <v>0</v>
      </c>
      <c r="Q687">
        <v>688</v>
      </c>
      <c r="R687">
        <v>0</v>
      </c>
      <c r="S687">
        <v>36.530067443847599</v>
      </c>
      <c r="U687">
        <v>688</v>
      </c>
      <c r="V687">
        <v>0</v>
      </c>
      <c r="W687">
        <v>36.707122802734297</v>
      </c>
      <c r="Y687">
        <v>688</v>
      </c>
      <c r="Z687">
        <v>0</v>
      </c>
      <c r="AA687">
        <v>36.781929016113203</v>
      </c>
    </row>
    <row r="688" spans="1:27" x14ac:dyDescent="0.25">
      <c r="A688" s="8">
        <f t="shared" si="40"/>
        <v>690</v>
      </c>
      <c r="B688" s="8">
        <f t="shared" si="41"/>
        <v>1</v>
      </c>
      <c r="C688" s="8">
        <f t="shared" si="42"/>
        <v>80.581039428710795</v>
      </c>
      <c r="D688" s="8">
        <v>690</v>
      </c>
      <c r="E688" s="8">
        <v>24.700002670288001</v>
      </c>
      <c r="F688" s="8">
        <v>56.509590148925703</v>
      </c>
      <c r="G688" s="8"/>
      <c r="H688" s="8">
        <v>690</v>
      </c>
      <c r="I688" s="8">
        <v>33.569522857666001</v>
      </c>
      <c r="J688" s="8">
        <v>58.154449462890597</v>
      </c>
      <c r="K688" s="8"/>
      <c r="L688" s="8">
        <v>690</v>
      </c>
      <c r="M688" s="8">
        <v>22.3115139007568</v>
      </c>
      <c r="N688" s="8">
        <v>56.829135894775298</v>
      </c>
      <c r="P688" s="8">
        <f t="shared" si="43"/>
        <v>2.3068182468414302</v>
      </c>
      <c r="Q688">
        <v>689</v>
      </c>
      <c r="R688">
        <v>0</v>
      </c>
      <c r="S688">
        <v>30.8392829895019</v>
      </c>
      <c r="U688">
        <v>689</v>
      </c>
      <c r="V688">
        <v>2.3068182468414302</v>
      </c>
      <c r="W688">
        <v>31.108663558959901</v>
      </c>
      <c r="Y688">
        <v>689</v>
      </c>
      <c r="Z688">
        <v>0</v>
      </c>
      <c r="AA688">
        <v>31.286766052246001</v>
      </c>
    </row>
    <row r="689" spans="1:27" x14ac:dyDescent="0.25">
      <c r="A689" s="8">
        <f t="shared" si="40"/>
        <v>691</v>
      </c>
      <c r="B689" s="8">
        <f t="shared" si="41"/>
        <v>1</v>
      </c>
      <c r="C689" s="8">
        <f t="shared" si="42"/>
        <v>413.43810272216706</v>
      </c>
      <c r="D689" s="8">
        <v>691</v>
      </c>
      <c r="E689" s="8">
        <v>158.80802917480401</v>
      </c>
      <c r="F689" s="8">
        <v>77.148017883300696</v>
      </c>
      <c r="G689" s="8"/>
      <c r="H689" s="8">
        <v>691</v>
      </c>
      <c r="I689" s="8">
        <v>154.67291259765599</v>
      </c>
      <c r="J689" s="8">
        <v>78.356750488281193</v>
      </c>
      <c r="K689" s="8"/>
      <c r="L689" s="8">
        <v>691</v>
      </c>
      <c r="M689" s="8">
        <v>99.957160949707003</v>
      </c>
      <c r="N689" s="8">
        <v>77.869407653808594</v>
      </c>
      <c r="P689" s="8">
        <f t="shared" si="43"/>
        <v>78.214852333068706</v>
      </c>
      <c r="Q689">
        <v>690</v>
      </c>
      <c r="R689">
        <v>13.018009185791</v>
      </c>
      <c r="S689">
        <v>42.4739379882812</v>
      </c>
      <c r="U689">
        <v>690</v>
      </c>
      <c r="V689">
        <v>53.313205718994098</v>
      </c>
      <c r="W689">
        <v>42.680923461913999</v>
      </c>
      <c r="Y689">
        <v>690</v>
      </c>
      <c r="Z689">
        <v>11.883637428283601</v>
      </c>
      <c r="AA689">
        <v>42.667144775390597</v>
      </c>
    </row>
    <row r="690" spans="1:27" x14ac:dyDescent="0.25">
      <c r="A690" s="8">
        <f t="shared" si="40"/>
        <v>692</v>
      </c>
      <c r="B690" s="8">
        <f t="shared" si="41"/>
        <v>1</v>
      </c>
      <c r="C690" s="8">
        <f t="shared" si="42"/>
        <v>113.6541728973388</v>
      </c>
      <c r="D690" s="8">
        <v>692</v>
      </c>
      <c r="E690" s="8">
        <v>41.491275787353501</v>
      </c>
      <c r="F690" s="8">
        <v>78.034698486328097</v>
      </c>
      <c r="G690" s="8"/>
      <c r="H690" s="8">
        <v>692</v>
      </c>
      <c r="I690" s="8">
        <v>42.523147583007798</v>
      </c>
      <c r="J690" s="8">
        <v>81.933555603027301</v>
      </c>
      <c r="K690" s="8"/>
      <c r="L690" s="8">
        <v>692</v>
      </c>
      <c r="M690" s="8">
        <v>29.6397495269775</v>
      </c>
      <c r="N690" s="8">
        <v>78.548240661621094</v>
      </c>
      <c r="P690" s="8">
        <f t="shared" si="43"/>
        <v>2.66814205050468</v>
      </c>
      <c r="Q690">
        <v>691</v>
      </c>
      <c r="R690">
        <v>0.25</v>
      </c>
      <c r="S690">
        <v>39.815044403076101</v>
      </c>
      <c r="U690">
        <v>691</v>
      </c>
      <c r="V690">
        <v>2.1458332538604701</v>
      </c>
      <c r="W690">
        <v>40.182136535644503</v>
      </c>
      <c r="Y690">
        <v>691</v>
      </c>
      <c r="Z690">
        <v>0.27230879664420998</v>
      </c>
      <c r="AA690">
        <v>40.460731506347599</v>
      </c>
    </row>
    <row r="691" spans="1:27" x14ac:dyDescent="0.25">
      <c r="A691" s="8">
        <f t="shared" si="40"/>
        <v>693</v>
      </c>
      <c r="B691" s="8">
        <f t="shared" si="41"/>
        <v>1</v>
      </c>
      <c r="C691" s="8">
        <f t="shared" si="42"/>
        <v>418.31829071044797</v>
      </c>
      <c r="D691" s="8">
        <v>693</v>
      </c>
      <c r="E691" s="8">
        <v>161.310623168945</v>
      </c>
      <c r="F691" s="8">
        <v>72.083801269531193</v>
      </c>
      <c r="G691" s="8"/>
      <c r="H691" s="8">
        <v>693</v>
      </c>
      <c r="I691" s="8">
        <v>155.91532897949199</v>
      </c>
      <c r="J691" s="8">
        <v>73.221260070800696</v>
      </c>
      <c r="K691" s="8"/>
      <c r="L691" s="8">
        <v>693</v>
      </c>
      <c r="M691" s="8">
        <v>101.09233856201099</v>
      </c>
      <c r="N691" s="8">
        <v>72.754264831542898</v>
      </c>
      <c r="P691" s="8">
        <f t="shared" si="43"/>
        <v>341.12192916870112</v>
      </c>
      <c r="Q691">
        <v>692</v>
      </c>
      <c r="R691">
        <v>47.443424224853501</v>
      </c>
      <c r="S691">
        <v>47.91455078125</v>
      </c>
      <c r="U691">
        <v>692</v>
      </c>
      <c r="V691">
        <v>228.14794921875</v>
      </c>
      <c r="W691">
        <v>47.818931579589801</v>
      </c>
      <c r="Y691">
        <v>692</v>
      </c>
      <c r="Z691">
        <v>65.530555725097599</v>
      </c>
      <c r="AA691">
        <v>47.758205413818303</v>
      </c>
    </row>
    <row r="692" spans="1:27" x14ac:dyDescent="0.25">
      <c r="A692" s="8">
        <f t="shared" si="40"/>
        <v>694</v>
      </c>
      <c r="B692" s="8">
        <f t="shared" si="41"/>
        <v>1</v>
      </c>
      <c r="C692" s="8">
        <f t="shared" si="42"/>
        <v>538.38638305664006</v>
      </c>
      <c r="D692" s="8">
        <v>694</v>
      </c>
      <c r="E692" s="8">
        <v>203.64088439941401</v>
      </c>
      <c r="F692" s="8">
        <v>71.380638122558594</v>
      </c>
      <c r="G692" s="8"/>
      <c r="H692" s="8">
        <v>694</v>
      </c>
      <c r="I692" s="8">
        <v>195.73440551757801</v>
      </c>
      <c r="J692" s="8">
        <v>75.344268798828097</v>
      </c>
      <c r="K692" s="8"/>
      <c r="L692" s="8">
        <v>694</v>
      </c>
      <c r="M692" s="8">
        <v>139.01109313964801</v>
      </c>
      <c r="N692" s="8">
        <v>71.898902893066406</v>
      </c>
      <c r="P692" s="8">
        <f t="shared" si="43"/>
        <v>119.9202766418455</v>
      </c>
      <c r="Q692">
        <v>693</v>
      </c>
      <c r="R692">
        <v>17.740953445434499</v>
      </c>
      <c r="S692">
        <v>50.9649238586425</v>
      </c>
      <c r="U692">
        <v>693</v>
      </c>
      <c r="V692">
        <v>80.480117797851506</v>
      </c>
      <c r="W692">
        <v>50.9908447265625</v>
      </c>
      <c r="Y692">
        <v>693</v>
      </c>
      <c r="Z692">
        <v>21.699205398559499</v>
      </c>
      <c r="AA692">
        <v>51.075874328613203</v>
      </c>
    </row>
    <row r="693" spans="1:27" x14ac:dyDescent="0.25">
      <c r="A693" s="8">
        <f t="shared" si="40"/>
        <v>695</v>
      </c>
      <c r="B693" s="8">
        <f t="shared" si="41"/>
        <v>1</v>
      </c>
      <c r="C693" s="8">
        <f t="shared" si="42"/>
        <v>502.26646423339702</v>
      </c>
      <c r="D693" s="8">
        <v>695</v>
      </c>
      <c r="E693" s="8">
        <v>185.600326538085</v>
      </c>
      <c r="F693" s="8">
        <v>83.190261840820298</v>
      </c>
      <c r="G693" s="8"/>
      <c r="H693" s="8">
        <v>695</v>
      </c>
      <c r="I693" s="8">
        <v>188.54112243652301</v>
      </c>
      <c r="J693" s="8">
        <v>85.918525695800696</v>
      </c>
      <c r="K693" s="8"/>
      <c r="L693" s="8">
        <v>695</v>
      </c>
      <c r="M693" s="8">
        <v>128.12501525878901</v>
      </c>
      <c r="N693" s="8">
        <v>83.935844421386705</v>
      </c>
      <c r="P693" s="8">
        <f t="shared" si="43"/>
        <v>29.368859291076621</v>
      </c>
      <c r="Q693">
        <v>694</v>
      </c>
      <c r="R693">
        <v>5.08396196365356</v>
      </c>
      <c r="S693">
        <v>31.870397567748999</v>
      </c>
      <c r="U693">
        <v>694</v>
      </c>
      <c r="V693">
        <v>17.3101997375488</v>
      </c>
      <c r="W693">
        <v>32.270534515380803</v>
      </c>
      <c r="Y693">
        <v>694</v>
      </c>
      <c r="Z693">
        <v>6.9746975898742596</v>
      </c>
      <c r="AA693">
        <v>32.297763824462798</v>
      </c>
    </row>
    <row r="694" spans="1:27" x14ac:dyDescent="0.25">
      <c r="A694" s="8">
        <f t="shared" si="40"/>
        <v>696</v>
      </c>
      <c r="B694" s="8">
        <f t="shared" si="41"/>
        <v>1</v>
      </c>
      <c r="C694" s="8">
        <f t="shared" si="42"/>
        <v>28.435123443603487</v>
      </c>
      <c r="D694" s="8">
        <v>696</v>
      </c>
      <c r="E694" s="8">
        <v>12.515811920166</v>
      </c>
      <c r="F694" s="8">
        <v>49.594646453857401</v>
      </c>
      <c r="G694" s="8"/>
      <c r="H694" s="8">
        <v>696</v>
      </c>
      <c r="I694" s="8">
        <v>8.0352382659912092</v>
      </c>
      <c r="J694" s="8">
        <v>51.136157989501903</v>
      </c>
      <c r="K694" s="8"/>
      <c r="L694" s="8">
        <v>696</v>
      </c>
      <c r="M694" s="8">
        <v>7.8840732574462802</v>
      </c>
      <c r="N694" s="8">
        <v>50.119071960449197</v>
      </c>
      <c r="P694" s="8">
        <f t="shared" si="43"/>
        <v>0</v>
      </c>
      <c r="Q694">
        <v>695</v>
      </c>
      <c r="R694">
        <v>0</v>
      </c>
      <c r="S694">
        <v>10.7995052337646</v>
      </c>
      <c r="U694">
        <v>695</v>
      </c>
      <c r="V694">
        <v>0</v>
      </c>
      <c r="W694">
        <v>10.969590187072701</v>
      </c>
      <c r="Y694">
        <v>695</v>
      </c>
      <c r="Z694">
        <v>0</v>
      </c>
      <c r="AA694">
        <v>11.028682708740201</v>
      </c>
    </row>
    <row r="695" spans="1:27" x14ac:dyDescent="0.25">
      <c r="A695" s="8">
        <f t="shared" si="40"/>
        <v>697</v>
      </c>
      <c r="B695" s="8">
        <f t="shared" si="41"/>
        <v>1</v>
      </c>
      <c r="C695" s="8">
        <f t="shared" si="42"/>
        <v>48.397427558898698</v>
      </c>
      <c r="D695" s="8">
        <v>697</v>
      </c>
      <c r="E695" s="8">
        <v>18.600038528442301</v>
      </c>
      <c r="F695" s="8">
        <v>39.830329895019503</v>
      </c>
      <c r="G695" s="8"/>
      <c r="H695" s="8">
        <v>697</v>
      </c>
      <c r="I695" s="8">
        <v>18.327419281005799</v>
      </c>
      <c r="J695" s="8">
        <v>40.360530853271399</v>
      </c>
      <c r="K695" s="8"/>
      <c r="L695" s="8">
        <v>697</v>
      </c>
      <c r="M695" s="8">
        <v>11.4699697494506</v>
      </c>
      <c r="N695" s="8">
        <v>40.189277648925703</v>
      </c>
      <c r="P695" s="8">
        <f t="shared" si="43"/>
        <v>0</v>
      </c>
      <c r="Q695">
        <v>696</v>
      </c>
      <c r="R695">
        <v>0</v>
      </c>
      <c r="S695">
        <v>10.7179155349731</v>
      </c>
      <c r="U695">
        <v>696</v>
      </c>
      <c r="V695">
        <v>0</v>
      </c>
      <c r="W695">
        <v>10.8541603088378</v>
      </c>
      <c r="Y695">
        <v>696</v>
      </c>
      <c r="Z695">
        <v>0</v>
      </c>
      <c r="AA695">
        <v>10.868746757507299</v>
      </c>
    </row>
    <row r="696" spans="1:27" x14ac:dyDescent="0.25">
      <c r="A696" s="8">
        <f t="shared" si="40"/>
        <v>698</v>
      </c>
      <c r="B696" s="8">
        <f t="shared" si="41"/>
        <v>1</v>
      </c>
      <c r="C696" s="8">
        <f t="shared" si="42"/>
        <v>66.759008407592603</v>
      </c>
      <c r="D696" s="8">
        <v>698</v>
      </c>
      <c r="E696" s="8">
        <v>26.983970642089801</v>
      </c>
      <c r="F696" s="8">
        <v>40.260993957519503</v>
      </c>
      <c r="G696" s="8"/>
      <c r="H696" s="8">
        <v>698</v>
      </c>
      <c r="I696" s="8">
        <v>19.4059524536132</v>
      </c>
      <c r="J696" s="8">
        <v>41.023422241210902</v>
      </c>
      <c r="K696" s="8"/>
      <c r="L696" s="8">
        <v>698</v>
      </c>
      <c r="M696" s="8">
        <v>20.369085311889599</v>
      </c>
      <c r="N696" s="8">
        <v>40.528663635253899</v>
      </c>
      <c r="P696" s="8">
        <f t="shared" si="43"/>
        <v>46.608633995056138</v>
      </c>
      <c r="Q696">
        <v>697</v>
      </c>
      <c r="R696">
        <v>7.2927389144897399</v>
      </c>
      <c r="S696">
        <v>26.116481781005799</v>
      </c>
      <c r="U696">
        <v>697</v>
      </c>
      <c r="V696">
        <v>30.290643692016602</v>
      </c>
      <c r="W696">
        <v>26.293392181396399</v>
      </c>
      <c r="Y696">
        <v>697</v>
      </c>
      <c r="Z696">
        <v>9.0252513885497994</v>
      </c>
      <c r="AA696">
        <v>26.403419494628899</v>
      </c>
    </row>
    <row r="697" spans="1:27" x14ac:dyDescent="0.25">
      <c r="A697" s="8">
        <f t="shared" si="40"/>
        <v>699</v>
      </c>
      <c r="B697" s="8">
        <f t="shared" si="41"/>
        <v>1</v>
      </c>
      <c r="C697" s="8">
        <f t="shared" si="42"/>
        <v>53.9114408493041</v>
      </c>
      <c r="D697" s="8">
        <v>699</v>
      </c>
      <c r="E697" s="8">
        <v>22.2723274230957</v>
      </c>
      <c r="F697" s="8">
        <v>29.2155246734619</v>
      </c>
      <c r="G697" s="8"/>
      <c r="H697" s="8">
        <v>699</v>
      </c>
      <c r="I697" s="8">
        <v>19.0153713226318</v>
      </c>
      <c r="J697" s="8">
        <v>29.635898590087798</v>
      </c>
      <c r="K697" s="8"/>
      <c r="L697" s="8">
        <v>699</v>
      </c>
      <c r="M697" s="8">
        <v>12.6237421035766</v>
      </c>
      <c r="N697" s="8">
        <v>29.394138336181602</v>
      </c>
      <c r="P697" s="8">
        <f t="shared" si="43"/>
        <v>45.275146961212116</v>
      </c>
      <c r="Q697">
        <v>698</v>
      </c>
      <c r="R697">
        <v>7.2530598640441797</v>
      </c>
      <c r="S697">
        <v>26.3382759094238</v>
      </c>
      <c r="U697">
        <v>698</v>
      </c>
      <c r="V697">
        <v>28.9248352050781</v>
      </c>
      <c r="W697">
        <v>26.364252090454102</v>
      </c>
      <c r="Y697">
        <v>698</v>
      </c>
      <c r="Z697">
        <v>9.0972518920898402</v>
      </c>
      <c r="AA697">
        <v>26.3184814453125</v>
      </c>
    </row>
    <row r="698" spans="1:27" x14ac:dyDescent="0.25">
      <c r="A698" s="8">
        <f t="shared" si="40"/>
        <v>700</v>
      </c>
      <c r="B698" s="8">
        <f t="shared" si="41"/>
        <v>1</v>
      </c>
      <c r="C698" s="8">
        <f t="shared" si="42"/>
        <v>43.787658691406101</v>
      </c>
      <c r="D698" s="8">
        <v>700</v>
      </c>
      <c r="E698" s="8">
        <v>18.6861476898193</v>
      </c>
      <c r="F698" s="8">
        <v>28.589412689208899</v>
      </c>
      <c r="G698" s="8"/>
      <c r="H698" s="8">
        <v>700</v>
      </c>
      <c r="I698" s="8">
        <v>12.704490661621</v>
      </c>
      <c r="J698" s="8">
        <v>29.008277893066399</v>
      </c>
      <c r="K698" s="8"/>
      <c r="L698" s="8">
        <v>700</v>
      </c>
      <c r="M698" s="8">
        <v>12.397020339965801</v>
      </c>
      <c r="N698" s="8">
        <v>28.7853889465332</v>
      </c>
      <c r="P698" s="8">
        <f t="shared" si="43"/>
        <v>122.03957462310771</v>
      </c>
      <c r="Q698">
        <v>699</v>
      </c>
      <c r="R698">
        <v>13.150341987609799</v>
      </c>
      <c r="S698">
        <v>24.440456390380799</v>
      </c>
      <c r="U698">
        <v>699</v>
      </c>
      <c r="V698">
        <v>79.898017883300696</v>
      </c>
      <c r="W698">
        <v>24.829444885253899</v>
      </c>
      <c r="Y698">
        <v>699</v>
      </c>
      <c r="Z698">
        <v>28.991214752197202</v>
      </c>
      <c r="AA698">
        <v>24.785148620605401</v>
      </c>
    </row>
    <row r="699" spans="1:27" x14ac:dyDescent="0.25">
      <c r="A699" s="8">
        <f t="shared" si="40"/>
        <v>701</v>
      </c>
      <c r="B699" s="8">
        <f t="shared" si="41"/>
        <v>1</v>
      </c>
      <c r="C699" s="8">
        <f t="shared" si="42"/>
        <v>113.2059764862059</v>
      </c>
      <c r="D699" s="8">
        <v>701</v>
      </c>
      <c r="E699" s="8">
        <v>50.016452789306598</v>
      </c>
      <c r="F699" s="8">
        <v>64.148963928222599</v>
      </c>
      <c r="G699" s="8"/>
      <c r="H699" s="8">
        <v>701</v>
      </c>
      <c r="I699" s="8">
        <v>35.277137756347599</v>
      </c>
      <c r="J699" s="8">
        <v>66.818153381347599</v>
      </c>
      <c r="K699" s="8"/>
      <c r="L699" s="8">
        <v>701</v>
      </c>
      <c r="M699" s="8">
        <v>27.912385940551701</v>
      </c>
      <c r="N699" s="8">
        <v>65.109924316406193</v>
      </c>
      <c r="P699" s="8">
        <f t="shared" si="43"/>
        <v>168.96378135681078</v>
      </c>
      <c r="Q699">
        <v>700</v>
      </c>
      <c r="R699">
        <v>20.090093612670898</v>
      </c>
      <c r="S699">
        <v>27.547805786132798</v>
      </c>
      <c r="U699">
        <v>700</v>
      </c>
      <c r="V699">
        <v>107.68560028076099</v>
      </c>
      <c r="W699">
        <v>28.0577278137207</v>
      </c>
      <c r="Y699">
        <v>700</v>
      </c>
      <c r="Z699">
        <v>41.188087463378899</v>
      </c>
      <c r="AA699">
        <v>28.180200576782202</v>
      </c>
    </row>
    <row r="700" spans="1:27" x14ac:dyDescent="0.25">
      <c r="A700" s="8">
        <f t="shared" si="40"/>
        <v>702</v>
      </c>
      <c r="B700" s="8">
        <f t="shared" si="41"/>
        <v>1</v>
      </c>
      <c r="C700" s="8">
        <f t="shared" si="42"/>
        <v>79.083467483520394</v>
      </c>
      <c r="D700" s="8">
        <v>702</v>
      </c>
      <c r="E700" s="8">
        <v>37.412345886230398</v>
      </c>
      <c r="F700" s="8">
        <v>64.594963073730398</v>
      </c>
      <c r="G700" s="8"/>
      <c r="H700" s="8">
        <v>702</v>
      </c>
      <c r="I700" s="8">
        <v>20.6946506500244</v>
      </c>
      <c r="J700" s="8">
        <v>66.814842224121094</v>
      </c>
      <c r="K700" s="8"/>
      <c r="L700" s="8">
        <v>702</v>
      </c>
      <c r="M700" s="8">
        <v>20.9764709472656</v>
      </c>
      <c r="N700" s="8">
        <v>65.594429016113196</v>
      </c>
      <c r="P700" s="8">
        <f t="shared" si="43"/>
        <v>119.0395689010619</v>
      </c>
      <c r="Q700">
        <v>701</v>
      </c>
      <c r="R700">
        <v>12.150341987609799</v>
      </c>
      <c r="S700">
        <v>24.372978210449201</v>
      </c>
      <c r="U700">
        <v>701</v>
      </c>
      <c r="V700">
        <v>77.981346130371094</v>
      </c>
      <c r="W700">
        <v>24.597894668579102</v>
      </c>
      <c r="Y700">
        <v>701</v>
      </c>
      <c r="Z700">
        <v>28.907880783081001</v>
      </c>
      <c r="AA700">
        <v>24.564449310302699</v>
      </c>
    </row>
    <row r="701" spans="1:27" x14ac:dyDescent="0.25">
      <c r="A701" s="8">
        <f t="shared" si="40"/>
        <v>703</v>
      </c>
      <c r="B701" s="8">
        <f t="shared" si="41"/>
        <v>1</v>
      </c>
      <c r="C701" s="8">
        <f t="shared" si="42"/>
        <v>15.13291311264037</v>
      </c>
      <c r="D701" s="8">
        <v>703</v>
      </c>
      <c r="E701" s="8">
        <v>7.1222295761108398</v>
      </c>
      <c r="F701" s="8">
        <v>62.236812591552699</v>
      </c>
      <c r="G701" s="8"/>
      <c r="H701" s="8">
        <v>703</v>
      </c>
      <c r="I701" s="8">
        <v>3.8699150085449201</v>
      </c>
      <c r="J701" s="8">
        <v>64.550849914550696</v>
      </c>
      <c r="K701" s="8"/>
      <c r="L701" s="8">
        <v>703</v>
      </c>
      <c r="M701" s="8">
        <v>4.1407685279846103</v>
      </c>
      <c r="N701" s="8">
        <v>63.238460540771399</v>
      </c>
      <c r="P701" s="8">
        <f t="shared" si="43"/>
        <v>141.89025688171378</v>
      </c>
      <c r="Q701">
        <v>702</v>
      </c>
      <c r="R701">
        <v>19.340093612670898</v>
      </c>
      <c r="S701">
        <v>24.099758148193299</v>
      </c>
      <c r="U701">
        <v>702</v>
      </c>
      <c r="V701">
        <v>86.409690856933594</v>
      </c>
      <c r="W701">
        <v>24.464036941528299</v>
      </c>
      <c r="Y701">
        <v>702</v>
      </c>
      <c r="Z701">
        <v>36.140472412109297</v>
      </c>
      <c r="AA701">
        <v>24.569084167480401</v>
      </c>
    </row>
    <row r="702" spans="1:27" x14ac:dyDescent="0.25">
      <c r="A702" s="8">
        <f t="shared" si="40"/>
        <v>704</v>
      </c>
      <c r="B702" s="8">
        <f t="shared" si="41"/>
        <v>1</v>
      </c>
      <c r="C702" s="8">
        <f t="shared" si="42"/>
        <v>28.13792133331291</v>
      </c>
      <c r="D702" s="8">
        <v>704</v>
      </c>
      <c r="E702" s="8">
        <v>10.051527023315399</v>
      </c>
      <c r="F702" s="8">
        <v>29.2886447906494</v>
      </c>
      <c r="G702" s="8"/>
      <c r="H702" s="8">
        <v>704</v>
      </c>
      <c r="I702" s="8">
        <v>11.256628990173301</v>
      </c>
      <c r="J702" s="8">
        <v>29.905418395996001</v>
      </c>
      <c r="K702" s="8"/>
      <c r="L702" s="8">
        <v>704</v>
      </c>
      <c r="M702" s="8">
        <v>6.8297653198242099</v>
      </c>
      <c r="N702" s="8">
        <v>29.685785293579102</v>
      </c>
      <c r="P702" s="8">
        <f t="shared" si="43"/>
        <v>56.012763023376465</v>
      </c>
      <c r="Q702">
        <v>703</v>
      </c>
      <c r="R702">
        <v>9.0274572372436506</v>
      </c>
      <c r="S702">
        <v>22.5741653442382</v>
      </c>
      <c r="U702">
        <v>703</v>
      </c>
      <c r="V702">
        <v>38.19775390625</v>
      </c>
      <c r="W702">
        <v>22.882013320922798</v>
      </c>
      <c r="Y702">
        <v>703</v>
      </c>
      <c r="Z702">
        <v>8.7875518798828107</v>
      </c>
      <c r="AA702">
        <v>22.8509826660156</v>
      </c>
    </row>
    <row r="703" spans="1:27" x14ac:dyDescent="0.25">
      <c r="A703" s="8">
        <f t="shared" si="40"/>
        <v>705</v>
      </c>
      <c r="B703" s="8">
        <f t="shared" si="41"/>
        <v>1</v>
      </c>
      <c r="C703" s="8">
        <f t="shared" si="42"/>
        <v>26.333264350891092</v>
      </c>
      <c r="D703" s="8">
        <v>705</v>
      </c>
      <c r="E703" s="8">
        <v>10.7144203186035</v>
      </c>
      <c r="F703" s="8">
        <v>36.600090026855398</v>
      </c>
      <c r="G703" s="8"/>
      <c r="H703" s="8">
        <v>705</v>
      </c>
      <c r="I703" s="8">
        <v>8.7310791015625</v>
      </c>
      <c r="J703" s="8">
        <v>38.370716094970703</v>
      </c>
      <c r="K703" s="8"/>
      <c r="L703" s="8">
        <v>705</v>
      </c>
      <c r="M703" s="8">
        <v>6.8877649307250897</v>
      </c>
      <c r="N703" s="8">
        <v>37.038101196288999</v>
      </c>
      <c r="P703" s="8">
        <f t="shared" si="43"/>
        <v>33.171311855316134</v>
      </c>
      <c r="Q703">
        <v>704</v>
      </c>
      <c r="R703">
        <v>7.2153625488281197</v>
      </c>
      <c r="S703">
        <v>20.8390178680419</v>
      </c>
      <c r="U703">
        <v>704</v>
      </c>
      <c r="V703">
        <v>20.298660278320298</v>
      </c>
      <c r="W703">
        <v>20.846553802490199</v>
      </c>
      <c r="Y703">
        <v>704</v>
      </c>
      <c r="Z703">
        <v>5.6572890281677202</v>
      </c>
      <c r="AA703">
        <v>20.943008422851499</v>
      </c>
    </row>
    <row r="704" spans="1:27" x14ac:dyDescent="0.25">
      <c r="A704" s="8">
        <f t="shared" si="40"/>
        <v>706</v>
      </c>
      <c r="B704" s="8">
        <f t="shared" si="41"/>
        <v>1</v>
      </c>
      <c r="C704" s="8">
        <f t="shared" si="42"/>
        <v>127.4322376251219</v>
      </c>
      <c r="D704" s="8">
        <v>706</v>
      </c>
      <c r="E704" s="8">
        <v>52.523696899413999</v>
      </c>
      <c r="F704" s="8">
        <v>69.031486511230398</v>
      </c>
      <c r="G704" s="8"/>
      <c r="H704" s="8">
        <v>706</v>
      </c>
      <c r="I704" s="8">
        <v>44.862213134765597</v>
      </c>
      <c r="J704" s="8">
        <v>70.111869812011705</v>
      </c>
      <c r="K704" s="8"/>
      <c r="L704" s="8">
        <v>706</v>
      </c>
      <c r="M704" s="8">
        <v>30.046327590942301</v>
      </c>
      <c r="N704" s="8">
        <v>69.641059875488196</v>
      </c>
      <c r="P704" s="8">
        <f t="shared" si="43"/>
        <v>32.394576549530029</v>
      </c>
      <c r="Q704">
        <v>705</v>
      </c>
      <c r="R704">
        <v>3.1666126251220699</v>
      </c>
      <c r="S704">
        <v>21.476270675659102</v>
      </c>
      <c r="U704">
        <v>705</v>
      </c>
      <c r="V704">
        <v>22.475225448608398</v>
      </c>
      <c r="W704">
        <v>21.600017547607401</v>
      </c>
      <c r="Y704">
        <v>705</v>
      </c>
      <c r="Z704">
        <v>6.7527384757995597</v>
      </c>
      <c r="AA704">
        <v>21.6199836730957</v>
      </c>
    </row>
    <row r="705" spans="1:27" x14ac:dyDescent="0.25">
      <c r="A705" s="8">
        <f t="shared" si="40"/>
        <v>707</v>
      </c>
      <c r="B705" s="8">
        <f t="shared" si="41"/>
        <v>1</v>
      </c>
      <c r="C705" s="8">
        <f t="shared" si="42"/>
        <v>148.44323730468739</v>
      </c>
      <c r="D705" s="8">
        <v>707</v>
      </c>
      <c r="E705" s="8">
        <v>59.024978637695298</v>
      </c>
      <c r="F705" s="8">
        <v>68.498886108398395</v>
      </c>
      <c r="G705" s="8"/>
      <c r="H705" s="8">
        <v>707</v>
      </c>
      <c r="I705" s="8">
        <v>53.641273498535099</v>
      </c>
      <c r="J705" s="8">
        <v>70.437690734863196</v>
      </c>
      <c r="K705" s="8"/>
      <c r="L705" s="8">
        <v>707</v>
      </c>
      <c r="M705" s="8">
        <v>35.776985168457003</v>
      </c>
      <c r="N705" s="8">
        <v>69.202285766601506</v>
      </c>
      <c r="P705" s="8">
        <f t="shared" si="43"/>
        <v>61.899844169616557</v>
      </c>
      <c r="Q705">
        <v>706</v>
      </c>
      <c r="R705">
        <v>8.4383001327514595</v>
      </c>
      <c r="S705">
        <v>22.877283096313398</v>
      </c>
      <c r="U705">
        <v>706</v>
      </c>
      <c r="V705">
        <v>40.203250885009702</v>
      </c>
      <c r="W705">
        <v>22.974794387817301</v>
      </c>
      <c r="Y705">
        <v>706</v>
      </c>
      <c r="Z705">
        <v>13.258293151855399</v>
      </c>
      <c r="AA705">
        <v>22.966085433959901</v>
      </c>
    </row>
    <row r="706" spans="1:27" x14ac:dyDescent="0.25">
      <c r="A706" s="8">
        <f t="shared" si="40"/>
        <v>708</v>
      </c>
      <c r="B706" s="8">
        <f t="shared" si="41"/>
        <v>1</v>
      </c>
      <c r="C706" s="8">
        <f t="shared" si="42"/>
        <v>175.0686111450193</v>
      </c>
      <c r="D706" s="8">
        <v>708</v>
      </c>
      <c r="E706" s="8">
        <v>75.457954406738196</v>
      </c>
      <c r="F706" s="8">
        <v>82.481727600097599</v>
      </c>
      <c r="G706" s="8"/>
      <c r="H706" s="8">
        <v>708</v>
      </c>
      <c r="I706" s="8">
        <v>58.516159057617102</v>
      </c>
      <c r="J706" s="8">
        <v>84.480979919433594</v>
      </c>
      <c r="K706" s="8"/>
      <c r="L706" s="8">
        <v>708</v>
      </c>
      <c r="M706" s="8">
        <v>41.094497680663999</v>
      </c>
      <c r="N706" s="8">
        <v>83.457817077636705</v>
      </c>
      <c r="P706" s="8">
        <f t="shared" si="43"/>
        <v>13.303997993469231</v>
      </c>
      <c r="Q706">
        <v>707</v>
      </c>
      <c r="R706">
        <v>1.3742856979370099</v>
      </c>
      <c r="S706">
        <v>26.0045871734619</v>
      </c>
      <c r="U706">
        <v>707</v>
      </c>
      <c r="V706">
        <v>6.50056648254394</v>
      </c>
      <c r="W706">
        <v>26.200624465942301</v>
      </c>
      <c r="Y706">
        <v>707</v>
      </c>
      <c r="Z706">
        <v>5.4291458129882804</v>
      </c>
      <c r="AA706">
        <v>26.2051696777343</v>
      </c>
    </row>
    <row r="707" spans="1:27" x14ac:dyDescent="0.25">
      <c r="A707" s="8">
        <f t="shared" ref="A707:A770" si="44">IF(D707="","",D707)</f>
        <v>709</v>
      </c>
      <c r="B707" s="8">
        <f t="shared" ref="B707:B770" si="45">IF(OR(D707&lt;&gt;H707,H707&lt;&gt;L707,D707&lt;&gt;L707),0,1)</f>
        <v>1</v>
      </c>
      <c r="C707" s="8">
        <f t="shared" ref="C707:C770" si="46">SUM(E707,I707,M707)</f>
        <v>308.83708953857251</v>
      </c>
      <c r="D707" s="8">
        <v>709</v>
      </c>
      <c r="E707" s="8">
        <v>133.65011596679599</v>
      </c>
      <c r="F707" s="8">
        <v>87.312438964843693</v>
      </c>
      <c r="G707" s="8"/>
      <c r="H707" s="8">
        <v>709</v>
      </c>
      <c r="I707" s="8">
        <v>106.81014251708901</v>
      </c>
      <c r="J707" s="8">
        <v>90.179519653320298</v>
      </c>
      <c r="K707" s="8"/>
      <c r="L707" s="8">
        <v>709</v>
      </c>
      <c r="M707" s="8">
        <v>68.3768310546875</v>
      </c>
      <c r="N707" s="8">
        <v>88.313255310058594</v>
      </c>
      <c r="P707" s="8">
        <f t="shared" ref="P707:P747" si="47">R707+V707+Z707</f>
        <v>15.934524536132709</v>
      </c>
      <c r="Q707">
        <v>708</v>
      </c>
      <c r="R707">
        <v>2.5999999046325599</v>
      </c>
      <c r="S707">
        <v>26.117618560791001</v>
      </c>
      <c r="U707">
        <v>708</v>
      </c>
      <c r="V707">
        <v>10.025000572204499</v>
      </c>
      <c r="W707">
        <v>26.296400070190401</v>
      </c>
      <c r="Y707">
        <v>708</v>
      </c>
      <c r="Z707">
        <v>3.3095240592956499</v>
      </c>
      <c r="AA707">
        <v>26.256340026855401</v>
      </c>
    </row>
    <row r="708" spans="1:27" x14ac:dyDescent="0.25">
      <c r="A708" s="8">
        <f t="shared" si="44"/>
        <v>710</v>
      </c>
      <c r="B708" s="8">
        <f t="shared" si="45"/>
        <v>1</v>
      </c>
      <c r="C708" s="8">
        <f t="shared" si="46"/>
        <v>225.12568283081043</v>
      </c>
      <c r="D708" s="8">
        <v>710</v>
      </c>
      <c r="E708" s="8">
        <v>97.471488952636705</v>
      </c>
      <c r="F708" s="8">
        <v>85.444320678710895</v>
      </c>
      <c r="G708" s="8"/>
      <c r="H708" s="8">
        <v>710</v>
      </c>
      <c r="I708" s="8">
        <v>76.314735412597599</v>
      </c>
      <c r="J708" s="8">
        <v>88.352210998535099</v>
      </c>
      <c r="K708" s="8"/>
      <c r="L708" s="8">
        <v>710</v>
      </c>
      <c r="M708" s="8">
        <v>51.339458465576101</v>
      </c>
      <c r="N708" s="8">
        <v>86.579788208007798</v>
      </c>
      <c r="P708" s="8">
        <f t="shared" si="47"/>
        <v>51.378523349761863</v>
      </c>
      <c r="Q708">
        <v>709</v>
      </c>
      <c r="R708">
        <v>6.1498913764953604</v>
      </c>
      <c r="S708">
        <v>22.44580078125</v>
      </c>
      <c r="U708">
        <v>709</v>
      </c>
      <c r="V708">
        <v>32.967151641845703</v>
      </c>
      <c r="W708">
        <v>22.5059413909912</v>
      </c>
      <c r="Y708">
        <v>709</v>
      </c>
      <c r="Z708">
        <v>12.261480331420801</v>
      </c>
      <c r="AA708">
        <v>22.523311614990199</v>
      </c>
    </row>
    <row r="709" spans="1:27" x14ac:dyDescent="0.25">
      <c r="A709" s="8">
        <f t="shared" si="44"/>
        <v>711</v>
      </c>
      <c r="B709" s="8">
        <f t="shared" si="45"/>
        <v>1</v>
      </c>
      <c r="C709" s="8">
        <f t="shared" si="46"/>
        <v>320.14096832275249</v>
      </c>
      <c r="D709" s="8">
        <v>711</v>
      </c>
      <c r="E709" s="8">
        <v>138.12150573730401</v>
      </c>
      <c r="F709" s="8">
        <v>87.299011230468693</v>
      </c>
      <c r="G709" s="8"/>
      <c r="H709" s="8">
        <v>711</v>
      </c>
      <c r="I709" s="8">
        <v>111.36357879638599</v>
      </c>
      <c r="J709" s="8">
        <v>90.860168457031193</v>
      </c>
      <c r="K709" s="8"/>
      <c r="L709" s="8">
        <v>711</v>
      </c>
      <c r="M709" s="8">
        <v>70.6558837890625</v>
      </c>
      <c r="N709" s="8">
        <v>88.505126953125</v>
      </c>
      <c r="P709" s="8">
        <f t="shared" si="47"/>
        <v>46.881233692169033</v>
      </c>
      <c r="Q709">
        <v>710</v>
      </c>
      <c r="R709">
        <v>7.2867131233215297</v>
      </c>
      <c r="S709">
        <v>23.8517131805419</v>
      </c>
      <c r="U709">
        <v>710</v>
      </c>
      <c r="V709">
        <v>29.523092269897401</v>
      </c>
      <c r="W709">
        <v>23.866710662841701</v>
      </c>
      <c r="Y709">
        <v>710</v>
      </c>
      <c r="Z709">
        <v>10.071428298950099</v>
      </c>
      <c r="AA709">
        <v>23.845193862915</v>
      </c>
    </row>
    <row r="710" spans="1:27" x14ac:dyDescent="0.25">
      <c r="A710" s="8">
        <f t="shared" si="44"/>
        <v>712</v>
      </c>
      <c r="B710" s="8">
        <f t="shared" si="45"/>
        <v>1</v>
      </c>
      <c r="C710" s="8">
        <f t="shared" si="46"/>
        <v>306.59046173095533</v>
      </c>
      <c r="D710" s="8">
        <v>712</v>
      </c>
      <c r="E710" s="8">
        <v>120.356803894042</v>
      </c>
      <c r="F710" s="8">
        <v>58.296901702880803</v>
      </c>
      <c r="G710" s="8"/>
      <c r="H710" s="8">
        <v>712</v>
      </c>
      <c r="I710" s="8">
        <v>105.15763854980401</v>
      </c>
      <c r="J710" s="8">
        <v>61.375247955322202</v>
      </c>
      <c r="K710" s="8"/>
      <c r="L710" s="8">
        <v>712</v>
      </c>
      <c r="M710" s="8">
        <v>81.076019287109304</v>
      </c>
      <c r="N710" s="8">
        <v>59.92378616333</v>
      </c>
      <c r="P710" s="8">
        <f t="shared" si="47"/>
        <v>53.803366661071721</v>
      </c>
      <c r="Q710">
        <v>711</v>
      </c>
      <c r="R710">
        <v>7.4549932479858398</v>
      </c>
      <c r="S710">
        <v>18.8153781890869</v>
      </c>
      <c r="U710">
        <v>711</v>
      </c>
      <c r="V710">
        <v>36.593055725097599</v>
      </c>
      <c r="W710">
        <v>18.873317718505799</v>
      </c>
      <c r="Y710">
        <v>711</v>
      </c>
      <c r="Z710">
        <v>9.7553176879882795</v>
      </c>
      <c r="AA710">
        <v>18.828981399536101</v>
      </c>
    </row>
    <row r="711" spans="1:27" x14ac:dyDescent="0.25">
      <c r="A711" s="8">
        <f t="shared" si="44"/>
        <v>713</v>
      </c>
      <c r="B711" s="8">
        <f t="shared" si="45"/>
        <v>1</v>
      </c>
      <c r="C711" s="8">
        <f t="shared" si="46"/>
        <v>310.85955810546699</v>
      </c>
      <c r="D711" s="8">
        <v>713</v>
      </c>
      <c r="E711" s="8">
        <v>134.65278625488199</v>
      </c>
      <c r="F711" s="8">
        <v>57.0749702453613</v>
      </c>
      <c r="G711" s="8"/>
      <c r="H711" s="8">
        <v>713</v>
      </c>
      <c r="I711" s="8">
        <v>107.26217651367099</v>
      </c>
      <c r="J711" s="8">
        <v>59.339920043945298</v>
      </c>
      <c r="K711" s="8"/>
      <c r="L711" s="8">
        <v>713</v>
      </c>
      <c r="M711" s="8">
        <v>68.944595336914006</v>
      </c>
      <c r="N711" s="8">
        <v>58.093399047851499</v>
      </c>
      <c r="P711" s="8">
        <f t="shared" si="47"/>
        <v>48.228313922881981</v>
      </c>
      <c r="Q711">
        <v>712</v>
      </c>
      <c r="R711">
        <v>6.9095654487609801</v>
      </c>
      <c r="S711">
        <v>20.5776252746582</v>
      </c>
      <c r="U711">
        <v>712</v>
      </c>
      <c r="V711">
        <v>30.375511169433501</v>
      </c>
      <c r="W711">
        <v>21.006969451904201</v>
      </c>
      <c r="Y711">
        <v>712</v>
      </c>
      <c r="Z711">
        <v>10.9432373046875</v>
      </c>
      <c r="AA711">
        <v>21.119897842407202</v>
      </c>
    </row>
    <row r="712" spans="1:27" x14ac:dyDescent="0.25">
      <c r="A712" s="8">
        <f t="shared" si="44"/>
        <v>714</v>
      </c>
      <c r="B712" s="8">
        <f t="shared" si="45"/>
        <v>1</v>
      </c>
      <c r="C712" s="8">
        <f t="shared" si="46"/>
        <v>118.57891273498521</v>
      </c>
      <c r="D712" s="8">
        <v>714</v>
      </c>
      <c r="E712" s="8">
        <v>56.254074096679602</v>
      </c>
      <c r="F712" s="8">
        <v>37.053665161132798</v>
      </c>
      <c r="G712" s="8"/>
      <c r="H712" s="8">
        <v>714</v>
      </c>
      <c r="I712" s="8">
        <v>35.9088134765625</v>
      </c>
      <c r="J712" s="8">
        <v>37.923130035400298</v>
      </c>
      <c r="K712" s="8"/>
      <c r="L712" s="8">
        <v>714</v>
      </c>
      <c r="M712" s="8">
        <v>26.4160251617431</v>
      </c>
      <c r="N712" s="8">
        <v>37.242164611816399</v>
      </c>
      <c r="P712" s="8">
        <f t="shared" si="47"/>
        <v>74.213768959045296</v>
      </c>
      <c r="Q712">
        <v>713</v>
      </c>
      <c r="R712">
        <v>8.3014783859252894</v>
      </c>
      <c r="S712">
        <v>27.0751132965087</v>
      </c>
      <c r="U712">
        <v>713</v>
      </c>
      <c r="V712">
        <v>49.547279357910099</v>
      </c>
      <c r="W712">
        <v>27.2164916992187</v>
      </c>
      <c r="Y712">
        <v>713</v>
      </c>
      <c r="Z712">
        <v>16.365011215209901</v>
      </c>
      <c r="AA712">
        <v>27.262647628784102</v>
      </c>
    </row>
    <row r="713" spans="1:27" x14ac:dyDescent="0.25">
      <c r="A713" s="8">
        <f t="shared" si="44"/>
        <v>715</v>
      </c>
      <c r="B713" s="8">
        <f t="shared" si="45"/>
        <v>1</v>
      </c>
      <c r="C713" s="8">
        <f t="shared" si="46"/>
        <v>157.03816986083979</v>
      </c>
      <c r="D713" s="8">
        <v>715</v>
      </c>
      <c r="E713" s="8">
        <v>50.645252227783203</v>
      </c>
      <c r="F713" s="8">
        <v>35.926284790038999</v>
      </c>
      <c r="G713" s="8"/>
      <c r="H713" s="8">
        <v>715</v>
      </c>
      <c r="I713" s="8">
        <v>61.042564392089801</v>
      </c>
      <c r="J713" s="8">
        <v>37.080509185791001</v>
      </c>
      <c r="K713" s="8"/>
      <c r="L713" s="8">
        <v>715</v>
      </c>
      <c r="M713" s="8">
        <v>45.350353240966797</v>
      </c>
      <c r="N713" s="8">
        <v>36.392601013183501</v>
      </c>
      <c r="P713" s="8">
        <f t="shared" si="47"/>
        <v>52.586966514587374</v>
      </c>
      <c r="Q713">
        <v>714</v>
      </c>
      <c r="R713">
        <v>7.3625068664550701</v>
      </c>
      <c r="S713">
        <v>29.456821441650298</v>
      </c>
      <c r="U713">
        <v>714</v>
      </c>
      <c r="V713">
        <v>34.720314025878899</v>
      </c>
      <c r="W713">
        <v>29.541255950927699</v>
      </c>
      <c r="Y713">
        <v>714</v>
      </c>
      <c r="Z713">
        <v>10.5041456222534</v>
      </c>
      <c r="AA713">
        <v>29.521608352661101</v>
      </c>
    </row>
    <row r="714" spans="1:27" x14ac:dyDescent="0.25">
      <c r="A714" s="8">
        <f t="shared" si="44"/>
        <v>716</v>
      </c>
      <c r="B714" s="8">
        <f t="shared" si="45"/>
        <v>1</v>
      </c>
      <c r="C714" s="8">
        <f t="shared" si="46"/>
        <v>22.851533889770501</v>
      </c>
      <c r="D714" s="8">
        <v>716</v>
      </c>
      <c r="E714" s="8">
        <v>9.1181449890136701</v>
      </c>
      <c r="F714" s="8">
        <v>37.870063781738203</v>
      </c>
      <c r="G714" s="8"/>
      <c r="H714" s="8">
        <v>716</v>
      </c>
      <c r="I714" s="8">
        <v>7.7450132369995099</v>
      </c>
      <c r="J714" s="8">
        <v>38.319839477538999</v>
      </c>
      <c r="K714" s="8"/>
      <c r="L714" s="8">
        <v>716</v>
      </c>
      <c r="M714" s="8">
        <v>5.9883756637573198</v>
      </c>
      <c r="N714" s="8">
        <v>38.006057739257798</v>
      </c>
      <c r="P714" s="8">
        <f t="shared" si="47"/>
        <v>2</v>
      </c>
      <c r="Q714">
        <v>715</v>
      </c>
      <c r="R714">
        <v>1</v>
      </c>
      <c r="S714">
        <v>8.7176113128662092</v>
      </c>
      <c r="U714">
        <v>715</v>
      </c>
      <c r="V714">
        <v>1</v>
      </c>
      <c r="W714">
        <v>8.7385654449462802</v>
      </c>
      <c r="Y714">
        <v>715</v>
      </c>
      <c r="Z714">
        <v>0</v>
      </c>
      <c r="AA714">
        <v>8.7017774581909109</v>
      </c>
    </row>
    <row r="715" spans="1:27" x14ac:dyDescent="0.25">
      <c r="A715" s="8">
        <f t="shared" si="44"/>
        <v>717</v>
      </c>
      <c r="B715" s="8">
        <f t="shared" si="45"/>
        <v>1</v>
      </c>
      <c r="C715" s="8">
        <f t="shared" si="46"/>
        <v>54.996224403381298</v>
      </c>
      <c r="D715" s="8">
        <v>717</v>
      </c>
      <c r="E715" s="8">
        <v>24.900018692016602</v>
      </c>
      <c r="F715" s="8">
        <v>37.764820098876903</v>
      </c>
      <c r="G715" s="8"/>
      <c r="H715" s="8">
        <v>717</v>
      </c>
      <c r="I715" s="8">
        <v>15.6279706954956</v>
      </c>
      <c r="J715" s="8">
        <v>38.3641548156738</v>
      </c>
      <c r="K715" s="8"/>
      <c r="L715" s="8">
        <v>717</v>
      </c>
      <c r="M715" s="8">
        <v>14.4682350158691</v>
      </c>
      <c r="N715" s="8">
        <v>38.121940612792898</v>
      </c>
      <c r="P715" s="8">
        <f t="shared" si="47"/>
        <v>98.600000381469599</v>
      </c>
      <c r="Q715">
        <v>716</v>
      </c>
      <c r="R715">
        <v>18.299999237060501</v>
      </c>
      <c r="S715">
        <v>14.039999961853001</v>
      </c>
      <c r="U715">
        <v>716</v>
      </c>
      <c r="V715">
        <v>56.200000762939403</v>
      </c>
      <c r="W715">
        <v>14.039999961853001</v>
      </c>
      <c r="Y715">
        <v>716</v>
      </c>
      <c r="Z715">
        <v>24.100000381469702</v>
      </c>
      <c r="AA715">
        <v>14.039999961853001</v>
      </c>
    </row>
    <row r="716" spans="1:27" x14ac:dyDescent="0.25">
      <c r="A716" s="8">
        <f t="shared" si="44"/>
        <v>718</v>
      </c>
      <c r="B716" s="8">
        <f t="shared" si="45"/>
        <v>1</v>
      </c>
      <c r="C716" s="8">
        <f t="shared" si="46"/>
        <v>24.19845294952389</v>
      </c>
      <c r="D716" s="8">
        <v>718</v>
      </c>
      <c r="E716" s="8">
        <v>11.1089115142822</v>
      </c>
      <c r="F716" s="8">
        <v>47.864818572997997</v>
      </c>
      <c r="G716" s="8"/>
      <c r="H716" s="8">
        <v>718</v>
      </c>
      <c r="I716" s="8">
        <v>7.9460954666137598</v>
      </c>
      <c r="J716" s="8">
        <v>50.189643859863203</v>
      </c>
      <c r="K716" s="8"/>
      <c r="L716" s="8">
        <v>718</v>
      </c>
      <c r="M716" s="8">
        <v>5.1434459686279297</v>
      </c>
      <c r="N716" s="8">
        <v>48.833763122558501</v>
      </c>
      <c r="P716" s="8">
        <f t="shared" si="47"/>
        <v>80.299998283386131</v>
      </c>
      <c r="Q716">
        <v>717</v>
      </c>
      <c r="R716">
        <v>5.1999998092651296</v>
      </c>
      <c r="S716">
        <v>14.039999961853001</v>
      </c>
      <c r="U716">
        <v>717</v>
      </c>
      <c r="V716">
        <v>56.099998474121001</v>
      </c>
      <c r="W716">
        <v>14.039999961853001</v>
      </c>
      <c r="Y716">
        <v>717</v>
      </c>
      <c r="Z716">
        <v>19</v>
      </c>
      <c r="AA716">
        <v>14.039999961853001</v>
      </c>
    </row>
    <row r="717" spans="1:27" x14ac:dyDescent="0.25">
      <c r="A717" s="8">
        <f t="shared" si="44"/>
        <v>719</v>
      </c>
      <c r="B717" s="8">
        <f t="shared" si="45"/>
        <v>1</v>
      </c>
      <c r="C717" s="8">
        <f t="shared" si="46"/>
        <v>24.952971935272167</v>
      </c>
      <c r="D717" s="8">
        <v>719</v>
      </c>
      <c r="E717" s="8">
        <v>10.577266693115201</v>
      </c>
      <c r="F717" s="8">
        <v>48.588874816894503</v>
      </c>
      <c r="G717" s="8"/>
      <c r="H717" s="8">
        <v>719</v>
      </c>
      <c r="I717" s="8">
        <v>9.4142570495605398</v>
      </c>
      <c r="J717" s="8">
        <v>52.029144287109297</v>
      </c>
      <c r="K717" s="8"/>
      <c r="L717" s="8">
        <v>719</v>
      </c>
      <c r="M717" s="8">
        <v>4.9614481925964302</v>
      </c>
      <c r="N717" s="8">
        <v>49.958141326904297</v>
      </c>
      <c r="P717" s="8">
        <f t="shared" si="47"/>
        <v>46.27271318435664</v>
      </c>
      <c r="Q717">
        <v>718</v>
      </c>
      <c r="R717">
        <v>4.7293190956115696</v>
      </c>
      <c r="S717">
        <v>31.853429794311499</v>
      </c>
      <c r="U717">
        <v>718</v>
      </c>
      <c r="V717">
        <v>32.694187164306598</v>
      </c>
      <c r="W717">
        <v>30.751995086669901</v>
      </c>
      <c r="Y717">
        <v>718</v>
      </c>
      <c r="Z717">
        <v>8.8492069244384695</v>
      </c>
      <c r="AA717">
        <v>30.5992736816406</v>
      </c>
    </row>
    <row r="718" spans="1:27" x14ac:dyDescent="0.25">
      <c r="A718" s="8">
        <f t="shared" si="44"/>
        <v>720</v>
      </c>
      <c r="B718" s="8">
        <f t="shared" si="45"/>
        <v>1</v>
      </c>
      <c r="C718" s="8">
        <f t="shared" si="46"/>
        <v>199.43454360961908</v>
      </c>
      <c r="D718" s="8">
        <v>720</v>
      </c>
      <c r="E718" s="8">
        <v>91.037109375</v>
      </c>
      <c r="F718" s="8">
        <v>46.459217071533203</v>
      </c>
      <c r="G718" s="8"/>
      <c r="H718" s="8">
        <v>720</v>
      </c>
      <c r="I718" s="8">
        <v>65.974449157714801</v>
      </c>
      <c r="J718" s="8">
        <v>48.408241271972599</v>
      </c>
      <c r="K718" s="8"/>
      <c r="L718" s="8">
        <v>720</v>
      </c>
      <c r="M718" s="8">
        <v>42.422985076904297</v>
      </c>
      <c r="N718" s="8">
        <v>47.317092895507798</v>
      </c>
      <c r="P718" s="8">
        <f t="shared" si="47"/>
        <v>66.260650157928438</v>
      </c>
      <c r="Q718">
        <v>719</v>
      </c>
      <c r="R718">
        <v>9.4768476486206001</v>
      </c>
      <c r="S718">
        <v>27.884536743163999</v>
      </c>
      <c r="U718">
        <v>719</v>
      </c>
      <c r="V718">
        <v>51.361579895019503</v>
      </c>
      <c r="W718">
        <v>28.341552734375</v>
      </c>
      <c r="Y718">
        <v>719</v>
      </c>
      <c r="Z718">
        <v>5.4222226142883301</v>
      </c>
      <c r="AA718">
        <v>29.265548706054599</v>
      </c>
    </row>
    <row r="719" spans="1:27" x14ac:dyDescent="0.25">
      <c r="A719" s="8">
        <f t="shared" si="44"/>
        <v>721</v>
      </c>
      <c r="B719" s="8">
        <f t="shared" si="45"/>
        <v>1</v>
      </c>
      <c r="C719" s="8">
        <f t="shared" si="46"/>
        <v>205.92885971069322</v>
      </c>
      <c r="D719" s="8">
        <v>721</v>
      </c>
      <c r="E719" s="8">
        <v>86.938522338867102</v>
      </c>
      <c r="F719" s="8">
        <v>48.786903381347599</v>
      </c>
      <c r="G719" s="8"/>
      <c r="H719" s="8">
        <v>721</v>
      </c>
      <c r="I719" s="8">
        <v>77.234580993652301</v>
      </c>
      <c r="J719" s="8">
        <v>51.614654541015597</v>
      </c>
      <c r="K719" s="8"/>
      <c r="L719" s="8">
        <v>721</v>
      </c>
      <c r="M719" s="8">
        <v>41.7557563781738</v>
      </c>
      <c r="N719" s="8">
        <v>49.738800048828097</v>
      </c>
      <c r="P719" s="8">
        <f t="shared" si="47"/>
        <v>13.63842046260833</v>
      </c>
      <c r="Q719">
        <v>720</v>
      </c>
      <c r="R719">
        <v>1.8048332929611199</v>
      </c>
      <c r="S719">
        <v>38.573673248291001</v>
      </c>
      <c r="U719">
        <v>720</v>
      </c>
      <c r="V719">
        <v>9.9468622207641602</v>
      </c>
      <c r="W719">
        <v>39.127674102783203</v>
      </c>
      <c r="Y719">
        <v>720</v>
      </c>
      <c r="Z719">
        <v>1.88672494888305</v>
      </c>
      <c r="AA719">
        <v>40.212844848632798</v>
      </c>
    </row>
    <row r="720" spans="1:27" x14ac:dyDescent="0.25">
      <c r="A720" s="8">
        <f t="shared" si="44"/>
        <v>722</v>
      </c>
      <c r="B720" s="8">
        <f t="shared" si="45"/>
        <v>1</v>
      </c>
      <c r="C720" s="8">
        <f t="shared" si="46"/>
        <v>287.56840515136702</v>
      </c>
      <c r="D720" s="8">
        <v>722</v>
      </c>
      <c r="E720" s="8">
        <v>128.37063598632801</v>
      </c>
      <c r="F720" s="8">
        <v>41.090553283691399</v>
      </c>
      <c r="G720" s="8"/>
      <c r="H720" s="8">
        <v>722</v>
      </c>
      <c r="I720" s="8">
        <v>93.335929870605398</v>
      </c>
      <c r="J720" s="8">
        <v>42.159904479980398</v>
      </c>
      <c r="K720" s="8"/>
      <c r="L720" s="8">
        <v>722</v>
      </c>
      <c r="M720" s="8">
        <v>65.861839294433594</v>
      </c>
      <c r="N720" s="8">
        <v>41.561119079589801</v>
      </c>
      <c r="P720" s="8">
        <f t="shared" si="47"/>
        <v>19.98989725112909</v>
      </c>
      <c r="Q720">
        <v>721</v>
      </c>
      <c r="R720">
        <v>2.2509346008300701</v>
      </c>
      <c r="S720">
        <v>40.217880249023402</v>
      </c>
      <c r="U720">
        <v>721</v>
      </c>
      <c r="V720">
        <v>14.1992797851562</v>
      </c>
      <c r="W720">
        <v>39.075740814208899</v>
      </c>
      <c r="Y720">
        <v>721</v>
      </c>
      <c r="Z720">
        <v>3.53968286514282</v>
      </c>
      <c r="AA720">
        <v>38.920207977294901</v>
      </c>
    </row>
    <row r="721" spans="1:27" x14ac:dyDescent="0.25">
      <c r="A721" s="8">
        <f t="shared" si="44"/>
        <v>723</v>
      </c>
      <c r="B721" s="8">
        <f t="shared" si="45"/>
        <v>1</v>
      </c>
      <c r="C721" s="8">
        <f t="shared" si="46"/>
        <v>321.75199127197163</v>
      </c>
      <c r="D721" s="8">
        <v>723</v>
      </c>
      <c r="E721" s="8">
        <v>126.66997528076099</v>
      </c>
      <c r="F721" s="8">
        <v>37.663414001464801</v>
      </c>
      <c r="G721" s="8"/>
      <c r="H721" s="8">
        <v>723</v>
      </c>
      <c r="I721" s="8">
        <v>111.782791137695</v>
      </c>
      <c r="J721" s="8">
        <v>39.693470001220703</v>
      </c>
      <c r="K721" s="8"/>
      <c r="L721" s="8">
        <v>723</v>
      </c>
      <c r="M721" s="8">
        <v>83.299224853515597</v>
      </c>
      <c r="N721" s="8">
        <v>38.227149963378899</v>
      </c>
      <c r="P721" s="8">
        <f t="shared" si="47"/>
        <v>1.0191263705492011</v>
      </c>
      <c r="Q721">
        <v>722</v>
      </c>
      <c r="R721">
        <v>9.3423083424568107E-2</v>
      </c>
      <c r="S721">
        <v>38.074180603027301</v>
      </c>
      <c r="U721">
        <v>722</v>
      </c>
      <c r="V721">
        <v>0.28284615278244002</v>
      </c>
      <c r="W721">
        <v>37.688304901122997</v>
      </c>
      <c r="Y721">
        <v>722</v>
      </c>
      <c r="Z721">
        <v>0.64285713434219305</v>
      </c>
      <c r="AA721">
        <v>37.734588623046797</v>
      </c>
    </row>
    <row r="722" spans="1:27" x14ac:dyDescent="0.25">
      <c r="A722" s="8">
        <f t="shared" si="44"/>
        <v>724</v>
      </c>
      <c r="B722" s="8">
        <f t="shared" si="45"/>
        <v>1</v>
      </c>
      <c r="C722" s="8">
        <f t="shared" si="46"/>
        <v>183.84166717529291</v>
      </c>
      <c r="D722" s="8">
        <v>724</v>
      </c>
      <c r="E722" s="8">
        <v>90.920753479003906</v>
      </c>
      <c r="F722" s="8">
        <v>51.740764617919901</v>
      </c>
      <c r="G722" s="8"/>
      <c r="H722" s="8">
        <v>724</v>
      </c>
      <c r="I722" s="8">
        <v>56.535530090332003</v>
      </c>
      <c r="J722" s="8">
        <v>55.934215545654297</v>
      </c>
      <c r="K722" s="8"/>
      <c r="L722" s="8">
        <v>724</v>
      </c>
      <c r="M722" s="8">
        <v>36.385383605957003</v>
      </c>
      <c r="N722" s="8">
        <v>50.943260192871001</v>
      </c>
      <c r="P722" s="8">
        <f t="shared" si="47"/>
        <v>3.8016890287399261</v>
      </c>
      <c r="Q722">
        <v>723</v>
      </c>
      <c r="R722">
        <v>0.233160614967346</v>
      </c>
      <c r="S722">
        <v>8.2396831512451101</v>
      </c>
      <c r="U722">
        <v>723</v>
      </c>
      <c r="V722">
        <v>3.0685284137725799</v>
      </c>
      <c r="W722">
        <v>8.30079746246337</v>
      </c>
      <c r="Y722">
        <v>723</v>
      </c>
      <c r="Z722">
        <v>0.5</v>
      </c>
      <c r="AA722">
        <v>8.3553037643432599</v>
      </c>
    </row>
    <row r="723" spans="1:27" x14ac:dyDescent="0.25">
      <c r="A723" s="8">
        <f t="shared" si="44"/>
        <v>725</v>
      </c>
      <c r="B723" s="8">
        <f t="shared" si="45"/>
        <v>1</v>
      </c>
      <c r="C723" s="8">
        <f t="shared" si="46"/>
        <v>30.80744409561148</v>
      </c>
      <c r="D723" s="8">
        <v>725</v>
      </c>
      <c r="E723" s="8">
        <v>15.268756866455</v>
      </c>
      <c r="F723" s="8">
        <v>46.008716583251903</v>
      </c>
      <c r="G723" s="8"/>
      <c r="H723" s="8">
        <v>725</v>
      </c>
      <c r="I723" s="8">
        <v>9.0245742797851491</v>
      </c>
      <c r="J723" s="8">
        <v>47.489631652832003</v>
      </c>
      <c r="K723" s="8"/>
      <c r="L723" s="8">
        <v>725</v>
      </c>
      <c r="M723" s="8">
        <v>6.5141129493713299</v>
      </c>
      <c r="N723" s="8">
        <v>46.366069793701101</v>
      </c>
      <c r="P723" s="8">
        <f t="shared" si="47"/>
        <v>25.162885904312109</v>
      </c>
      <c r="Q723">
        <v>724</v>
      </c>
      <c r="R723">
        <v>2.2710769176483101</v>
      </c>
      <c r="S723">
        <v>38.708126068115199</v>
      </c>
      <c r="U723">
        <v>724</v>
      </c>
      <c r="V723">
        <v>15.166632652282701</v>
      </c>
      <c r="W723">
        <v>38.995040893554602</v>
      </c>
      <c r="Y723">
        <v>724</v>
      </c>
      <c r="Z723">
        <v>7.7251763343811</v>
      </c>
      <c r="AA723">
        <v>39.355392456054602</v>
      </c>
    </row>
    <row r="724" spans="1:27" x14ac:dyDescent="0.25">
      <c r="A724" s="8">
        <f t="shared" si="44"/>
        <v>726</v>
      </c>
      <c r="B724" s="8">
        <f t="shared" si="45"/>
        <v>1</v>
      </c>
      <c r="C724" s="8">
        <f t="shared" si="46"/>
        <v>85.239858627319194</v>
      </c>
      <c r="D724" s="8">
        <v>726</v>
      </c>
      <c r="E724" s="8">
        <v>38.431251525878899</v>
      </c>
      <c r="F724" s="8">
        <v>48.827018737792898</v>
      </c>
      <c r="G724" s="8"/>
      <c r="H724" s="8">
        <v>726</v>
      </c>
      <c r="I724" s="8">
        <v>25.9082641601562</v>
      </c>
      <c r="J724" s="8">
        <v>49.947769165038999</v>
      </c>
      <c r="K724" s="8"/>
      <c r="L724" s="8">
        <v>726</v>
      </c>
      <c r="M724" s="8">
        <v>20.900342941284102</v>
      </c>
      <c r="N724" s="8">
        <v>49.130359649658203</v>
      </c>
      <c r="P724" s="8">
        <f t="shared" si="47"/>
        <v>33.548474311828549</v>
      </c>
      <c r="Q724">
        <v>725</v>
      </c>
      <c r="R724">
        <v>7.4029455184936497</v>
      </c>
      <c r="S724">
        <v>40.012454986572202</v>
      </c>
      <c r="U724">
        <v>725</v>
      </c>
      <c r="V724">
        <v>23.645528793334901</v>
      </c>
      <c r="W724">
        <v>39.450748443603501</v>
      </c>
      <c r="Y724">
        <v>725</v>
      </c>
      <c r="Z724">
        <v>2.5</v>
      </c>
      <c r="AA724">
        <v>39.307491302490199</v>
      </c>
    </row>
    <row r="725" spans="1:27" x14ac:dyDescent="0.25">
      <c r="A725" s="8">
        <f t="shared" si="44"/>
        <v>727</v>
      </c>
      <c r="B725" s="8">
        <f t="shared" si="45"/>
        <v>1</v>
      </c>
      <c r="C725" s="8">
        <f t="shared" si="46"/>
        <v>20.122513294219949</v>
      </c>
      <c r="D725" s="8">
        <v>727</v>
      </c>
      <c r="E725" s="8">
        <v>6.4058957099914497</v>
      </c>
      <c r="F725" s="8">
        <v>46.896247863769503</v>
      </c>
      <c r="G725" s="8"/>
      <c r="H725" s="8">
        <v>727</v>
      </c>
      <c r="I725" s="8">
        <v>6.4397296905517498</v>
      </c>
      <c r="J725" s="8">
        <v>48.411483764648402</v>
      </c>
      <c r="K725" s="8"/>
      <c r="L725" s="8">
        <v>727</v>
      </c>
      <c r="M725" s="8">
        <v>7.2768878936767498</v>
      </c>
      <c r="N725" s="8">
        <v>46.631839752197202</v>
      </c>
      <c r="P725" s="8">
        <f t="shared" si="47"/>
        <v>2.11111116409301</v>
      </c>
      <c r="Q725">
        <v>726</v>
      </c>
      <c r="R725">
        <v>0</v>
      </c>
      <c r="S725">
        <v>41.469913482666001</v>
      </c>
      <c r="U725">
        <v>726</v>
      </c>
      <c r="V725">
        <v>1.11111116409301</v>
      </c>
      <c r="W725">
        <v>41.806224822997997</v>
      </c>
      <c r="Y725">
        <v>726</v>
      </c>
      <c r="Z725">
        <v>1</v>
      </c>
      <c r="AA725">
        <v>42.130298614501903</v>
      </c>
    </row>
    <row r="726" spans="1:27" x14ac:dyDescent="0.25">
      <c r="A726" s="8">
        <f t="shared" si="44"/>
        <v>728</v>
      </c>
      <c r="B726" s="8">
        <f t="shared" si="45"/>
        <v>1</v>
      </c>
      <c r="C726" s="8">
        <f t="shared" si="46"/>
        <v>99.078796386718608</v>
      </c>
      <c r="D726" s="8">
        <v>728</v>
      </c>
      <c r="E726" s="8">
        <v>33.564052581787102</v>
      </c>
      <c r="F726" s="8">
        <v>41.7075386047363</v>
      </c>
      <c r="G726" s="8"/>
      <c r="H726" s="8">
        <v>728</v>
      </c>
      <c r="I726" s="8">
        <v>42.148151397705</v>
      </c>
      <c r="J726" s="8">
        <v>41.940132141113203</v>
      </c>
      <c r="K726" s="8"/>
      <c r="L726" s="8">
        <v>728</v>
      </c>
      <c r="M726" s="8">
        <v>23.366592407226499</v>
      </c>
      <c r="N726" s="8">
        <v>41.8434028625488</v>
      </c>
      <c r="P726" s="8">
        <f t="shared" si="47"/>
        <v>0.53846155107021265</v>
      </c>
      <c r="Q726">
        <v>727</v>
      </c>
      <c r="R726">
        <v>7.6923079788684803E-2</v>
      </c>
      <c r="S726">
        <v>36.062122344970703</v>
      </c>
      <c r="U726">
        <v>727</v>
      </c>
      <c r="V726">
        <v>0.38461539149284302</v>
      </c>
      <c r="W726">
        <v>36.266613006591797</v>
      </c>
      <c r="Y726">
        <v>727</v>
      </c>
      <c r="Z726">
        <v>7.6923079788684803E-2</v>
      </c>
      <c r="AA726">
        <v>36.241413116455</v>
      </c>
    </row>
    <row r="727" spans="1:27" x14ac:dyDescent="0.25">
      <c r="A727" s="8">
        <f t="shared" si="44"/>
        <v>729</v>
      </c>
      <c r="B727" s="8">
        <f t="shared" si="45"/>
        <v>1</v>
      </c>
      <c r="C727" s="8">
        <f t="shared" si="46"/>
        <v>8.6244659423827894</v>
      </c>
      <c r="D727" s="8">
        <v>729</v>
      </c>
      <c r="E727" s="8">
        <v>2.4467806816100999</v>
      </c>
      <c r="F727" s="8">
        <v>16.121402740478501</v>
      </c>
      <c r="G727" s="8"/>
      <c r="H727" s="8">
        <v>729</v>
      </c>
      <c r="I727" s="8">
        <v>3.8982443809509202</v>
      </c>
      <c r="J727" s="8">
        <v>17.893875122070298</v>
      </c>
      <c r="K727" s="8"/>
      <c r="L727" s="8">
        <v>729</v>
      </c>
      <c r="M727" s="8">
        <v>2.2794408798217698</v>
      </c>
      <c r="N727" s="8">
        <v>16.1972560882568</v>
      </c>
      <c r="P727" s="8">
        <f t="shared" si="47"/>
        <v>4.4424358606338403</v>
      </c>
      <c r="Q727">
        <v>728</v>
      </c>
      <c r="R727">
        <v>1.07762062549591</v>
      </c>
      <c r="S727">
        <v>17.725719451904201</v>
      </c>
      <c r="U727">
        <v>728</v>
      </c>
      <c r="V727">
        <v>3.3648152351379301</v>
      </c>
      <c r="W727">
        <v>17.8037509918212</v>
      </c>
      <c r="Y727">
        <v>728</v>
      </c>
      <c r="Z727">
        <v>0</v>
      </c>
      <c r="AA727">
        <v>17.828903198242099</v>
      </c>
    </row>
    <row r="728" spans="1:27" x14ac:dyDescent="0.25">
      <c r="A728" s="8">
        <f t="shared" si="44"/>
        <v>730</v>
      </c>
      <c r="B728" s="8">
        <f t="shared" si="45"/>
        <v>1</v>
      </c>
      <c r="C728" s="8">
        <f t="shared" si="46"/>
        <v>0</v>
      </c>
      <c r="D728" s="8">
        <v>730</v>
      </c>
      <c r="E728" s="8">
        <v>0</v>
      </c>
      <c r="F728" s="8">
        <v>13.5106296539306</v>
      </c>
      <c r="G728" s="8"/>
      <c r="H728" s="8">
        <v>730</v>
      </c>
      <c r="I728" s="8">
        <v>0</v>
      </c>
      <c r="J728" s="8">
        <v>13.8186388015747</v>
      </c>
      <c r="K728" s="8"/>
      <c r="L728" s="8">
        <v>730</v>
      </c>
      <c r="M728" s="8">
        <v>0</v>
      </c>
      <c r="N728" s="8">
        <v>13.612103462219199</v>
      </c>
      <c r="P728" s="8">
        <f t="shared" si="47"/>
        <v>6.1584453582763405</v>
      </c>
      <c r="Q728">
        <v>729</v>
      </c>
      <c r="R728">
        <v>1.15470850467681</v>
      </c>
      <c r="S728">
        <v>17.341976165771399</v>
      </c>
      <c r="U728">
        <v>729</v>
      </c>
      <c r="V728">
        <v>3.8490283489227202</v>
      </c>
      <c r="W728">
        <v>17.3687229156494</v>
      </c>
      <c r="Y728">
        <v>729</v>
      </c>
      <c r="Z728">
        <v>1.15470850467681</v>
      </c>
      <c r="AA728">
        <v>17.372142791748001</v>
      </c>
    </row>
    <row r="729" spans="1:27" x14ac:dyDescent="0.25">
      <c r="A729" s="8">
        <f t="shared" si="44"/>
        <v>731</v>
      </c>
      <c r="B729" s="8">
        <f t="shared" si="45"/>
        <v>1</v>
      </c>
      <c r="C729" s="8">
        <f t="shared" si="46"/>
        <v>141.5113143920897</v>
      </c>
      <c r="D729" s="8">
        <v>731</v>
      </c>
      <c r="E729" s="8">
        <v>48.473987579345703</v>
      </c>
      <c r="F729" s="8">
        <v>88.961120605468693</v>
      </c>
      <c r="G729" s="8"/>
      <c r="H729" s="8">
        <v>731</v>
      </c>
      <c r="I729" s="8">
        <v>49.207401275634702</v>
      </c>
      <c r="J729" s="8">
        <v>103.298866271972</v>
      </c>
      <c r="K729" s="8"/>
      <c r="L729" s="8">
        <v>731</v>
      </c>
      <c r="M729" s="8">
        <v>43.829925537109297</v>
      </c>
      <c r="N729" s="8">
        <v>88.019302368164006</v>
      </c>
      <c r="P729" s="8">
        <f t="shared" si="47"/>
        <v>5.3016887903213465</v>
      </c>
      <c r="Q729">
        <v>730</v>
      </c>
      <c r="R729">
        <v>0.233160614967346</v>
      </c>
      <c r="S729">
        <v>24.818254470825099</v>
      </c>
      <c r="U729">
        <v>730</v>
      </c>
      <c r="V729">
        <v>4.0685281753540004</v>
      </c>
      <c r="W729">
        <v>25.375053405761701</v>
      </c>
      <c r="Y729">
        <v>730</v>
      </c>
      <c r="Z729">
        <v>1</v>
      </c>
      <c r="AA729">
        <v>25.236156463623001</v>
      </c>
    </row>
    <row r="730" spans="1:27" x14ac:dyDescent="0.25">
      <c r="A730" s="8">
        <f t="shared" si="44"/>
        <v>732</v>
      </c>
      <c r="B730" s="8">
        <f t="shared" si="45"/>
        <v>1</v>
      </c>
      <c r="C730" s="8">
        <f t="shared" si="46"/>
        <v>104.74770164489721</v>
      </c>
      <c r="D730" s="8">
        <v>732</v>
      </c>
      <c r="E730" s="8">
        <v>48.241367340087798</v>
      </c>
      <c r="F730" s="8">
        <v>80.126731872558594</v>
      </c>
      <c r="G730" s="8"/>
      <c r="H730" s="8">
        <v>732</v>
      </c>
      <c r="I730" s="8">
        <v>25.764177322387599</v>
      </c>
      <c r="J730" s="8">
        <v>93.081977844238196</v>
      </c>
      <c r="K730" s="8"/>
      <c r="L730" s="8">
        <v>732</v>
      </c>
      <c r="M730" s="8">
        <v>30.7421569824218</v>
      </c>
      <c r="N730" s="8">
        <v>81.007675170898395</v>
      </c>
      <c r="P730" s="8">
        <f t="shared" si="47"/>
        <v>50.662340641021643</v>
      </c>
      <c r="Q730">
        <v>731</v>
      </c>
      <c r="R730">
        <v>7.6344809532165501</v>
      </c>
      <c r="S730">
        <v>27.891178131103501</v>
      </c>
      <c r="U730">
        <v>731</v>
      </c>
      <c r="V730">
        <v>34.7725410461425</v>
      </c>
      <c r="W730">
        <v>28.0074462890625</v>
      </c>
      <c r="Y730">
        <v>731</v>
      </c>
      <c r="Z730">
        <v>8.2553186416625906</v>
      </c>
      <c r="AA730">
        <v>27.966516494750898</v>
      </c>
    </row>
    <row r="731" spans="1:27" x14ac:dyDescent="0.25">
      <c r="A731" s="8">
        <f t="shared" si="44"/>
        <v>733</v>
      </c>
      <c r="B731" s="8">
        <f t="shared" si="45"/>
        <v>1</v>
      </c>
      <c r="C731" s="8">
        <f t="shared" si="46"/>
        <v>114.58644866943349</v>
      </c>
      <c r="D731" s="8">
        <v>733</v>
      </c>
      <c r="E731" s="8">
        <v>36.832874298095703</v>
      </c>
      <c r="F731" s="8">
        <v>76.193786621093693</v>
      </c>
      <c r="G731" s="8"/>
      <c r="H731" s="8">
        <v>733</v>
      </c>
      <c r="I731" s="8">
        <v>40.5598945617675</v>
      </c>
      <c r="J731" s="8">
        <v>77.15283203125</v>
      </c>
      <c r="K731" s="8"/>
      <c r="L731" s="8">
        <v>733</v>
      </c>
      <c r="M731" s="8">
        <v>37.193679809570298</v>
      </c>
      <c r="N731" s="8">
        <v>76.387496948242102</v>
      </c>
      <c r="P731" s="8">
        <f t="shared" si="47"/>
        <v>36.76029586791983</v>
      </c>
      <c r="Q731">
        <v>732</v>
      </c>
      <c r="R731">
        <v>5.4801940917968697</v>
      </c>
      <c r="S731">
        <v>28.173315048217699</v>
      </c>
      <c r="U731">
        <v>732</v>
      </c>
      <c r="V731">
        <v>22.405836105346602</v>
      </c>
      <c r="W731">
        <v>28.622829437255799</v>
      </c>
      <c r="Y731">
        <v>732</v>
      </c>
      <c r="Z731">
        <v>8.8742656707763601</v>
      </c>
      <c r="AA731">
        <v>28.696353912353501</v>
      </c>
    </row>
    <row r="732" spans="1:27" x14ac:dyDescent="0.25">
      <c r="A732" s="8">
        <f t="shared" si="44"/>
        <v>734</v>
      </c>
      <c r="B732" s="8">
        <f t="shared" si="45"/>
        <v>1</v>
      </c>
      <c r="C732" s="8">
        <f t="shared" si="46"/>
        <v>80.1145210266113</v>
      </c>
      <c r="D732" s="8">
        <v>734</v>
      </c>
      <c r="E732" s="8">
        <v>37.070556640625</v>
      </c>
      <c r="F732" s="8">
        <v>67.719902038574205</v>
      </c>
      <c r="G732" s="8"/>
      <c r="H732" s="8">
        <v>734</v>
      </c>
      <c r="I732" s="8">
        <v>17.187593460083001</v>
      </c>
      <c r="J732" s="8">
        <v>79.024497985839801</v>
      </c>
      <c r="K732" s="8"/>
      <c r="L732" s="8">
        <v>734</v>
      </c>
      <c r="M732" s="8">
        <v>25.856370925903299</v>
      </c>
      <c r="N732" s="8">
        <v>68.418251037597599</v>
      </c>
      <c r="P732" s="8">
        <f t="shared" si="47"/>
        <v>15.693312644958482</v>
      </c>
      <c r="Q732">
        <v>733</v>
      </c>
      <c r="R732">
        <v>1.3700466156005799</v>
      </c>
      <c r="S732">
        <v>24.604597091674801</v>
      </c>
      <c r="U732">
        <v>733</v>
      </c>
      <c r="V732">
        <v>9.2399330139160103</v>
      </c>
      <c r="W732">
        <v>24.977270126342699</v>
      </c>
      <c r="Y732">
        <v>733</v>
      </c>
      <c r="Z732">
        <v>5.0833330154418901</v>
      </c>
      <c r="AA732">
        <v>25.1887893676757</v>
      </c>
    </row>
    <row r="733" spans="1:27" x14ac:dyDescent="0.25">
      <c r="A733" s="8">
        <f t="shared" si="44"/>
        <v>735</v>
      </c>
      <c r="B733" s="8">
        <f t="shared" si="45"/>
        <v>1</v>
      </c>
      <c r="C733" s="8">
        <f t="shared" si="46"/>
        <v>267.27979278564442</v>
      </c>
      <c r="D733" s="8">
        <v>735</v>
      </c>
      <c r="E733" s="8">
        <v>115.54200744628901</v>
      </c>
      <c r="F733" s="8">
        <v>65.723495483398395</v>
      </c>
      <c r="G733" s="8"/>
      <c r="H733" s="8">
        <v>735</v>
      </c>
      <c r="I733" s="8">
        <v>95.814537048339801</v>
      </c>
      <c r="J733" s="8">
        <v>78.489105224609304</v>
      </c>
      <c r="K733" s="8"/>
      <c r="L733" s="8">
        <v>735</v>
      </c>
      <c r="M733" s="8">
        <v>55.923248291015597</v>
      </c>
      <c r="N733" s="8">
        <v>66.102378845214801</v>
      </c>
      <c r="P733" s="8">
        <f t="shared" si="47"/>
        <v>10.629496157169331</v>
      </c>
      <c r="Q733">
        <v>734</v>
      </c>
      <c r="R733">
        <v>0.73076921701431197</v>
      </c>
      <c r="S733">
        <v>23.684484481811499</v>
      </c>
      <c r="U733">
        <v>734</v>
      </c>
      <c r="V733">
        <v>7.0027999877929599</v>
      </c>
      <c r="W733">
        <v>23.809698104858398</v>
      </c>
      <c r="Y733">
        <v>734</v>
      </c>
      <c r="Z733">
        <v>2.8959269523620601</v>
      </c>
      <c r="AA733">
        <v>23.7001838684082</v>
      </c>
    </row>
    <row r="734" spans="1:27" x14ac:dyDescent="0.25">
      <c r="A734" s="8">
        <f t="shared" si="44"/>
        <v>736</v>
      </c>
      <c r="B734" s="8">
        <f t="shared" si="45"/>
        <v>1</v>
      </c>
      <c r="C734" s="8">
        <f t="shared" si="46"/>
        <v>169.02628707885731</v>
      </c>
      <c r="D734" s="8">
        <v>736</v>
      </c>
      <c r="E734" s="8">
        <v>71.821357727050696</v>
      </c>
      <c r="F734" s="8">
        <v>76.384674072265597</v>
      </c>
      <c r="G734" s="8"/>
      <c r="H734" s="8">
        <v>736</v>
      </c>
      <c r="I734" s="8">
        <v>61.133384704589801</v>
      </c>
      <c r="J734" s="8">
        <v>89.151206970214801</v>
      </c>
      <c r="K734" s="8"/>
      <c r="L734" s="8">
        <v>736</v>
      </c>
      <c r="M734" s="8">
        <v>36.071544647216797</v>
      </c>
      <c r="N734" s="8">
        <v>76.764030456542898</v>
      </c>
      <c r="P734" s="8">
        <f t="shared" si="47"/>
        <v>10.629496157169331</v>
      </c>
      <c r="Q734">
        <v>735</v>
      </c>
      <c r="R734">
        <v>0.73076921701431197</v>
      </c>
      <c r="S734">
        <v>24.288160324096602</v>
      </c>
      <c r="U734">
        <v>735</v>
      </c>
      <c r="V734">
        <v>7.0027999877929599</v>
      </c>
      <c r="W734">
        <v>24.474905014038001</v>
      </c>
      <c r="Y734">
        <v>735</v>
      </c>
      <c r="Z734">
        <v>2.8959269523620601</v>
      </c>
      <c r="AA734">
        <v>24.3508796691894</v>
      </c>
    </row>
    <row r="735" spans="1:27" x14ac:dyDescent="0.25">
      <c r="A735" s="8">
        <f t="shared" si="44"/>
        <v>737</v>
      </c>
      <c r="B735" s="8">
        <f t="shared" si="45"/>
        <v>1</v>
      </c>
      <c r="C735" s="8">
        <f t="shared" si="46"/>
        <v>4.6090223789214901</v>
      </c>
      <c r="D735" s="8">
        <v>737</v>
      </c>
      <c r="E735" s="8">
        <v>1.3239226341247501</v>
      </c>
      <c r="F735" s="8">
        <v>59.321109771728501</v>
      </c>
      <c r="G735" s="8"/>
      <c r="H735" s="8">
        <v>737</v>
      </c>
      <c r="I735" s="8">
        <v>1.9228370189666699</v>
      </c>
      <c r="J735" s="8">
        <v>60.174297332763601</v>
      </c>
      <c r="K735" s="8"/>
      <c r="L735" s="8">
        <v>737</v>
      </c>
      <c r="M735" s="8">
        <v>1.3622627258300699</v>
      </c>
      <c r="N735" s="8">
        <v>59.4945259094238</v>
      </c>
      <c r="P735" s="8">
        <f t="shared" si="47"/>
        <v>15.693312644958482</v>
      </c>
      <c r="Q735">
        <v>736</v>
      </c>
      <c r="R735">
        <v>1.3700466156005799</v>
      </c>
      <c r="S735">
        <v>24.527704238891602</v>
      </c>
      <c r="U735">
        <v>736</v>
      </c>
      <c r="V735">
        <v>9.2399330139160103</v>
      </c>
      <c r="W735">
        <v>24.835239410400298</v>
      </c>
      <c r="Y735">
        <v>736</v>
      </c>
      <c r="Z735">
        <v>5.0833330154418901</v>
      </c>
      <c r="AA735">
        <v>25.0408210754394</v>
      </c>
    </row>
    <row r="736" spans="1:27" x14ac:dyDescent="0.25">
      <c r="A736" s="8">
        <f t="shared" si="44"/>
        <v>738</v>
      </c>
      <c r="B736" s="8">
        <f t="shared" si="45"/>
        <v>1</v>
      </c>
      <c r="C736" s="8">
        <f t="shared" si="46"/>
        <v>583.69653320312295</v>
      </c>
      <c r="D736" s="8">
        <v>738</v>
      </c>
      <c r="E736" s="8">
        <v>278.23742675781199</v>
      </c>
      <c r="F736" s="8">
        <v>59.793376922607401</v>
      </c>
      <c r="G736" s="8"/>
      <c r="H736" s="8">
        <v>738</v>
      </c>
      <c r="I736" s="8">
        <v>136.81462097167901</v>
      </c>
      <c r="J736" s="8">
        <v>70.581565856933594</v>
      </c>
      <c r="K736" s="8"/>
      <c r="L736" s="8">
        <v>738</v>
      </c>
      <c r="M736" s="8">
        <v>168.64448547363199</v>
      </c>
      <c r="N736" s="8">
        <v>60.348793029785099</v>
      </c>
      <c r="P736" s="8">
        <f t="shared" si="47"/>
        <v>41.666665792465139</v>
      </c>
      <c r="Q736">
        <v>737</v>
      </c>
      <c r="R736">
        <v>3.4333331584930402</v>
      </c>
      <c r="S736">
        <v>45.094837188720703</v>
      </c>
      <c r="U736">
        <v>737</v>
      </c>
      <c r="V736">
        <v>27.799999237060501</v>
      </c>
      <c r="W736">
        <v>45.648586273193303</v>
      </c>
      <c r="Y736">
        <v>737</v>
      </c>
      <c r="Z736">
        <v>10.4333333969116</v>
      </c>
      <c r="AA736">
        <v>45.771369934082003</v>
      </c>
    </row>
    <row r="737" spans="1:27" x14ac:dyDescent="0.25">
      <c r="A737" s="8">
        <f t="shared" si="44"/>
        <v>739</v>
      </c>
      <c r="B737" s="8">
        <f t="shared" si="45"/>
        <v>1</v>
      </c>
      <c r="C737" s="8">
        <f t="shared" si="46"/>
        <v>260.35794830322209</v>
      </c>
      <c r="D737" s="8">
        <v>739</v>
      </c>
      <c r="E737" s="8">
        <v>127.28269195556599</v>
      </c>
      <c r="F737" s="8">
        <v>51.799648284912102</v>
      </c>
      <c r="G737" s="8"/>
      <c r="H737" s="8">
        <v>739</v>
      </c>
      <c r="I737" s="8">
        <v>58.457046508788999</v>
      </c>
      <c r="J737" s="8">
        <v>62.4790649414062</v>
      </c>
      <c r="K737" s="8"/>
      <c r="L737" s="8">
        <v>739</v>
      </c>
      <c r="M737" s="8">
        <v>74.618209838867102</v>
      </c>
      <c r="N737" s="8">
        <v>52.346969604492102</v>
      </c>
      <c r="P737" s="8">
        <f t="shared" si="47"/>
        <v>40.730076313018714</v>
      </c>
      <c r="Q737">
        <v>738</v>
      </c>
      <c r="R737">
        <v>5.8940701484680096</v>
      </c>
      <c r="S737">
        <v>21.993207931518501</v>
      </c>
      <c r="U737">
        <v>738</v>
      </c>
      <c r="V737">
        <v>24.221656799316399</v>
      </c>
      <c r="W737">
        <v>22.069238662719702</v>
      </c>
      <c r="Y737">
        <v>738</v>
      </c>
      <c r="Z737">
        <v>10.6143493652343</v>
      </c>
      <c r="AA737">
        <v>22.1227207183837</v>
      </c>
    </row>
    <row r="738" spans="1:27" x14ac:dyDescent="0.25">
      <c r="A738" s="8">
        <f t="shared" si="44"/>
        <v>740</v>
      </c>
      <c r="B738" s="8">
        <f t="shared" si="45"/>
        <v>1</v>
      </c>
      <c r="C738" s="8">
        <f t="shared" si="46"/>
        <v>51.027532577514506</v>
      </c>
      <c r="D738" s="8">
        <v>740</v>
      </c>
      <c r="E738" s="8">
        <v>16.4112453460693</v>
      </c>
      <c r="F738" s="8">
        <v>70.463272094726506</v>
      </c>
      <c r="G738" s="8"/>
      <c r="H738" s="8">
        <v>740</v>
      </c>
      <c r="I738" s="8">
        <v>17.300285339355401</v>
      </c>
      <c r="J738" s="8">
        <v>71.166549682617102</v>
      </c>
      <c r="K738" s="8"/>
      <c r="L738" s="8">
        <v>740</v>
      </c>
      <c r="M738" s="8">
        <v>17.316001892089801</v>
      </c>
      <c r="N738" s="8">
        <v>70.5732421875</v>
      </c>
      <c r="P738" s="8">
        <f t="shared" si="47"/>
        <v>30.115252017974818</v>
      </c>
      <c r="Q738">
        <v>739</v>
      </c>
      <c r="R738">
        <v>7.2554802894592196</v>
      </c>
      <c r="S738">
        <v>22.111991882324201</v>
      </c>
      <c r="U738">
        <v>739</v>
      </c>
      <c r="V738">
        <v>18.8597717285156</v>
      </c>
      <c r="W738">
        <v>22.1707954406738</v>
      </c>
      <c r="Y738">
        <v>739</v>
      </c>
      <c r="Z738">
        <v>4</v>
      </c>
      <c r="AA738">
        <v>22.145591735839801</v>
      </c>
    </row>
    <row r="739" spans="1:27" x14ac:dyDescent="0.25">
      <c r="A739" s="8">
        <f t="shared" si="44"/>
        <v>741</v>
      </c>
      <c r="B739" s="8">
        <f t="shared" si="45"/>
        <v>1</v>
      </c>
      <c r="C739" s="8">
        <f t="shared" si="46"/>
        <v>26.419341087341301</v>
      </c>
      <c r="D739" s="8">
        <v>741</v>
      </c>
      <c r="E739" s="8">
        <v>7.9799137115478498</v>
      </c>
      <c r="F739" s="8">
        <v>34.4129219055175</v>
      </c>
      <c r="G739" s="8"/>
      <c r="H739" s="8">
        <v>741</v>
      </c>
      <c r="I739" s="8">
        <v>9.3458995819091797</v>
      </c>
      <c r="J739" s="8">
        <v>34.924465179443303</v>
      </c>
      <c r="K739" s="8"/>
      <c r="L739" s="8">
        <v>741</v>
      </c>
      <c r="M739" s="8">
        <v>9.0935277938842702</v>
      </c>
      <c r="N739" s="8">
        <v>34.681610107421797</v>
      </c>
      <c r="P739" s="8">
        <f t="shared" si="47"/>
        <v>1</v>
      </c>
      <c r="Q739">
        <v>740</v>
      </c>
      <c r="R739">
        <v>0.5</v>
      </c>
      <c r="S739">
        <v>21.429052352905199</v>
      </c>
      <c r="U739">
        <v>740</v>
      </c>
      <c r="V739">
        <v>0.5</v>
      </c>
      <c r="W739">
        <v>21.8043823242187</v>
      </c>
      <c r="Y739">
        <v>740</v>
      </c>
      <c r="Z739">
        <v>0</v>
      </c>
      <c r="AA739">
        <v>21.885532379150298</v>
      </c>
    </row>
    <row r="740" spans="1:27" x14ac:dyDescent="0.25">
      <c r="A740" s="8">
        <f t="shared" si="44"/>
        <v>742</v>
      </c>
      <c r="B740" s="8">
        <f t="shared" si="45"/>
        <v>1</v>
      </c>
      <c r="C740" s="8">
        <f t="shared" si="46"/>
        <v>25.083053112030008</v>
      </c>
      <c r="D740" s="8">
        <v>742</v>
      </c>
      <c r="E740" s="8">
        <v>10.266172409057599</v>
      </c>
      <c r="F740" s="8">
        <v>29.211288452148398</v>
      </c>
      <c r="G740" s="8"/>
      <c r="H740" s="8">
        <v>742</v>
      </c>
      <c r="I740" s="8">
        <v>9.1700572967529297</v>
      </c>
      <c r="J740" s="8">
        <v>29.749326705932599</v>
      </c>
      <c r="K740" s="8"/>
      <c r="L740" s="8">
        <v>742</v>
      </c>
      <c r="M740" s="8">
        <v>5.6468234062194798</v>
      </c>
      <c r="N740" s="8">
        <v>29.4408149719238</v>
      </c>
      <c r="P740" s="8">
        <f t="shared" si="47"/>
        <v>9.53281825780868</v>
      </c>
      <c r="Q740">
        <v>741</v>
      </c>
      <c r="R740">
        <v>1</v>
      </c>
      <c r="S740">
        <v>27.797277450561499</v>
      </c>
      <c r="U740">
        <v>741</v>
      </c>
      <c r="V740">
        <v>8.0504827499389595</v>
      </c>
      <c r="W740">
        <v>28.339807510375898</v>
      </c>
      <c r="Y740">
        <v>741</v>
      </c>
      <c r="Z740">
        <v>0.48233550786972001</v>
      </c>
      <c r="AA740">
        <v>28.372224807739201</v>
      </c>
    </row>
    <row r="741" spans="1:27" x14ac:dyDescent="0.25">
      <c r="A741" s="8">
        <f t="shared" si="44"/>
        <v>743</v>
      </c>
      <c r="B741" s="8">
        <f t="shared" si="45"/>
        <v>1</v>
      </c>
      <c r="C741" s="8">
        <f t="shared" si="46"/>
        <v>99.220855712890398</v>
      </c>
      <c r="D741" s="8">
        <v>743</v>
      </c>
      <c r="E741" s="8">
        <v>42.636802673339801</v>
      </c>
      <c r="F741" s="8">
        <v>63.325420379638601</v>
      </c>
      <c r="G741" s="8"/>
      <c r="H741" s="8">
        <v>743</v>
      </c>
      <c r="I741" s="8">
        <v>28.934505462646399</v>
      </c>
      <c r="J741" s="8">
        <v>76.486793518066406</v>
      </c>
      <c r="K741" s="8"/>
      <c r="L741" s="8">
        <v>743</v>
      </c>
      <c r="M741" s="8">
        <v>27.649547576904201</v>
      </c>
      <c r="N741" s="8">
        <v>64.148269653320298</v>
      </c>
      <c r="P741" s="8">
        <f t="shared" si="47"/>
        <v>0</v>
      </c>
      <c r="Q741">
        <v>742</v>
      </c>
      <c r="R741">
        <v>0</v>
      </c>
      <c r="S741">
        <v>14.837216377258301</v>
      </c>
      <c r="U741">
        <v>742</v>
      </c>
      <c r="V741">
        <v>0</v>
      </c>
      <c r="W741">
        <v>14.983190536499</v>
      </c>
      <c r="Y741">
        <v>742</v>
      </c>
      <c r="Z741">
        <v>0</v>
      </c>
      <c r="AA741">
        <v>14.9780664443969</v>
      </c>
    </row>
    <row r="742" spans="1:27" x14ac:dyDescent="0.25">
      <c r="A742" s="8">
        <f t="shared" si="44"/>
        <v>744</v>
      </c>
      <c r="B742" s="8">
        <f t="shared" si="45"/>
        <v>1</v>
      </c>
      <c r="C742" s="8">
        <f t="shared" si="46"/>
        <v>47.676125526428102</v>
      </c>
      <c r="D742" s="8">
        <v>744</v>
      </c>
      <c r="E742" s="8">
        <v>17.7143154144287</v>
      </c>
      <c r="F742" s="8">
        <v>60.842906951904297</v>
      </c>
      <c r="G742" s="8"/>
      <c r="H742" s="8">
        <v>744</v>
      </c>
      <c r="I742" s="8">
        <v>16.573244094848601</v>
      </c>
      <c r="J742" s="8">
        <v>63.059257507324197</v>
      </c>
      <c r="K742" s="8"/>
      <c r="L742" s="8">
        <v>744</v>
      </c>
      <c r="M742" s="8">
        <v>13.388566017150801</v>
      </c>
      <c r="N742" s="8">
        <v>61.503456115722599</v>
      </c>
      <c r="P742" s="8">
        <f t="shared" si="47"/>
        <v>46.875213623046804</v>
      </c>
      <c r="Q742">
        <v>743</v>
      </c>
      <c r="R742">
        <v>9.6615381240844709</v>
      </c>
      <c r="S742">
        <v>11.8932189941406</v>
      </c>
      <c r="U742">
        <v>743</v>
      </c>
      <c r="V742">
        <v>27.418804168701101</v>
      </c>
      <c r="W742">
        <v>11.9651327133178</v>
      </c>
      <c r="Y742">
        <v>743</v>
      </c>
      <c r="Z742">
        <v>9.7948713302612305</v>
      </c>
      <c r="AA742">
        <v>11.997997283935501</v>
      </c>
    </row>
    <row r="743" spans="1:27" x14ac:dyDescent="0.25">
      <c r="A743" s="8">
        <f t="shared" si="44"/>
        <v>745</v>
      </c>
      <c r="B743" s="8">
        <f t="shared" si="45"/>
        <v>1</v>
      </c>
      <c r="C743" s="8">
        <f t="shared" si="46"/>
        <v>200.29394149780262</v>
      </c>
      <c r="D743" s="8">
        <v>745</v>
      </c>
      <c r="E743" s="8">
        <v>80.999473571777301</v>
      </c>
      <c r="F743" s="8">
        <v>59.8936767578125</v>
      </c>
      <c r="G743" s="8"/>
      <c r="H743" s="8">
        <v>745</v>
      </c>
      <c r="I743" s="8">
        <v>64.014457702636705</v>
      </c>
      <c r="J743" s="8">
        <v>69.304931640625</v>
      </c>
      <c r="K743" s="8"/>
      <c r="L743" s="8">
        <v>745</v>
      </c>
      <c r="M743" s="8">
        <v>55.280010223388601</v>
      </c>
      <c r="N743" s="8">
        <v>60.641693115234297</v>
      </c>
      <c r="P743" s="8">
        <f t="shared" si="47"/>
        <v>57.175215244293113</v>
      </c>
      <c r="Q743">
        <v>744</v>
      </c>
      <c r="R743">
        <v>4.2282052040100098</v>
      </c>
      <c r="S743">
        <v>12.4032936096191</v>
      </c>
      <c r="U743">
        <v>744</v>
      </c>
      <c r="V743">
        <v>39.152137756347599</v>
      </c>
      <c r="W743">
        <v>12.608750343322701</v>
      </c>
      <c r="Y743">
        <v>744</v>
      </c>
      <c r="Z743">
        <v>13.794872283935501</v>
      </c>
      <c r="AA743">
        <v>12.787136077880801</v>
      </c>
    </row>
    <row r="744" spans="1:27" x14ac:dyDescent="0.25">
      <c r="A744" s="8">
        <f t="shared" si="44"/>
        <v>746</v>
      </c>
      <c r="B744" s="8">
        <f t="shared" si="45"/>
        <v>1</v>
      </c>
      <c r="C744" s="8">
        <f t="shared" si="46"/>
        <v>190.62576293945301</v>
      </c>
      <c r="D744" s="8">
        <v>746</v>
      </c>
      <c r="E744" s="8">
        <v>71.177032470703097</v>
      </c>
      <c r="F744" s="8">
        <v>55.495498657226499</v>
      </c>
      <c r="G744" s="8"/>
      <c r="H744" s="8">
        <v>746</v>
      </c>
      <c r="I744" s="8">
        <v>58.602504730224602</v>
      </c>
      <c r="J744" s="8">
        <v>56.853012084960902</v>
      </c>
      <c r="K744" s="8"/>
      <c r="L744" s="8">
        <v>746</v>
      </c>
      <c r="M744" s="8">
        <v>60.846225738525298</v>
      </c>
      <c r="N744" s="8">
        <v>56.046962738037102</v>
      </c>
      <c r="P744" s="8">
        <f t="shared" si="47"/>
        <v>63.830727577209402</v>
      </c>
      <c r="Q744">
        <v>757</v>
      </c>
      <c r="R744">
        <v>11.4807424545288</v>
      </c>
      <c r="S744">
        <v>33.741504669189403</v>
      </c>
      <c r="U744">
        <v>757</v>
      </c>
      <c r="V744">
        <v>37.857067108154297</v>
      </c>
      <c r="W744">
        <v>34.139278411865199</v>
      </c>
      <c r="Y744">
        <v>757</v>
      </c>
      <c r="Z744">
        <v>14.4929180145263</v>
      </c>
      <c r="AA744">
        <v>34.374839782714801</v>
      </c>
    </row>
    <row r="745" spans="1:27" x14ac:dyDescent="0.25">
      <c r="A745" s="8">
        <f t="shared" si="44"/>
        <v>747</v>
      </c>
      <c r="B745" s="8">
        <f t="shared" si="45"/>
        <v>1</v>
      </c>
      <c r="C745" s="8">
        <f t="shared" si="46"/>
        <v>119.69720458984361</v>
      </c>
      <c r="D745" s="8">
        <v>747</v>
      </c>
      <c r="E745" s="8">
        <v>37.015308380126903</v>
      </c>
      <c r="F745" s="8">
        <v>37.859470367431598</v>
      </c>
      <c r="G745" s="8"/>
      <c r="H745" s="8">
        <v>747</v>
      </c>
      <c r="I745" s="8">
        <v>40.708042144775298</v>
      </c>
      <c r="J745" s="8">
        <v>38.228439331054602</v>
      </c>
      <c r="K745" s="8"/>
      <c r="L745" s="8">
        <v>747</v>
      </c>
      <c r="M745" s="8">
        <v>41.973854064941399</v>
      </c>
      <c r="N745" s="8">
        <v>38.041217803955</v>
      </c>
      <c r="P745" s="8">
        <f t="shared" si="47"/>
        <v>42.403973579406639</v>
      </c>
      <c r="Q745">
        <v>758</v>
      </c>
      <c r="R745">
        <v>5.6841483116149902</v>
      </c>
      <c r="S745">
        <v>34.13130569458</v>
      </c>
      <c r="U745">
        <v>758</v>
      </c>
      <c r="V745">
        <v>29.1947307586669</v>
      </c>
      <c r="W745">
        <v>34.223049163818303</v>
      </c>
      <c r="Y745">
        <v>758</v>
      </c>
      <c r="Z745">
        <v>7.5250945091247496</v>
      </c>
      <c r="AA745">
        <v>34.199016571044901</v>
      </c>
    </row>
    <row r="746" spans="1:27" x14ac:dyDescent="0.25">
      <c r="A746" s="8">
        <f t="shared" si="44"/>
        <v>748</v>
      </c>
      <c r="B746" s="8">
        <f t="shared" si="45"/>
        <v>1</v>
      </c>
      <c r="C746" s="8">
        <f t="shared" si="46"/>
        <v>52.003275871276699</v>
      </c>
      <c r="D746" s="8">
        <v>748</v>
      </c>
      <c r="E746" s="8">
        <v>18.1054782867431</v>
      </c>
      <c r="F746" s="8">
        <v>37.387870788574197</v>
      </c>
      <c r="G746" s="8"/>
      <c r="H746" s="8">
        <v>748</v>
      </c>
      <c r="I746" s="8">
        <v>19.225051879882798</v>
      </c>
      <c r="J746" s="8">
        <v>37.710601806640597</v>
      </c>
      <c r="K746" s="8"/>
      <c r="L746" s="8">
        <v>748</v>
      </c>
      <c r="M746" s="8">
        <v>14.672745704650801</v>
      </c>
      <c r="N746" s="8">
        <v>37.475906372070298</v>
      </c>
      <c r="P746" s="8">
        <f t="shared" si="47"/>
        <v>4.3293514847755414</v>
      </c>
      <c r="Q746">
        <v>759</v>
      </c>
      <c r="R746">
        <v>1.1171875</v>
      </c>
      <c r="S746">
        <v>8.5200004577636701</v>
      </c>
      <c r="U746">
        <v>759</v>
      </c>
      <c r="V746">
        <v>2.30896997451782</v>
      </c>
      <c r="W746">
        <v>8.5200004577636701</v>
      </c>
      <c r="Y746">
        <v>759</v>
      </c>
      <c r="Z746">
        <v>0.90319401025772095</v>
      </c>
      <c r="AA746">
        <v>8.5200004577636701</v>
      </c>
    </row>
    <row r="747" spans="1:27" x14ac:dyDescent="0.25">
      <c r="A747" s="8">
        <f t="shared" si="44"/>
        <v>749</v>
      </c>
      <c r="B747" s="8">
        <f t="shared" si="45"/>
        <v>1</v>
      </c>
      <c r="C747" s="8">
        <f t="shared" si="46"/>
        <v>62.521024703979393</v>
      </c>
      <c r="D747" s="8">
        <v>749</v>
      </c>
      <c r="E747" s="8">
        <v>20.091344833373999</v>
      </c>
      <c r="F747" s="8">
        <v>27.117897033691399</v>
      </c>
      <c r="G747" s="8"/>
      <c r="H747" s="8">
        <v>749</v>
      </c>
      <c r="I747" s="8">
        <v>23.613191604614201</v>
      </c>
      <c r="J747" s="8">
        <v>27.588331222534102</v>
      </c>
      <c r="K747" s="8"/>
      <c r="L747" s="8">
        <v>749</v>
      </c>
      <c r="M747" s="8">
        <v>18.8164882659912</v>
      </c>
      <c r="N747" s="8">
        <v>27.393661499023398</v>
      </c>
      <c r="P747" s="8">
        <f t="shared" si="47"/>
        <v>0.33562012016773202</v>
      </c>
      <c r="Q747">
        <v>760</v>
      </c>
      <c r="R747">
        <v>0.10000000149011599</v>
      </c>
      <c r="S747">
        <v>8.5200004577636701</v>
      </c>
      <c r="U747">
        <v>760</v>
      </c>
      <c r="V747">
        <v>0.1356201171875</v>
      </c>
      <c r="W747">
        <v>8.5200004577636701</v>
      </c>
      <c r="Y747">
        <v>760</v>
      </c>
      <c r="Z747">
        <v>0.10000000149011599</v>
      </c>
      <c r="AA747">
        <v>8.5200004577636701</v>
      </c>
    </row>
    <row r="748" spans="1:27" x14ac:dyDescent="0.25">
      <c r="A748" s="8">
        <f t="shared" si="44"/>
        <v>750</v>
      </c>
      <c r="B748" s="8">
        <f t="shared" si="45"/>
        <v>1</v>
      </c>
      <c r="C748" s="8">
        <f t="shared" si="46"/>
        <v>118.5344543457029</v>
      </c>
      <c r="D748" s="8">
        <v>750</v>
      </c>
      <c r="E748" s="8">
        <v>35.285049438476499</v>
      </c>
      <c r="F748" s="8">
        <v>27.642707824706999</v>
      </c>
      <c r="G748" s="8"/>
      <c r="H748" s="8">
        <v>750</v>
      </c>
      <c r="I748" s="8">
        <v>44.746273040771399</v>
      </c>
      <c r="J748" s="8">
        <v>28.299282073974599</v>
      </c>
      <c r="K748" s="8"/>
      <c r="L748" s="8">
        <v>750</v>
      </c>
      <c r="M748" s="8">
        <v>38.503131866455</v>
      </c>
      <c r="N748" s="8">
        <v>28.000221252441399</v>
      </c>
      <c r="P748" s="8"/>
    </row>
    <row r="749" spans="1:27" x14ac:dyDescent="0.25">
      <c r="A749" s="8">
        <f t="shared" si="44"/>
        <v>751</v>
      </c>
      <c r="B749" s="8">
        <f t="shared" si="45"/>
        <v>1</v>
      </c>
      <c r="C749" s="8">
        <f t="shared" si="46"/>
        <v>127.76708602905259</v>
      </c>
      <c r="D749" s="8">
        <v>751</v>
      </c>
      <c r="E749" s="8">
        <v>47.752506256103501</v>
      </c>
      <c r="F749" s="8">
        <v>29.903537750244102</v>
      </c>
      <c r="G749" s="8"/>
      <c r="H749" s="8">
        <v>751</v>
      </c>
      <c r="I749" s="8">
        <v>40.273475646972599</v>
      </c>
      <c r="J749" s="8">
        <v>30.731725692748999</v>
      </c>
      <c r="K749" s="8"/>
      <c r="L749" s="8">
        <v>751</v>
      </c>
      <c r="M749" s="8">
        <v>39.741104125976499</v>
      </c>
      <c r="N749" s="8">
        <v>30.341209411621001</v>
      </c>
      <c r="P749" s="8"/>
    </row>
    <row r="750" spans="1:27" x14ac:dyDescent="0.25">
      <c r="A750" s="8">
        <f t="shared" si="44"/>
        <v>752</v>
      </c>
      <c r="B750" s="8">
        <f t="shared" si="45"/>
        <v>1</v>
      </c>
      <c r="C750" s="8">
        <f t="shared" si="46"/>
        <v>59.365871429443203</v>
      </c>
      <c r="D750" s="8">
        <v>752</v>
      </c>
      <c r="E750" s="8">
        <v>24.303255081176701</v>
      </c>
      <c r="F750" s="8">
        <v>29.348842620849599</v>
      </c>
      <c r="G750" s="8"/>
      <c r="H750" s="8">
        <v>752</v>
      </c>
      <c r="I750" s="8">
        <v>23.237390518188398</v>
      </c>
      <c r="J750" s="8">
        <v>29.882642745971602</v>
      </c>
      <c r="K750" s="8"/>
      <c r="L750" s="8">
        <v>752</v>
      </c>
      <c r="M750" s="8">
        <v>11.8252258300781</v>
      </c>
      <c r="N750" s="8">
        <v>29.734035491943299</v>
      </c>
      <c r="P750" s="8"/>
    </row>
    <row r="751" spans="1:27" x14ac:dyDescent="0.25">
      <c r="A751" s="8">
        <f t="shared" si="44"/>
        <v>753</v>
      </c>
      <c r="B751" s="8">
        <f t="shared" si="45"/>
        <v>1</v>
      </c>
      <c r="C751" s="8">
        <f t="shared" si="46"/>
        <v>81.518323898315302</v>
      </c>
      <c r="D751" s="8">
        <v>753</v>
      </c>
      <c r="E751" s="8">
        <v>27.806970596313398</v>
      </c>
      <c r="F751" s="8">
        <v>31.079004287719702</v>
      </c>
      <c r="G751" s="8"/>
      <c r="H751" s="8">
        <v>753</v>
      </c>
      <c r="I751" s="8">
        <v>33.558067321777301</v>
      </c>
      <c r="J751" s="8">
        <v>31.556068420410099</v>
      </c>
      <c r="K751" s="8"/>
      <c r="L751" s="8">
        <v>753</v>
      </c>
      <c r="M751" s="8">
        <v>20.153285980224599</v>
      </c>
      <c r="N751" s="8">
        <v>31.3471965789794</v>
      </c>
      <c r="P751" s="8"/>
    </row>
    <row r="752" spans="1:27" x14ac:dyDescent="0.25">
      <c r="A752" s="8">
        <f t="shared" si="44"/>
        <v>754</v>
      </c>
      <c r="B752" s="8">
        <f t="shared" si="45"/>
        <v>1</v>
      </c>
      <c r="C752" s="8">
        <f t="shared" si="46"/>
        <v>80.116039276122905</v>
      </c>
      <c r="D752" s="8">
        <v>754</v>
      </c>
      <c r="E752" s="8">
        <v>25.782526016235298</v>
      </c>
      <c r="F752" s="8">
        <v>22.126111984252901</v>
      </c>
      <c r="G752" s="8"/>
      <c r="H752" s="8">
        <v>754</v>
      </c>
      <c r="I752" s="8">
        <v>23.5997924804687</v>
      </c>
      <c r="J752" s="8">
        <v>22.662916183471602</v>
      </c>
      <c r="K752" s="8"/>
      <c r="L752" s="8">
        <v>754</v>
      </c>
      <c r="M752" s="8">
        <v>30.733720779418899</v>
      </c>
      <c r="N752" s="8">
        <v>22.412408828735298</v>
      </c>
      <c r="P752" s="8"/>
    </row>
    <row r="753" spans="1:16" x14ac:dyDescent="0.25">
      <c r="A753" s="8">
        <f t="shared" si="44"/>
        <v>755</v>
      </c>
      <c r="B753" s="8">
        <f t="shared" si="45"/>
        <v>1</v>
      </c>
      <c r="C753" s="8">
        <f t="shared" si="46"/>
        <v>213.46872711181629</v>
      </c>
      <c r="D753" s="8">
        <v>755</v>
      </c>
      <c r="E753" s="8">
        <v>77.338874816894503</v>
      </c>
      <c r="F753" s="8">
        <v>68.826385498046804</v>
      </c>
      <c r="G753" s="8"/>
      <c r="H753" s="8">
        <v>755</v>
      </c>
      <c r="I753" s="8">
        <v>77.007820129394503</v>
      </c>
      <c r="J753" s="8">
        <v>70.352775573730398</v>
      </c>
      <c r="K753" s="8"/>
      <c r="L753" s="8">
        <v>755</v>
      </c>
      <c r="M753" s="8">
        <v>59.122032165527301</v>
      </c>
      <c r="N753" s="8">
        <v>69.730094909667898</v>
      </c>
      <c r="P753" s="8"/>
    </row>
    <row r="754" spans="1:16" x14ac:dyDescent="0.25">
      <c r="A754" s="8">
        <f t="shared" si="44"/>
        <v>756</v>
      </c>
      <c r="B754" s="8">
        <f t="shared" si="45"/>
        <v>1</v>
      </c>
      <c r="C754" s="8">
        <f t="shared" si="46"/>
        <v>25.962394714355451</v>
      </c>
      <c r="D754" s="8">
        <v>756</v>
      </c>
      <c r="E754" s="8">
        <v>9.1294965744018501</v>
      </c>
      <c r="F754" s="8">
        <v>24.365299224853501</v>
      </c>
      <c r="G754" s="8"/>
      <c r="H754" s="8">
        <v>756</v>
      </c>
      <c r="I754" s="8">
        <v>9.4181308746337802</v>
      </c>
      <c r="J754" s="8">
        <v>24.823259353637599</v>
      </c>
      <c r="K754" s="8"/>
      <c r="L754" s="8">
        <v>756</v>
      </c>
      <c r="M754" s="8">
        <v>7.4147672653198198</v>
      </c>
      <c r="N754" s="8">
        <v>24.516311645507798</v>
      </c>
      <c r="P754" s="8"/>
    </row>
    <row r="755" spans="1:16" x14ac:dyDescent="0.25">
      <c r="A755" s="8">
        <f t="shared" si="44"/>
        <v>757</v>
      </c>
      <c r="B755" s="8">
        <f t="shared" si="45"/>
        <v>1</v>
      </c>
      <c r="C755" s="8">
        <f t="shared" si="46"/>
        <v>109.72225570678701</v>
      </c>
      <c r="D755" s="8">
        <v>757</v>
      </c>
      <c r="E755" s="8">
        <v>41.382797241210902</v>
      </c>
      <c r="F755" s="8">
        <v>41.249557495117102</v>
      </c>
      <c r="G755" s="8"/>
      <c r="H755" s="8">
        <v>757</v>
      </c>
      <c r="I755" s="8">
        <v>38.385547637939403</v>
      </c>
      <c r="J755" s="8">
        <v>42.019683837890597</v>
      </c>
      <c r="K755" s="8"/>
      <c r="L755" s="8">
        <v>757</v>
      </c>
      <c r="M755" s="8">
        <v>29.953910827636701</v>
      </c>
      <c r="N755" s="8">
        <v>41.579578399658203</v>
      </c>
      <c r="P755" s="8"/>
    </row>
    <row r="756" spans="1:16" x14ac:dyDescent="0.25">
      <c r="A756" s="8">
        <f t="shared" si="44"/>
        <v>758</v>
      </c>
      <c r="B756" s="8">
        <f t="shared" si="45"/>
        <v>1</v>
      </c>
      <c r="C756" s="8">
        <f t="shared" si="46"/>
        <v>93.179508209228402</v>
      </c>
      <c r="D756" s="8">
        <v>758</v>
      </c>
      <c r="E756" s="8">
        <v>30.527297973632798</v>
      </c>
      <c r="F756" s="8">
        <v>69.207473754882798</v>
      </c>
      <c r="G756" s="8"/>
      <c r="H756" s="8">
        <v>758</v>
      </c>
      <c r="I756" s="8">
        <v>34.393295288085902</v>
      </c>
      <c r="J756" s="8">
        <v>70.256103515625</v>
      </c>
      <c r="K756" s="8"/>
      <c r="L756" s="8">
        <v>758</v>
      </c>
      <c r="M756" s="8">
        <v>28.258914947509702</v>
      </c>
      <c r="N756" s="8">
        <v>69.716743469238196</v>
      </c>
      <c r="P756" s="8"/>
    </row>
    <row r="757" spans="1:16" x14ac:dyDescent="0.25">
      <c r="A757" s="8">
        <f t="shared" si="44"/>
        <v>759</v>
      </c>
      <c r="B757" s="8">
        <f t="shared" si="45"/>
        <v>1</v>
      </c>
      <c r="C757" s="8">
        <f t="shared" si="46"/>
        <v>37.436641693115099</v>
      </c>
      <c r="D757" s="8">
        <v>759</v>
      </c>
      <c r="E757" s="8">
        <v>12.5457038879394</v>
      </c>
      <c r="F757" s="8">
        <v>36.855724334716797</v>
      </c>
      <c r="G757" s="8"/>
      <c r="H757" s="8">
        <v>759</v>
      </c>
      <c r="I757" s="8">
        <v>13.591574668884199</v>
      </c>
      <c r="J757" s="8">
        <v>37.263172149658203</v>
      </c>
      <c r="K757" s="8"/>
      <c r="L757" s="8">
        <v>759</v>
      </c>
      <c r="M757" s="8">
        <v>11.2993631362915</v>
      </c>
      <c r="N757" s="8">
        <v>37.072383880615199</v>
      </c>
      <c r="P757" s="8"/>
    </row>
    <row r="758" spans="1:16" x14ac:dyDescent="0.25">
      <c r="A758" s="8">
        <f t="shared" si="44"/>
        <v>760</v>
      </c>
      <c r="B758" s="8">
        <f t="shared" si="45"/>
        <v>1</v>
      </c>
      <c r="C758" s="8">
        <f t="shared" si="46"/>
        <v>123.7241973876951</v>
      </c>
      <c r="D758" s="8">
        <v>760</v>
      </c>
      <c r="E758" s="8">
        <v>44.823955535888601</v>
      </c>
      <c r="F758" s="8">
        <v>24.036195755004801</v>
      </c>
      <c r="G758" s="8"/>
      <c r="H758" s="8">
        <v>760</v>
      </c>
      <c r="I758" s="8">
        <v>50.869411468505803</v>
      </c>
      <c r="J758" s="8">
        <v>24.538917541503899</v>
      </c>
      <c r="K758" s="8"/>
      <c r="L758" s="8">
        <v>760</v>
      </c>
      <c r="M758" s="8">
        <v>28.0308303833007</v>
      </c>
      <c r="N758" s="8">
        <v>24.274051666259702</v>
      </c>
      <c r="P758" s="8"/>
    </row>
    <row r="759" spans="1:16" x14ac:dyDescent="0.25">
      <c r="A759" s="8">
        <f t="shared" si="44"/>
        <v>761</v>
      </c>
      <c r="B759" s="8">
        <f t="shared" si="45"/>
        <v>1</v>
      </c>
      <c r="C759" s="8">
        <f t="shared" si="46"/>
        <v>132.61329650878889</v>
      </c>
      <c r="D759" s="8">
        <v>761</v>
      </c>
      <c r="E759" s="8">
        <v>42.107204437255803</v>
      </c>
      <c r="F759" s="8">
        <v>23.639816284179599</v>
      </c>
      <c r="G759" s="8"/>
      <c r="H759" s="8">
        <v>761</v>
      </c>
      <c r="I759" s="8">
        <v>45.034294128417898</v>
      </c>
      <c r="J759" s="8">
        <v>24.047315597534102</v>
      </c>
      <c r="K759" s="8"/>
      <c r="L759" s="8">
        <v>761</v>
      </c>
      <c r="M759" s="8">
        <v>45.471797943115199</v>
      </c>
      <c r="N759" s="8">
        <v>23.877992630004801</v>
      </c>
      <c r="P759" s="8"/>
    </row>
    <row r="760" spans="1:16" x14ac:dyDescent="0.25">
      <c r="A760" s="8">
        <f t="shared" si="44"/>
        <v>762</v>
      </c>
      <c r="B760" s="8">
        <f t="shared" si="45"/>
        <v>1</v>
      </c>
      <c r="C760" s="8">
        <f t="shared" si="46"/>
        <v>112.07620620727531</v>
      </c>
      <c r="D760" s="8">
        <v>762</v>
      </c>
      <c r="E760" s="8">
        <v>39.559577941894503</v>
      </c>
      <c r="F760" s="8">
        <v>57.516536712646399</v>
      </c>
      <c r="G760" s="8"/>
      <c r="H760" s="8">
        <v>762</v>
      </c>
      <c r="I760" s="8">
        <v>42.581958770751903</v>
      </c>
      <c r="J760" s="8">
        <v>59.569465637207003</v>
      </c>
      <c r="K760" s="8"/>
      <c r="L760" s="8">
        <v>762</v>
      </c>
      <c r="M760" s="8">
        <v>29.934669494628899</v>
      </c>
      <c r="N760" s="8">
        <v>58.501922607421797</v>
      </c>
      <c r="P760" s="8"/>
    </row>
    <row r="761" spans="1:16" x14ac:dyDescent="0.25">
      <c r="A761" s="8">
        <f t="shared" si="44"/>
        <v>763</v>
      </c>
      <c r="B761" s="8">
        <f t="shared" si="45"/>
        <v>1</v>
      </c>
      <c r="C761" s="8">
        <f t="shared" si="46"/>
        <v>112.0901832580565</v>
      </c>
      <c r="D761" s="8">
        <v>763</v>
      </c>
      <c r="E761" s="8">
        <v>38.879711151122997</v>
      </c>
      <c r="F761" s="8">
        <v>60.947521209716797</v>
      </c>
      <c r="G761" s="8"/>
      <c r="H761" s="8">
        <v>763</v>
      </c>
      <c r="I761" s="8">
        <v>41.870941162109297</v>
      </c>
      <c r="J761" s="8">
        <v>63.450572967529297</v>
      </c>
      <c r="K761" s="8"/>
      <c r="L761" s="8">
        <v>763</v>
      </c>
      <c r="M761" s="8">
        <v>31.339530944824201</v>
      </c>
      <c r="N761" s="8">
        <v>62.093875885009702</v>
      </c>
      <c r="P761" s="8"/>
    </row>
    <row r="762" spans="1:16" x14ac:dyDescent="0.25">
      <c r="A762" s="8">
        <f t="shared" si="44"/>
        <v>764</v>
      </c>
      <c r="B762" s="8">
        <f t="shared" si="45"/>
        <v>1</v>
      </c>
      <c r="C762" s="8">
        <f t="shared" si="46"/>
        <v>92.891349792480398</v>
      </c>
      <c r="D762" s="8">
        <v>764</v>
      </c>
      <c r="E762" s="8">
        <v>38.390800476074197</v>
      </c>
      <c r="F762" s="8">
        <v>57.054214477538999</v>
      </c>
      <c r="G762" s="8"/>
      <c r="H762" s="8">
        <v>764</v>
      </c>
      <c r="I762" s="8">
        <v>28.640121459960898</v>
      </c>
      <c r="J762" s="8">
        <v>58.2250366210937</v>
      </c>
      <c r="K762" s="8"/>
      <c r="L762" s="8">
        <v>764</v>
      </c>
      <c r="M762" s="8">
        <v>25.860427856445298</v>
      </c>
      <c r="N762" s="8">
        <v>57.614368438720703</v>
      </c>
      <c r="P762" s="8"/>
    </row>
    <row r="763" spans="1:16" x14ac:dyDescent="0.25">
      <c r="A763" s="8">
        <f t="shared" si="44"/>
        <v>765</v>
      </c>
      <c r="B763" s="8">
        <f t="shared" si="45"/>
        <v>1</v>
      </c>
      <c r="C763" s="8">
        <f t="shared" si="46"/>
        <v>92.372032165527202</v>
      </c>
      <c r="D763" s="8">
        <v>765</v>
      </c>
      <c r="E763" s="8">
        <v>37.008087158203097</v>
      </c>
      <c r="F763" s="8">
        <v>61.570816040038999</v>
      </c>
      <c r="G763" s="8"/>
      <c r="H763" s="8">
        <v>765</v>
      </c>
      <c r="I763" s="8">
        <v>27.958202362060501</v>
      </c>
      <c r="J763" s="8">
        <v>63.596084594726499</v>
      </c>
      <c r="K763" s="8"/>
      <c r="L763" s="8">
        <v>765</v>
      </c>
      <c r="M763" s="8">
        <v>27.405742645263601</v>
      </c>
      <c r="N763" s="8">
        <v>62.150547027587798</v>
      </c>
      <c r="P763" s="8"/>
    </row>
    <row r="764" spans="1:16" x14ac:dyDescent="0.25">
      <c r="A764" s="8">
        <f t="shared" si="44"/>
        <v>766</v>
      </c>
      <c r="B764" s="8">
        <f t="shared" si="45"/>
        <v>1</v>
      </c>
      <c r="C764" s="8">
        <f t="shared" si="46"/>
        <v>223.40272140502918</v>
      </c>
      <c r="D764" s="8">
        <v>766</v>
      </c>
      <c r="E764" s="8">
        <v>77.646522521972599</v>
      </c>
      <c r="F764" s="8">
        <v>43.198841094970703</v>
      </c>
      <c r="G764" s="8"/>
      <c r="H764" s="8">
        <v>766</v>
      </c>
      <c r="I764" s="8">
        <v>82.787559509277301</v>
      </c>
      <c r="J764" s="8">
        <v>45.230125427246001</v>
      </c>
      <c r="K764" s="8"/>
      <c r="L764" s="8">
        <v>766</v>
      </c>
      <c r="M764" s="8">
        <v>62.968639373779297</v>
      </c>
      <c r="N764" s="8">
        <v>43.316673278808501</v>
      </c>
      <c r="P764" s="8"/>
    </row>
    <row r="765" spans="1:16" x14ac:dyDescent="0.25">
      <c r="A765" s="8">
        <f t="shared" si="44"/>
        <v>767</v>
      </c>
      <c r="B765" s="8">
        <f t="shared" si="45"/>
        <v>1</v>
      </c>
      <c r="C765" s="8">
        <f t="shared" si="46"/>
        <v>174.7820777893065</v>
      </c>
      <c r="D765" s="8">
        <v>767</v>
      </c>
      <c r="E765" s="8">
        <v>66.699241638183594</v>
      </c>
      <c r="F765" s="8">
        <v>41.379104614257798</v>
      </c>
      <c r="G765" s="8"/>
      <c r="H765" s="8">
        <v>767</v>
      </c>
      <c r="I765" s="8">
        <v>56.536777496337798</v>
      </c>
      <c r="J765" s="8">
        <v>41.897994995117102</v>
      </c>
      <c r="K765" s="8"/>
      <c r="L765" s="8">
        <v>767</v>
      </c>
      <c r="M765" s="8">
        <v>51.546058654785099</v>
      </c>
      <c r="N765" s="8">
        <v>41.618694305419901</v>
      </c>
      <c r="P765" s="8"/>
    </row>
    <row r="766" spans="1:16" x14ac:dyDescent="0.25">
      <c r="A766" s="8">
        <f t="shared" si="44"/>
        <v>768</v>
      </c>
      <c r="B766" s="8">
        <f t="shared" si="45"/>
        <v>1</v>
      </c>
      <c r="C766" s="8">
        <f t="shared" si="46"/>
        <v>0</v>
      </c>
      <c r="D766" s="8">
        <v>768</v>
      </c>
      <c r="E766" s="8">
        <v>0</v>
      </c>
      <c r="F766" s="8">
        <v>6.6950044631957999</v>
      </c>
      <c r="G766" s="8"/>
      <c r="H766" s="8">
        <v>768</v>
      </c>
      <c r="I766" s="8">
        <v>0</v>
      </c>
      <c r="J766" s="8">
        <v>8.0537185668945295</v>
      </c>
      <c r="K766" s="8"/>
      <c r="L766" s="8">
        <v>768</v>
      </c>
      <c r="M766" s="8">
        <v>0</v>
      </c>
      <c r="N766" s="8">
        <v>6.9284172058105398</v>
      </c>
      <c r="P766" s="8"/>
    </row>
    <row r="767" spans="1:16" x14ac:dyDescent="0.25">
      <c r="A767" s="8">
        <f t="shared" si="44"/>
        <v>769</v>
      </c>
      <c r="B767" s="8">
        <f t="shared" si="45"/>
        <v>1</v>
      </c>
      <c r="C767" s="8">
        <f t="shared" si="46"/>
        <v>68.042628288268929</v>
      </c>
      <c r="D767" s="8">
        <v>769</v>
      </c>
      <c r="E767" s="8">
        <v>31.3328132629394</v>
      </c>
      <c r="F767" s="8">
        <v>13.60089969635</v>
      </c>
      <c r="G767" s="8"/>
      <c r="H767" s="8">
        <v>769</v>
      </c>
      <c r="I767" s="8">
        <v>30.3549079895019</v>
      </c>
      <c r="J767" s="8">
        <v>15.118451118469199</v>
      </c>
      <c r="K767" s="8"/>
      <c r="L767" s="8">
        <v>769</v>
      </c>
      <c r="M767" s="8">
        <v>6.3549070358276296</v>
      </c>
      <c r="N767" s="8">
        <v>13.761604309081999</v>
      </c>
      <c r="P767" s="8"/>
    </row>
    <row r="768" spans="1:16" x14ac:dyDescent="0.25">
      <c r="A768" s="8">
        <f t="shared" si="44"/>
        <v>770</v>
      </c>
      <c r="B768" s="8">
        <f t="shared" si="45"/>
        <v>1</v>
      </c>
      <c r="C768" s="8">
        <f t="shared" si="46"/>
        <v>20.787745952606191</v>
      </c>
      <c r="D768" s="8">
        <v>770</v>
      </c>
      <c r="E768" s="8">
        <v>7.2985100746154696</v>
      </c>
      <c r="F768" s="8">
        <v>12.2386274337768</v>
      </c>
      <c r="G768" s="8"/>
      <c r="H768" s="8">
        <v>770</v>
      </c>
      <c r="I768" s="8">
        <v>9.7088775634765607</v>
      </c>
      <c r="J768" s="8">
        <v>13.3032207489013</v>
      </c>
      <c r="K768" s="8"/>
      <c r="L768" s="8">
        <v>770</v>
      </c>
      <c r="M768" s="8">
        <v>3.7803583145141602</v>
      </c>
      <c r="N768" s="8">
        <v>12.597913742065399</v>
      </c>
      <c r="P768" s="8"/>
    </row>
    <row r="769" spans="1:16" x14ac:dyDescent="0.25">
      <c r="A769" s="8">
        <f t="shared" si="44"/>
        <v>771</v>
      </c>
      <c r="B769" s="8">
        <f t="shared" si="45"/>
        <v>1</v>
      </c>
      <c r="C769" s="8">
        <f t="shared" si="46"/>
        <v>151.90649032592762</v>
      </c>
      <c r="D769" s="8">
        <v>771</v>
      </c>
      <c r="E769" s="8">
        <v>59.979598999023402</v>
      </c>
      <c r="F769" s="8">
        <v>67.889755249023395</v>
      </c>
      <c r="G769" s="8"/>
      <c r="H769" s="8">
        <v>771</v>
      </c>
      <c r="I769" s="8">
        <v>50.797489166259702</v>
      </c>
      <c r="J769" s="8">
        <v>73.927223205566406</v>
      </c>
      <c r="K769" s="8"/>
      <c r="L769" s="8">
        <v>771</v>
      </c>
      <c r="M769" s="8">
        <v>41.129402160644503</v>
      </c>
      <c r="N769" s="8">
        <v>68.429161071777301</v>
      </c>
      <c r="P769" s="8"/>
    </row>
    <row r="770" spans="1:16" x14ac:dyDescent="0.25">
      <c r="A770" s="8">
        <f t="shared" si="44"/>
        <v>772</v>
      </c>
      <c r="B770" s="8">
        <f t="shared" si="45"/>
        <v>1</v>
      </c>
      <c r="C770" s="8">
        <f t="shared" si="46"/>
        <v>23.99007320404051</v>
      </c>
      <c r="D770" s="8">
        <v>772</v>
      </c>
      <c r="E770" s="8">
        <v>9.02729892730712</v>
      </c>
      <c r="F770" s="8">
        <v>37.362968444824197</v>
      </c>
      <c r="G770" s="8"/>
      <c r="H770" s="8">
        <v>772</v>
      </c>
      <c r="I770" s="8">
        <v>8.1972255706787092</v>
      </c>
      <c r="J770" s="8">
        <v>37.855209350585902</v>
      </c>
      <c r="K770" s="8"/>
      <c r="L770" s="8">
        <v>772</v>
      </c>
      <c r="M770" s="8">
        <v>6.7655487060546804</v>
      </c>
      <c r="N770" s="8">
        <v>37.647327423095703</v>
      </c>
      <c r="P770" s="8"/>
    </row>
    <row r="771" spans="1:16" x14ac:dyDescent="0.25">
      <c r="A771" s="8">
        <f t="shared" ref="A771:A834" si="48">IF(D771="","",D771)</f>
        <v>773</v>
      </c>
      <c r="B771" s="8">
        <f t="shared" ref="B771:B834" si="49">IF(OR(D771&lt;&gt;H771,H771&lt;&gt;L771,D771&lt;&gt;L771),0,1)</f>
        <v>1</v>
      </c>
      <c r="C771" s="8">
        <f t="shared" ref="C771:C834" si="50">SUM(E771,I771,M771)</f>
        <v>184.45386123657218</v>
      </c>
      <c r="D771" s="8">
        <v>773</v>
      </c>
      <c r="E771" s="8">
        <v>71.052474975585895</v>
      </c>
      <c r="F771" s="8">
        <v>47.175254821777301</v>
      </c>
      <c r="G771" s="8"/>
      <c r="H771" s="8">
        <v>773</v>
      </c>
      <c r="I771" s="8">
        <v>61.7283935546875</v>
      </c>
      <c r="J771" s="8">
        <v>47.899787902832003</v>
      </c>
      <c r="K771" s="8"/>
      <c r="L771" s="8">
        <v>773</v>
      </c>
      <c r="M771" s="8">
        <v>51.6729927062988</v>
      </c>
      <c r="N771" s="8">
        <v>47.602977752685497</v>
      </c>
      <c r="P771" s="8"/>
    </row>
    <row r="772" spans="1:16" x14ac:dyDescent="0.25">
      <c r="A772" s="8">
        <f t="shared" si="48"/>
        <v>774</v>
      </c>
      <c r="B772" s="8">
        <f t="shared" si="49"/>
        <v>1</v>
      </c>
      <c r="C772" s="8">
        <f t="shared" si="50"/>
        <v>119.489719390869</v>
      </c>
      <c r="D772" s="8">
        <v>774</v>
      </c>
      <c r="E772" s="8">
        <v>47.397071838378899</v>
      </c>
      <c r="F772" s="8">
        <v>46.928726196288999</v>
      </c>
      <c r="G772" s="8"/>
      <c r="H772" s="8">
        <v>774</v>
      </c>
      <c r="I772" s="8">
        <v>39.86323928833</v>
      </c>
      <c r="J772" s="8">
        <v>47.514255523681598</v>
      </c>
      <c r="K772" s="8"/>
      <c r="L772" s="8">
        <v>774</v>
      </c>
      <c r="M772" s="8">
        <v>32.229408264160099</v>
      </c>
      <c r="N772" s="8">
        <v>47.334163665771399</v>
      </c>
      <c r="P772" s="8"/>
    </row>
    <row r="773" spans="1:16" x14ac:dyDescent="0.25">
      <c r="A773" s="8">
        <f t="shared" si="48"/>
        <v>775</v>
      </c>
      <c r="B773" s="8">
        <f t="shared" si="49"/>
        <v>1</v>
      </c>
      <c r="C773" s="8">
        <f t="shared" si="50"/>
        <v>118.27249526977531</v>
      </c>
      <c r="D773" s="8">
        <v>775</v>
      </c>
      <c r="E773" s="8">
        <v>42.1656074523925</v>
      </c>
      <c r="F773" s="8">
        <v>40.287021636962798</v>
      </c>
      <c r="G773" s="8"/>
      <c r="H773" s="8">
        <v>775</v>
      </c>
      <c r="I773" s="8">
        <v>38.007312774658203</v>
      </c>
      <c r="J773" s="8">
        <v>41.522789001464801</v>
      </c>
      <c r="K773" s="8"/>
      <c r="L773" s="8">
        <v>775</v>
      </c>
      <c r="M773" s="8">
        <v>38.099575042724602</v>
      </c>
      <c r="N773" s="8">
        <v>40.766624450683501</v>
      </c>
      <c r="P773" s="8"/>
    </row>
    <row r="774" spans="1:16" x14ac:dyDescent="0.25">
      <c r="A774" s="8">
        <f t="shared" si="48"/>
        <v>776</v>
      </c>
      <c r="B774" s="8">
        <f t="shared" si="49"/>
        <v>1</v>
      </c>
      <c r="C774" s="8">
        <f t="shared" si="50"/>
        <v>24.83496093749995</v>
      </c>
      <c r="D774" s="8">
        <v>776</v>
      </c>
      <c r="E774" s="8">
        <v>10.7181243896484</v>
      </c>
      <c r="F774" s="8">
        <v>38.327510833740199</v>
      </c>
      <c r="G774" s="8"/>
      <c r="H774" s="8">
        <v>776</v>
      </c>
      <c r="I774" s="8">
        <v>8.8746671676635707</v>
      </c>
      <c r="J774" s="8">
        <v>38.938980102538999</v>
      </c>
      <c r="K774" s="8"/>
      <c r="L774" s="8">
        <v>776</v>
      </c>
      <c r="M774" s="8">
        <v>5.2421693801879803</v>
      </c>
      <c r="N774" s="8">
        <v>38.753829956054602</v>
      </c>
      <c r="P774" s="8"/>
    </row>
    <row r="775" spans="1:16" x14ac:dyDescent="0.25">
      <c r="A775" s="8">
        <f t="shared" si="48"/>
        <v>777</v>
      </c>
      <c r="B775" s="8">
        <f t="shared" si="49"/>
        <v>1</v>
      </c>
      <c r="C775" s="8">
        <f t="shared" si="50"/>
        <v>9.5763018131255997</v>
      </c>
      <c r="D775" s="8">
        <v>777</v>
      </c>
      <c r="E775" s="8">
        <v>3.9554491043090798</v>
      </c>
      <c r="F775" s="8">
        <v>39.214900970458899</v>
      </c>
      <c r="G775" s="8"/>
      <c r="H775" s="8">
        <v>777</v>
      </c>
      <c r="I775" s="8">
        <v>2.3254539966583199</v>
      </c>
      <c r="J775" s="8">
        <v>41.238613128662102</v>
      </c>
      <c r="K775" s="8"/>
      <c r="L775" s="8">
        <v>777</v>
      </c>
      <c r="M775" s="8">
        <v>3.2953987121582</v>
      </c>
      <c r="N775" s="8">
        <v>39.581588745117102</v>
      </c>
      <c r="P775" s="8"/>
    </row>
    <row r="776" spans="1:16" x14ac:dyDescent="0.25">
      <c r="A776" s="8">
        <f t="shared" si="48"/>
        <v>778</v>
      </c>
      <c r="B776" s="8">
        <f t="shared" si="49"/>
        <v>1</v>
      </c>
      <c r="C776" s="8">
        <f t="shared" si="50"/>
        <v>7</v>
      </c>
      <c r="D776" s="8">
        <v>778</v>
      </c>
      <c r="E776" s="8">
        <v>3</v>
      </c>
      <c r="F776" s="8">
        <v>38.051643371582003</v>
      </c>
      <c r="G776" s="8"/>
      <c r="H776" s="8">
        <v>778</v>
      </c>
      <c r="I776" s="8">
        <v>1.5</v>
      </c>
      <c r="J776" s="8">
        <v>38.365104675292898</v>
      </c>
      <c r="K776" s="8"/>
      <c r="L776" s="8">
        <v>778</v>
      </c>
      <c r="M776" s="8">
        <v>2.5</v>
      </c>
      <c r="N776" s="8">
        <v>38.271144866943303</v>
      </c>
      <c r="P776" s="8"/>
    </row>
    <row r="777" spans="1:16" x14ac:dyDescent="0.25">
      <c r="A777" s="8">
        <f t="shared" si="48"/>
        <v>779</v>
      </c>
      <c r="B777" s="8">
        <f t="shared" si="49"/>
        <v>1</v>
      </c>
      <c r="C777" s="8">
        <f t="shared" si="50"/>
        <v>126.32531356811501</v>
      </c>
      <c r="D777" s="8">
        <v>779</v>
      </c>
      <c r="E777" s="8">
        <v>38.08101272583</v>
      </c>
      <c r="F777" s="8">
        <v>28.747493743896399</v>
      </c>
      <c r="G777" s="8"/>
      <c r="H777" s="8">
        <v>779</v>
      </c>
      <c r="I777" s="8">
        <v>45.575664520263601</v>
      </c>
      <c r="J777" s="8">
        <v>29.396457672119102</v>
      </c>
      <c r="K777" s="8"/>
      <c r="L777" s="8">
        <v>779</v>
      </c>
      <c r="M777" s="8">
        <v>42.668636322021399</v>
      </c>
      <c r="N777" s="8">
        <v>28.984533309936499</v>
      </c>
      <c r="P777" s="8"/>
    </row>
    <row r="778" spans="1:16" x14ac:dyDescent="0.25">
      <c r="A778" s="8">
        <f t="shared" si="48"/>
        <v>780</v>
      </c>
      <c r="B778" s="8">
        <f t="shared" si="49"/>
        <v>1</v>
      </c>
      <c r="C778" s="8">
        <f t="shared" si="50"/>
        <v>30.16339778900133</v>
      </c>
      <c r="D778" s="8">
        <v>780</v>
      </c>
      <c r="E778" s="8">
        <v>10.89084815979</v>
      </c>
      <c r="F778" s="8">
        <v>27.135963439941399</v>
      </c>
      <c r="G778" s="8"/>
      <c r="H778" s="8">
        <v>780</v>
      </c>
      <c r="I778" s="8">
        <v>10.3392620086669</v>
      </c>
      <c r="J778" s="8">
        <v>27.414403915405199</v>
      </c>
      <c r="K778" s="8"/>
      <c r="L778" s="8">
        <v>780</v>
      </c>
      <c r="M778" s="8">
        <v>8.93328762054443</v>
      </c>
      <c r="N778" s="8">
        <v>27.2437343597412</v>
      </c>
      <c r="P778" s="8"/>
    </row>
    <row r="779" spans="1:16" x14ac:dyDescent="0.25">
      <c r="A779" s="8">
        <f t="shared" si="48"/>
        <v>781</v>
      </c>
      <c r="B779" s="8">
        <f t="shared" si="49"/>
        <v>1</v>
      </c>
      <c r="C779" s="8">
        <f t="shared" si="50"/>
        <v>17.811697006225568</v>
      </c>
      <c r="D779" s="8">
        <v>781</v>
      </c>
      <c r="E779" s="8">
        <v>7.5745730400085396</v>
      </c>
      <c r="F779" s="8">
        <v>34.127559661865199</v>
      </c>
      <c r="G779" s="8"/>
      <c r="H779" s="8">
        <v>781</v>
      </c>
      <c r="I779" s="8">
        <v>5.9248785972595197</v>
      </c>
      <c r="J779" s="8">
        <v>35.848335266113203</v>
      </c>
      <c r="K779" s="8"/>
      <c r="L779" s="8">
        <v>781</v>
      </c>
      <c r="M779" s="8">
        <v>4.3122453689575098</v>
      </c>
      <c r="N779" s="8">
        <v>34.658092498779297</v>
      </c>
      <c r="P779" s="8"/>
    </row>
    <row r="780" spans="1:16" x14ac:dyDescent="0.25">
      <c r="A780" s="8">
        <f t="shared" si="48"/>
        <v>782</v>
      </c>
      <c r="B780" s="8">
        <f t="shared" si="49"/>
        <v>1</v>
      </c>
      <c r="C780" s="8">
        <f t="shared" si="50"/>
        <v>10.892307996749869</v>
      </c>
      <c r="D780" s="8">
        <v>782</v>
      </c>
      <c r="E780" s="8">
        <v>3.5166666507720898</v>
      </c>
      <c r="F780" s="8">
        <v>33.647048950195298</v>
      </c>
      <c r="G780" s="8"/>
      <c r="H780" s="8">
        <v>782</v>
      </c>
      <c r="I780" s="8">
        <v>5.0006413459777797</v>
      </c>
      <c r="J780" s="8">
        <v>34.935184478759702</v>
      </c>
      <c r="K780" s="8"/>
      <c r="L780" s="8">
        <v>782</v>
      </c>
      <c r="M780" s="8">
        <v>2.375</v>
      </c>
      <c r="N780" s="8">
        <v>34.443931579589801</v>
      </c>
      <c r="P780" s="8"/>
    </row>
    <row r="781" spans="1:16" x14ac:dyDescent="0.25">
      <c r="A781" s="8">
        <f t="shared" si="48"/>
        <v>783</v>
      </c>
      <c r="B781" s="8">
        <f t="shared" si="49"/>
        <v>1</v>
      </c>
      <c r="C781" s="8">
        <f t="shared" si="50"/>
        <v>15.733933210372919</v>
      </c>
      <c r="D781" s="8">
        <v>783</v>
      </c>
      <c r="E781" s="8">
        <v>6.67791700363159</v>
      </c>
      <c r="F781" s="8">
        <v>24.343025207519499</v>
      </c>
      <c r="G781" s="8"/>
      <c r="H781" s="8">
        <v>783</v>
      </c>
      <c r="I781" s="8">
        <v>3.9635665416717498</v>
      </c>
      <c r="J781" s="8">
        <v>24.956020355224599</v>
      </c>
      <c r="K781" s="8"/>
      <c r="L781" s="8">
        <v>783</v>
      </c>
      <c r="M781" s="8">
        <v>5.0924496650695801</v>
      </c>
      <c r="N781" s="8">
        <v>24.7458782196044</v>
      </c>
      <c r="P781" s="8"/>
    </row>
    <row r="782" spans="1:16" x14ac:dyDescent="0.25">
      <c r="A782" s="8">
        <f t="shared" si="48"/>
        <v>784</v>
      </c>
      <c r="B782" s="8">
        <f t="shared" si="49"/>
        <v>1</v>
      </c>
      <c r="C782" s="8">
        <f t="shared" si="50"/>
        <v>83.094655990600401</v>
      </c>
      <c r="D782" s="8">
        <v>784</v>
      </c>
      <c r="E782" s="8">
        <v>35.734176635742102</v>
      </c>
      <c r="F782" s="8">
        <v>32.653987884521399</v>
      </c>
      <c r="G782" s="8"/>
      <c r="H782" s="8">
        <v>784</v>
      </c>
      <c r="I782" s="8">
        <v>20.314596176147401</v>
      </c>
      <c r="J782" s="8">
        <v>34.141910552978501</v>
      </c>
      <c r="K782" s="8"/>
      <c r="L782" s="8">
        <v>784</v>
      </c>
      <c r="M782" s="8">
        <v>27.045883178710898</v>
      </c>
      <c r="N782" s="8">
        <v>33.467002868652301</v>
      </c>
      <c r="P782" s="8"/>
    </row>
    <row r="783" spans="1:16" x14ac:dyDescent="0.25">
      <c r="A783" s="8">
        <f t="shared" si="48"/>
        <v>785</v>
      </c>
      <c r="B783" s="8">
        <f t="shared" si="49"/>
        <v>1</v>
      </c>
      <c r="C783" s="8">
        <f t="shared" si="50"/>
        <v>113.38721466064442</v>
      </c>
      <c r="D783" s="8">
        <v>785</v>
      </c>
      <c r="E783" s="8">
        <v>40.628166198730398</v>
      </c>
      <c r="F783" s="8">
        <v>32.479312896728501</v>
      </c>
      <c r="G783" s="8"/>
      <c r="H783" s="8">
        <v>785</v>
      </c>
      <c r="I783" s="8">
        <v>37.785327911376903</v>
      </c>
      <c r="J783" s="8">
        <v>33.441310882568303</v>
      </c>
      <c r="K783" s="8"/>
      <c r="L783" s="8">
        <v>785</v>
      </c>
      <c r="M783" s="8">
        <v>34.973720550537102</v>
      </c>
      <c r="N783" s="8">
        <v>33.026435852050703</v>
      </c>
      <c r="P783" s="8"/>
    </row>
    <row r="784" spans="1:16" x14ac:dyDescent="0.25">
      <c r="A784" s="8">
        <f t="shared" si="48"/>
        <v>786</v>
      </c>
      <c r="B784" s="8">
        <f t="shared" si="49"/>
        <v>1</v>
      </c>
      <c r="C784" s="8">
        <f t="shared" si="50"/>
        <v>75.504695892333899</v>
      </c>
      <c r="D784" s="8">
        <v>786</v>
      </c>
      <c r="E784" s="8">
        <v>27.363979339599599</v>
      </c>
      <c r="F784" s="8">
        <v>24.358760833740199</v>
      </c>
      <c r="G784" s="8"/>
      <c r="H784" s="8">
        <v>786</v>
      </c>
      <c r="I784" s="8">
        <v>23.838994979858398</v>
      </c>
      <c r="J784" s="8">
        <v>24.8534240722656</v>
      </c>
      <c r="K784" s="8"/>
      <c r="L784" s="8">
        <v>786</v>
      </c>
      <c r="M784" s="8">
        <v>24.301721572875898</v>
      </c>
      <c r="N784" s="8">
        <v>24.688531875610298</v>
      </c>
      <c r="P784" s="8"/>
    </row>
    <row r="785" spans="1:16" x14ac:dyDescent="0.25">
      <c r="A785" s="8">
        <f t="shared" si="48"/>
        <v>787</v>
      </c>
      <c r="B785" s="8">
        <f t="shared" si="49"/>
        <v>1</v>
      </c>
      <c r="C785" s="8">
        <f t="shared" si="50"/>
        <v>150.58755874633769</v>
      </c>
      <c r="D785" s="8">
        <v>787</v>
      </c>
      <c r="E785" s="8">
        <v>53.415443420410099</v>
      </c>
      <c r="F785" s="8">
        <v>33.678054809570298</v>
      </c>
      <c r="G785" s="8"/>
      <c r="H785" s="8">
        <v>787</v>
      </c>
      <c r="I785" s="8">
        <v>47.140819549560497</v>
      </c>
      <c r="J785" s="8">
        <v>34.119956970214801</v>
      </c>
      <c r="K785" s="8"/>
      <c r="L785" s="8">
        <v>787</v>
      </c>
      <c r="M785" s="8">
        <v>50.031295776367102</v>
      </c>
      <c r="N785" s="8">
        <v>33.797435760497997</v>
      </c>
      <c r="P785" s="8"/>
    </row>
    <row r="786" spans="1:16" x14ac:dyDescent="0.25">
      <c r="A786" s="8">
        <f t="shared" si="48"/>
        <v>788</v>
      </c>
      <c r="B786" s="8">
        <f t="shared" si="49"/>
        <v>1</v>
      </c>
      <c r="C786" s="8">
        <f t="shared" si="50"/>
        <v>116.5875282287596</v>
      </c>
      <c r="D786" s="8">
        <v>788</v>
      </c>
      <c r="E786" s="8">
        <v>39.435287475585902</v>
      </c>
      <c r="F786" s="8">
        <v>32.756790161132798</v>
      </c>
      <c r="G786" s="8"/>
      <c r="H786" s="8">
        <v>788</v>
      </c>
      <c r="I786" s="8">
        <v>49.329906463622997</v>
      </c>
      <c r="J786" s="8">
        <v>33.032394409179602</v>
      </c>
      <c r="K786" s="8"/>
      <c r="L786" s="8">
        <v>788</v>
      </c>
      <c r="M786" s="8">
        <v>27.8223342895507</v>
      </c>
      <c r="N786" s="8">
        <v>32.863822937011697</v>
      </c>
      <c r="P786" s="8"/>
    </row>
    <row r="787" spans="1:16" x14ac:dyDescent="0.25">
      <c r="A787" s="8">
        <f t="shared" si="48"/>
        <v>789</v>
      </c>
      <c r="B787" s="8">
        <f t="shared" si="49"/>
        <v>1</v>
      </c>
      <c r="C787" s="8">
        <f t="shared" si="50"/>
        <v>165.95449447631822</v>
      </c>
      <c r="D787" s="8">
        <v>789</v>
      </c>
      <c r="E787" s="8">
        <v>76.647956848144503</v>
      </c>
      <c r="F787" s="8">
        <v>38.0835762023925</v>
      </c>
      <c r="G787" s="8"/>
      <c r="H787" s="8">
        <v>789</v>
      </c>
      <c r="I787" s="8">
        <v>56.892246246337798</v>
      </c>
      <c r="J787" s="8">
        <v>39.762371063232401</v>
      </c>
      <c r="K787" s="8"/>
      <c r="L787" s="8">
        <v>789</v>
      </c>
      <c r="M787" s="8">
        <v>32.414291381835902</v>
      </c>
      <c r="N787" s="8">
        <v>38.161468505859297</v>
      </c>
      <c r="P787" s="8"/>
    </row>
    <row r="788" spans="1:16" x14ac:dyDescent="0.25">
      <c r="A788" s="8">
        <f t="shared" si="48"/>
        <v>790</v>
      </c>
      <c r="B788" s="8">
        <f t="shared" si="49"/>
        <v>1</v>
      </c>
      <c r="C788" s="8">
        <f t="shared" si="50"/>
        <v>110.37961578369119</v>
      </c>
      <c r="D788" s="8">
        <v>790</v>
      </c>
      <c r="E788" s="8">
        <v>43.197811126708899</v>
      </c>
      <c r="F788" s="8">
        <v>38.041000366210902</v>
      </c>
      <c r="G788" s="8"/>
      <c r="H788" s="8">
        <v>790</v>
      </c>
      <c r="I788" s="8">
        <v>34.60835647583</v>
      </c>
      <c r="J788" s="8">
        <v>38.804424285888601</v>
      </c>
      <c r="K788" s="8"/>
      <c r="L788" s="8">
        <v>790</v>
      </c>
      <c r="M788" s="8">
        <v>32.573448181152301</v>
      </c>
      <c r="N788" s="8">
        <v>38.4055976867675</v>
      </c>
      <c r="P788" s="8"/>
    </row>
    <row r="789" spans="1:16" x14ac:dyDescent="0.25">
      <c r="A789" s="8">
        <f t="shared" si="48"/>
        <v>791</v>
      </c>
      <c r="B789" s="8">
        <f t="shared" si="49"/>
        <v>1</v>
      </c>
      <c r="C789" s="8">
        <f t="shared" si="50"/>
        <v>0</v>
      </c>
      <c r="D789" s="8">
        <v>791</v>
      </c>
      <c r="E789" s="8">
        <v>0</v>
      </c>
      <c r="F789" s="8">
        <v>11.140663146972599</v>
      </c>
      <c r="G789" s="8"/>
      <c r="H789" s="8">
        <v>791</v>
      </c>
      <c r="I789" s="8">
        <v>0</v>
      </c>
      <c r="J789" s="8">
        <v>11.3286952972412</v>
      </c>
      <c r="K789" s="8"/>
      <c r="L789" s="8">
        <v>791</v>
      </c>
      <c r="M789" s="8">
        <v>0</v>
      </c>
      <c r="N789" s="8">
        <v>11.262977600097599</v>
      </c>
      <c r="P789" s="8"/>
    </row>
    <row r="790" spans="1:16" x14ac:dyDescent="0.25">
      <c r="A790" s="8">
        <f t="shared" si="48"/>
        <v>792</v>
      </c>
      <c r="B790" s="8">
        <f t="shared" si="49"/>
        <v>1</v>
      </c>
      <c r="C790" s="8">
        <f t="shared" si="50"/>
        <v>0</v>
      </c>
      <c r="D790" s="8">
        <v>792</v>
      </c>
      <c r="E790" s="8">
        <v>0</v>
      </c>
      <c r="F790" s="8">
        <v>10.4055862426757</v>
      </c>
      <c r="G790" s="8"/>
      <c r="H790" s="8">
        <v>792</v>
      </c>
      <c r="I790" s="8">
        <v>0</v>
      </c>
      <c r="J790" s="8">
        <v>10.51984500885</v>
      </c>
      <c r="K790" s="8"/>
      <c r="L790" s="8">
        <v>792</v>
      </c>
      <c r="M790" s="8">
        <v>0</v>
      </c>
      <c r="N790" s="8">
        <v>10.495826721191399</v>
      </c>
      <c r="P790" s="8"/>
    </row>
    <row r="791" spans="1:16" x14ac:dyDescent="0.25">
      <c r="A791" s="8">
        <f t="shared" si="48"/>
        <v>793</v>
      </c>
      <c r="B791" s="8">
        <f t="shared" si="49"/>
        <v>1</v>
      </c>
      <c r="C791" s="8">
        <f t="shared" si="50"/>
        <v>0</v>
      </c>
      <c r="D791" s="8">
        <v>793</v>
      </c>
      <c r="E791" s="8">
        <v>0</v>
      </c>
      <c r="F791" s="8">
        <v>38.89306640625</v>
      </c>
      <c r="G791" s="8"/>
      <c r="H791" s="8">
        <v>793</v>
      </c>
      <c r="I791" s="8">
        <v>0</v>
      </c>
      <c r="J791" s="8">
        <v>39.877098083496001</v>
      </c>
      <c r="K791" s="8"/>
      <c r="L791" s="8">
        <v>793</v>
      </c>
      <c r="M791" s="8">
        <v>0</v>
      </c>
      <c r="N791" s="8">
        <v>39.05419921875</v>
      </c>
      <c r="P791" s="8"/>
    </row>
    <row r="792" spans="1:16" x14ac:dyDescent="0.25">
      <c r="A792" s="8">
        <f t="shared" si="48"/>
        <v>794</v>
      </c>
      <c r="B792" s="8">
        <f t="shared" si="49"/>
        <v>1</v>
      </c>
      <c r="C792" s="8">
        <f t="shared" si="50"/>
        <v>6.6666670143604195E-2</v>
      </c>
      <c r="D792" s="8">
        <v>794</v>
      </c>
      <c r="E792" s="8">
        <v>0</v>
      </c>
      <c r="F792" s="8">
        <v>28.6903171539306</v>
      </c>
      <c r="G792" s="8"/>
      <c r="H792" s="8">
        <v>794</v>
      </c>
      <c r="I792" s="8">
        <v>3.3333335071802098E-2</v>
      </c>
      <c r="J792" s="8">
        <v>29.022483825683501</v>
      </c>
      <c r="K792" s="8"/>
      <c r="L792" s="8">
        <v>794</v>
      </c>
      <c r="M792" s="8">
        <v>3.3333335071802098E-2</v>
      </c>
      <c r="N792" s="8">
        <v>28.9227180480957</v>
      </c>
      <c r="P792" s="8"/>
    </row>
    <row r="793" spans="1:16" x14ac:dyDescent="0.25">
      <c r="A793" s="8">
        <f t="shared" si="48"/>
        <v>795</v>
      </c>
      <c r="B793" s="8">
        <f t="shared" si="49"/>
        <v>1</v>
      </c>
      <c r="C793" s="8">
        <f t="shared" si="50"/>
        <v>0.13333334028720839</v>
      </c>
      <c r="D793" s="8">
        <v>795</v>
      </c>
      <c r="E793" s="8">
        <v>0</v>
      </c>
      <c r="F793" s="8">
        <v>29.296068191528299</v>
      </c>
      <c r="G793" s="8"/>
      <c r="H793" s="8">
        <v>795</v>
      </c>
      <c r="I793" s="8">
        <v>6.6666670143604195E-2</v>
      </c>
      <c r="J793" s="8">
        <v>29.70969581604</v>
      </c>
      <c r="K793" s="8"/>
      <c r="L793" s="8">
        <v>795</v>
      </c>
      <c r="M793" s="8">
        <v>6.6666670143604195E-2</v>
      </c>
      <c r="N793" s="8">
        <v>29.469570159912099</v>
      </c>
      <c r="P793" s="8"/>
    </row>
    <row r="794" spans="1:16" x14ac:dyDescent="0.25">
      <c r="A794" s="8">
        <f t="shared" si="48"/>
        <v>796</v>
      </c>
      <c r="B794" s="8">
        <f t="shared" si="49"/>
        <v>1</v>
      </c>
      <c r="C794" s="8">
        <f t="shared" si="50"/>
        <v>5</v>
      </c>
      <c r="D794" s="8">
        <v>796</v>
      </c>
      <c r="E794" s="8">
        <v>0</v>
      </c>
      <c r="F794" s="8">
        <v>21.872320175170898</v>
      </c>
      <c r="G794" s="8"/>
      <c r="H794" s="8">
        <v>796</v>
      </c>
      <c r="I794" s="8">
        <v>2</v>
      </c>
      <c r="J794" s="8">
        <v>23.002178192138601</v>
      </c>
      <c r="K794" s="8"/>
      <c r="L794" s="8">
        <v>796</v>
      </c>
      <c r="M794" s="8">
        <v>3</v>
      </c>
      <c r="N794" s="8">
        <v>21.6527004241943</v>
      </c>
      <c r="P794" s="8"/>
    </row>
    <row r="795" spans="1:16" x14ac:dyDescent="0.25">
      <c r="A795" s="8">
        <f t="shared" si="48"/>
        <v>797</v>
      </c>
      <c r="B795" s="8">
        <f t="shared" si="49"/>
        <v>1</v>
      </c>
      <c r="C795" s="8">
        <f t="shared" si="50"/>
        <v>57.095857620239094</v>
      </c>
      <c r="D795" s="8">
        <v>797</v>
      </c>
      <c r="E795" s="8">
        <v>25.313817977905199</v>
      </c>
      <c r="F795" s="8">
        <v>71.048683166503906</v>
      </c>
      <c r="G795" s="8"/>
      <c r="H795" s="8">
        <v>797</v>
      </c>
      <c r="I795" s="8">
        <v>19.044031143188398</v>
      </c>
      <c r="J795" s="8">
        <v>78.503372192382798</v>
      </c>
      <c r="K795" s="8"/>
      <c r="L795" s="8">
        <v>797</v>
      </c>
      <c r="M795" s="8">
        <v>12.738008499145501</v>
      </c>
      <c r="N795" s="8">
        <v>72.034255981445298</v>
      </c>
      <c r="P795" s="8"/>
    </row>
    <row r="796" spans="1:16" x14ac:dyDescent="0.25">
      <c r="A796" s="8">
        <f t="shared" si="48"/>
        <v>798</v>
      </c>
      <c r="B796" s="8">
        <f t="shared" si="49"/>
        <v>1</v>
      </c>
      <c r="C796" s="8">
        <f t="shared" si="50"/>
        <v>28.64485311508173</v>
      </c>
      <c r="D796" s="8">
        <v>798</v>
      </c>
      <c r="E796" s="8">
        <v>14.344066619873001</v>
      </c>
      <c r="F796" s="8">
        <v>50.584705352783203</v>
      </c>
      <c r="G796" s="8"/>
      <c r="H796" s="8">
        <v>798</v>
      </c>
      <c r="I796" s="8">
        <v>9.0348844528198207</v>
      </c>
      <c r="J796" s="8">
        <v>54.709743499755803</v>
      </c>
      <c r="K796" s="8"/>
      <c r="L796" s="8">
        <v>798</v>
      </c>
      <c r="M796" s="8">
        <v>5.2659020423889098</v>
      </c>
      <c r="N796" s="8">
        <v>51.389614105224602</v>
      </c>
      <c r="P796" s="8"/>
    </row>
    <row r="797" spans="1:16" x14ac:dyDescent="0.25">
      <c r="A797" s="8">
        <f t="shared" si="48"/>
        <v>799</v>
      </c>
      <c r="B797" s="8">
        <f t="shared" si="49"/>
        <v>1</v>
      </c>
      <c r="C797" s="8">
        <f t="shared" si="50"/>
        <v>198.96262359619132</v>
      </c>
      <c r="D797" s="8">
        <v>799</v>
      </c>
      <c r="E797" s="8">
        <v>85.810951232910099</v>
      </c>
      <c r="F797" s="8">
        <v>97.148712158203097</v>
      </c>
      <c r="G797" s="8"/>
      <c r="H797" s="8">
        <v>799</v>
      </c>
      <c r="I797" s="8">
        <v>67.603836059570298</v>
      </c>
      <c r="J797" s="8">
        <v>105.38777923583901</v>
      </c>
      <c r="K797" s="8"/>
      <c r="L797" s="8">
        <v>799</v>
      </c>
      <c r="M797" s="8">
        <v>45.547836303710902</v>
      </c>
      <c r="N797" s="8">
        <v>98.103164672851506</v>
      </c>
      <c r="P797" s="8"/>
    </row>
    <row r="798" spans="1:16" x14ac:dyDescent="0.25">
      <c r="A798" s="8">
        <f t="shared" si="48"/>
        <v>800</v>
      </c>
      <c r="B798" s="8">
        <f t="shared" si="49"/>
        <v>1</v>
      </c>
      <c r="C798" s="8">
        <f t="shared" si="50"/>
        <v>129.9756927490233</v>
      </c>
      <c r="D798" s="8">
        <v>800</v>
      </c>
      <c r="E798" s="8">
        <v>46.632122039794901</v>
      </c>
      <c r="F798" s="8">
        <v>89.895576477050696</v>
      </c>
      <c r="G798" s="8"/>
      <c r="H798" s="8">
        <v>800</v>
      </c>
      <c r="I798" s="8">
        <v>49.1964302062988</v>
      </c>
      <c r="J798" s="8">
        <v>91.799507141113196</v>
      </c>
      <c r="K798" s="8"/>
      <c r="L798" s="8">
        <v>800</v>
      </c>
      <c r="M798" s="8">
        <v>34.147140502929602</v>
      </c>
      <c r="N798" s="8">
        <v>91.086692810058594</v>
      </c>
      <c r="P798" s="8"/>
    </row>
    <row r="799" spans="1:16" x14ac:dyDescent="0.25">
      <c r="A799" s="8">
        <f t="shared" si="48"/>
        <v>801</v>
      </c>
      <c r="B799" s="8">
        <f t="shared" si="49"/>
        <v>1</v>
      </c>
      <c r="C799" s="8">
        <f t="shared" si="50"/>
        <v>102.26712036132801</v>
      </c>
      <c r="D799" s="8">
        <v>801</v>
      </c>
      <c r="E799" s="8">
        <v>35.581470489501903</v>
      </c>
      <c r="F799" s="8">
        <v>67.993415832519503</v>
      </c>
      <c r="G799" s="8"/>
      <c r="H799" s="8">
        <v>801</v>
      </c>
      <c r="I799" s="8">
        <v>40.346035003662102</v>
      </c>
      <c r="J799" s="8">
        <v>69.4715576171875</v>
      </c>
      <c r="K799" s="8"/>
      <c r="L799" s="8">
        <v>801</v>
      </c>
      <c r="M799" s="8">
        <v>26.339614868163999</v>
      </c>
      <c r="N799" s="8">
        <v>69.079132080078097</v>
      </c>
      <c r="P799" s="8"/>
    </row>
    <row r="800" spans="1:16" x14ac:dyDescent="0.25">
      <c r="A800" s="8">
        <f t="shared" si="48"/>
        <v>802</v>
      </c>
      <c r="B800" s="8">
        <f t="shared" si="49"/>
        <v>1</v>
      </c>
      <c r="C800" s="8">
        <f t="shared" si="50"/>
        <v>83.343709945678498</v>
      </c>
      <c r="D800" s="8">
        <v>802</v>
      </c>
      <c r="E800" s="8">
        <v>25.342226028442301</v>
      </c>
      <c r="F800" s="8">
        <v>36.156814575195298</v>
      </c>
      <c r="G800" s="8"/>
      <c r="H800" s="8">
        <v>802</v>
      </c>
      <c r="I800" s="8">
        <v>30.2122783660888</v>
      </c>
      <c r="J800" s="8">
        <v>37.199062347412102</v>
      </c>
      <c r="K800" s="8"/>
      <c r="L800" s="8">
        <v>802</v>
      </c>
      <c r="M800" s="8">
        <v>27.789205551147401</v>
      </c>
      <c r="N800" s="8">
        <v>36.692588806152301</v>
      </c>
      <c r="P800" s="8"/>
    </row>
    <row r="801" spans="1:16" x14ac:dyDescent="0.25">
      <c r="A801" s="8">
        <f t="shared" si="48"/>
        <v>803</v>
      </c>
      <c r="B801" s="8">
        <f t="shared" si="49"/>
        <v>1</v>
      </c>
      <c r="C801" s="8">
        <f t="shared" si="50"/>
        <v>62.507791519164897</v>
      </c>
      <c r="D801" s="8">
        <v>803</v>
      </c>
      <c r="E801" s="8">
        <v>19.006669998168899</v>
      </c>
      <c r="F801" s="8">
        <v>30.261203765869102</v>
      </c>
      <c r="G801" s="8"/>
      <c r="H801" s="8">
        <v>803</v>
      </c>
      <c r="I801" s="8">
        <v>22.659214019775298</v>
      </c>
      <c r="J801" s="8">
        <v>31.064811706542901</v>
      </c>
      <c r="K801" s="8"/>
      <c r="L801" s="8">
        <v>803</v>
      </c>
      <c r="M801" s="8">
        <v>20.8419075012207</v>
      </c>
      <c r="N801" s="8">
        <v>30.766239166259702</v>
      </c>
      <c r="P801" s="8"/>
    </row>
    <row r="802" spans="1:16" x14ac:dyDescent="0.25">
      <c r="A802" s="8">
        <f t="shared" si="48"/>
        <v>804</v>
      </c>
      <c r="B802" s="8">
        <f t="shared" si="49"/>
        <v>1</v>
      </c>
      <c r="C802" s="8">
        <f t="shared" si="50"/>
        <v>78.061447143554489</v>
      </c>
      <c r="D802" s="8">
        <v>804</v>
      </c>
      <c r="E802" s="8">
        <v>29.5957012176513</v>
      </c>
      <c r="F802" s="8">
        <v>34.827178955078097</v>
      </c>
      <c r="G802" s="8"/>
      <c r="H802" s="8">
        <v>804</v>
      </c>
      <c r="I802" s="8">
        <v>25.770662307739201</v>
      </c>
      <c r="J802" s="8">
        <v>35.423843383788999</v>
      </c>
      <c r="K802" s="8"/>
      <c r="L802" s="8">
        <v>804</v>
      </c>
      <c r="M802" s="8">
        <v>22.695083618163999</v>
      </c>
      <c r="N802" s="8">
        <v>35.202529907226499</v>
      </c>
      <c r="P802" s="8"/>
    </row>
    <row r="803" spans="1:16" x14ac:dyDescent="0.25">
      <c r="A803" s="8">
        <f t="shared" si="48"/>
        <v>805</v>
      </c>
      <c r="B803" s="8">
        <f t="shared" si="49"/>
        <v>1</v>
      </c>
      <c r="C803" s="8">
        <f t="shared" si="50"/>
        <v>15.61228942871093</v>
      </c>
      <c r="D803" s="8">
        <v>805</v>
      </c>
      <c r="E803" s="8">
        <v>5.9191408157348597</v>
      </c>
      <c r="F803" s="8">
        <v>30.364475250244102</v>
      </c>
      <c r="G803" s="8"/>
      <c r="H803" s="8">
        <v>805</v>
      </c>
      <c r="I803" s="8">
        <v>5.1541318893432599</v>
      </c>
      <c r="J803" s="8">
        <v>30.9409275054931</v>
      </c>
      <c r="K803" s="8"/>
      <c r="L803" s="8">
        <v>805</v>
      </c>
      <c r="M803" s="8">
        <v>4.5390167236328098</v>
      </c>
      <c r="N803" s="8">
        <v>30.733053207397401</v>
      </c>
      <c r="P803" s="8"/>
    </row>
    <row r="804" spans="1:16" x14ac:dyDescent="0.25">
      <c r="A804" s="8">
        <f t="shared" si="48"/>
        <v>806</v>
      </c>
      <c r="B804" s="8">
        <f t="shared" si="49"/>
        <v>1</v>
      </c>
      <c r="C804" s="8">
        <f t="shared" si="50"/>
        <v>677.71014404296704</v>
      </c>
      <c r="D804" s="8">
        <v>806</v>
      </c>
      <c r="E804" s="8">
        <v>216.51971435546801</v>
      </c>
      <c r="F804" s="8">
        <v>52.520950317382798</v>
      </c>
      <c r="G804" s="8"/>
      <c r="H804" s="8">
        <v>806</v>
      </c>
      <c r="I804" s="8">
        <v>241.09355163574199</v>
      </c>
      <c r="J804" s="8">
        <v>53.412506103515597</v>
      </c>
      <c r="K804" s="8"/>
      <c r="L804" s="8">
        <v>806</v>
      </c>
      <c r="M804" s="8">
        <v>220.09687805175699</v>
      </c>
      <c r="N804" s="8">
        <v>52.9312744140625</v>
      </c>
      <c r="P804" s="8"/>
    </row>
    <row r="805" spans="1:16" x14ac:dyDescent="0.25">
      <c r="A805" s="8">
        <f t="shared" si="48"/>
        <v>807</v>
      </c>
      <c r="B805" s="8">
        <f t="shared" si="49"/>
        <v>1</v>
      </c>
      <c r="C805" s="8">
        <f t="shared" si="50"/>
        <v>277.07077789306618</v>
      </c>
      <c r="D805" s="8">
        <v>807</v>
      </c>
      <c r="E805" s="8">
        <v>94.474288940429602</v>
      </c>
      <c r="F805" s="8">
        <v>51.740715026855398</v>
      </c>
      <c r="G805" s="8"/>
      <c r="H805" s="8">
        <v>807</v>
      </c>
      <c r="I805" s="8">
        <v>111.82936096191401</v>
      </c>
      <c r="J805" s="8">
        <v>52.408214569091797</v>
      </c>
      <c r="K805" s="8"/>
      <c r="L805" s="8">
        <v>807</v>
      </c>
      <c r="M805" s="8">
        <v>70.767127990722599</v>
      </c>
      <c r="N805" s="8">
        <v>52.131477355957003</v>
      </c>
      <c r="P805" s="8"/>
    </row>
    <row r="806" spans="1:16" x14ac:dyDescent="0.25">
      <c r="A806" s="8">
        <f t="shared" si="48"/>
        <v>808</v>
      </c>
      <c r="B806" s="8">
        <f t="shared" si="49"/>
        <v>1</v>
      </c>
      <c r="C806" s="8">
        <f t="shared" si="50"/>
        <v>57.601198196411097</v>
      </c>
      <c r="D806" s="8">
        <v>808</v>
      </c>
      <c r="E806" s="8">
        <v>19.402217864990199</v>
      </c>
      <c r="F806" s="8">
        <v>26.810461044311499</v>
      </c>
      <c r="G806" s="8"/>
      <c r="H806" s="8">
        <v>808</v>
      </c>
      <c r="I806" s="8">
        <v>21.365362167358398</v>
      </c>
      <c r="J806" s="8">
        <v>27.268915176391602</v>
      </c>
      <c r="K806" s="8"/>
      <c r="L806" s="8">
        <v>808</v>
      </c>
      <c r="M806" s="8">
        <v>16.8336181640625</v>
      </c>
      <c r="N806" s="8">
        <v>26.909265518188398</v>
      </c>
      <c r="P806" s="8"/>
    </row>
    <row r="807" spans="1:16" x14ac:dyDescent="0.25">
      <c r="A807" s="8">
        <f t="shared" si="48"/>
        <v>809</v>
      </c>
      <c r="B807" s="8">
        <f t="shared" si="49"/>
        <v>1</v>
      </c>
      <c r="C807" s="8">
        <f t="shared" si="50"/>
        <v>19.493702888488752</v>
      </c>
      <c r="D807" s="8">
        <v>809</v>
      </c>
      <c r="E807" s="8">
        <v>6.4716010093688903</v>
      </c>
      <c r="F807" s="8">
        <v>24.182428359985298</v>
      </c>
      <c r="G807" s="8"/>
      <c r="H807" s="8">
        <v>809</v>
      </c>
      <c r="I807" s="8">
        <v>6.0872178077697701</v>
      </c>
      <c r="J807" s="8">
        <v>24.276002883911101</v>
      </c>
      <c r="K807" s="8"/>
      <c r="L807" s="8">
        <v>809</v>
      </c>
      <c r="M807" s="8">
        <v>6.9348840713500897</v>
      </c>
      <c r="N807" s="8">
        <v>24.2285976409912</v>
      </c>
      <c r="P807" s="8"/>
    </row>
    <row r="808" spans="1:16" x14ac:dyDescent="0.25">
      <c r="A808" s="8">
        <f t="shared" si="48"/>
        <v>810</v>
      </c>
      <c r="B808" s="8">
        <f t="shared" si="49"/>
        <v>1</v>
      </c>
      <c r="C808" s="8">
        <f t="shared" si="50"/>
        <v>10.29299688339232</v>
      </c>
      <c r="D808" s="8">
        <v>810</v>
      </c>
      <c r="E808" s="8">
        <v>3.82931280136108</v>
      </c>
      <c r="F808" s="8">
        <v>36.815113067626903</v>
      </c>
      <c r="G808" s="8"/>
      <c r="H808" s="8">
        <v>810</v>
      </c>
      <c r="I808" s="8">
        <v>4.0425691604614196</v>
      </c>
      <c r="J808" s="8">
        <v>37.460514068603501</v>
      </c>
      <c r="K808" s="8"/>
      <c r="L808" s="8">
        <v>810</v>
      </c>
      <c r="M808" s="8">
        <v>2.4211149215698198</v>
      </c>
      <c r="N808" s="8">
        <v>36.908653259277301</v>
      </c>
      <c r="P808" s="8"/>
    </row>
    <row r="809" spans="1:16" x14ac:dyDescent="0.25">
      <c r="A809" s="8">
        <f t="shared" si="48"/>
        <v>811</v>
      </c>
      <c r="B809" s="8">
        <f t="shared" si="49"/>
        <v>1</v>
      </c>
      <c r="C809" s="8">
        <f t="shared" si="50"/>
        <v>54.849155426025192</v>
      </c>
      <c r="D809" s="8">
        <v>811</v>
      </c>
      <c r="E809" s="8">
        <v>18.4478340148925</v>
      </c>
      <c r="F809" s="8">
        <v>44.742229461669901</v>
      </c>
      <c r="G809" s="8"/>
      <c r="H809" s="8">
        <v>811</v>
      </c>
      <c r="I809" s="8">
        <v>19.6214294433593</v>
      </c>
      <c r="J809" s="8">
        <v>45.6358833312988</v>
      </c>
      <c r="K809" s="8"/>
      <c r="L809" s="8">
        <v>811</v>
      </c>
      <c r="M809" s="8">
        <v>16.779891967773398</v>
      </c>
      <c r="N809" s="8">
        <v>45.3293647766113</v>
      </c>
      <c r="P809" s="8"/>
    </row>
    <row r="810" spans="1:16" x14ac:dyDescent="0.25">
      <c r="A810" s="8">
        <f t="shared" si="48"/>
        <v>812</v>
      </c>
      <c r="B810" s="8">
        <f t="shared" si="49"/>
        <v>1</v>
      </c>
      <c r="C810" s="8">
        <f t="shared" si="50"/>
        <v>46.652176856994501</v>
      </c>
      <c r="D810" s="8">
        <v>812</v>
      </c>
      <c r="E810" s="8">
        <v>18.498069763183501</v>
      </c>
      <c r="F810" s="8">
        <v>45.938796997070298</v>
      </c>
      <c r="G810" s="8"/>
      <c r="H810" s="8">
        <v>812</v>
      </c>
      <c r="I810" s="8">
        <v>16.228458404541001</v>
      </c>
      <c r="J810" s="8">
        <v>46.985881805419901</v>
      </c>
      <c r="K810" s="8"/>
      <c r="L810" s="8">
        <v>812</v>
      </c>
      <c r="M810" s="8">
        <v>11.92564868927</v>
      </c>
      <c r="N810" s="8">
        <v>46.539180755615199</v>
      </c>
      <c r="P810" s="8"/>
    </row>
    <row r="811" spans="1:16" x14ac:dyDescent="0.25">
      <c r="A811" s="8">
        <f t="shared" si="48"/>
        <v>813</v>
      </c>
      <c r="B811" s="8">
        <f t="shared" si="49"/>
        <v>1</v>
      </c>
      <c r="C811" s="8">
        <f t="shared" si="50"/>
        <v>61</v>
      </c>
      <c r="D811" s="8">
        <v>813</v>
      </c>
      <c r="E811" s="8">
        <v>26</v>
      </c>
      <c r="F811" s="8">
        <v>30.602695465087798</v>
      </c>
      <c r="G811" s="8"/>
      <c r="H811" s="8">
        <v>813</v>
      </c>
      <c r="I811" s="8">
        <v>17</v>
      </c>
      <c r="J811" s="8">
        <v>31.379949569702099</v>
      </c>
      <c r="K811" s="8"/>
      <c r="L811" s="8">
        <v>813</v>
      </c>
      <c r="M811" s="8">
        <v>18</v>
      </c>
      <c r="N811" s="8">
        <v>30.959575653076101</v>
      </c>
      <c r="P811" s="8"/>
    </row>
    <row r="812" spans="1:16" x14ac:dyDescent="0.25">
      <c r="A812" s="8">
        <f t="shared" si="48"/>
        <v>814</v>
      </c>
      <c r="B812" s="8">
        <f t="shared" si="49"/>
        <v>1</v>
      </c>
      <c r="C812" s="8">
        <f t="shared" si="50"/>
        <v>60.5127334594725</v>
      </c>
      <c r="D812" s="8">
        <v>814</v>
      </c>
      <c r="E812" s="8">
        <v>14.437944412231399</v>
      </c>
      <c r="F812" s="8">
        <v>29.2885227203369</v>
      </c>
      <c r="G812" s="8"/>
      <c r="H812" s="8">
        <v>814</v>
      </c>
      <c r="I812" s="8">
        <v>26.8975620269775</v>
      </c>
      <c r="J812" s="8">
        <v>29.6157112121582</v>
      </c>
      <c r="K812" s="8"/>
      <c r="L812" s="8">
        <v>814</v>
      </c>
      <c r="M812" s="8">
        <v>19.177227020263601</v>
      </c>
      <c r="N812" s="8">
        <v>29.507816314697202</v>
      </c>
      <c r="P812" s="8"/>
    </row>
    <row r="813" spans="1:16" x14ac:dyDescent="0.25">
      <c r="A813" s="8">
        <f t="shared" si="48"/>
        <v>815</v>
      </c>
      <c r="B813" s="8">
        <f t="shared" si="49"/>
        <v>1</v>
      </c>
      <c r="C813" s="8">
        <f t="shared" si="50"/>
        <v>41.700000762939297</v>
      </c>
      <c r="D813" s="8">
        <v>815</v>
      </c>
      <c r="E813" s="8">
        <v>19.100000381469702</v>
      </c>
      <c r="F813" s="8">
        <v>28.035720825195298</v>
      </c>
      <c r="G813" s="8"/>
      <c r="H813" s="8">
        <v>815</v>
      </c>
      <c r="I813" s="8">
        <v>12.300000190734799</v>
      </c>
      <c r="J813" s="8">
        <v>28.639141082763601</v>
      </c>
      <c r="K813" s="8"/>
      <c r="L813" s="8">
        <v>815</v>
      </c>
      <c r="M813" s="8">
        <v>10.300000190734799</v>
      </c>
      <c r="N813" s="8">
        <v>28.339389801025298</v>
      </c>
      <c r="P813" s="8"/>
    </row>
    <row r="814" spans="1:16" x14ac:dyDescent="0.25">
      <c r="A814" s="8">
        <f t="shared" si="48"/>
        <v>816</v>
      </c>
      <c r="B814" s="8">
        <f t="shared" si="49"/>
        <v>1</v>
      </c>
      <c r="C814" s="8">
        <f t="shared" si="50"/>
        <v>12.83987355232237</v>
      </c>
      <c r="D814" s="8">
        <v>816</v>
      </c>
      <c r="E814" s="8">
        <v>4.2742033004760698</v>
      </c>
      <c r="F814" s="8">
        <v>26.911684036254801</v>
      </c>
      <c r="G814" s="8"/>
      <c r="H814" s="8">
        <v>816</v>
      </c>
      <c r="I814" s="8">
        <v>4.8786525726318297</v>
      </c>
      <c r="J814" s="8">
        <v>27.429567337036101</v>
      </c>
      <c r="K814" s="8"/>
      <c r="L814" s="8">
        <v>816</v>
      </c>
      <c r="M814" s="8">
        <v>3.68701767921447</v>
      </c>
      <c r="N814" s="8">
        <v>27.252305984496999</v>
      </c>
      <c r="P814" s="8"/>
    </row>
    <row r="815" spans="1:16" x14ac:dyDescent="0.25">
      <c r="A815" s="8">
        <f t="shared" si="48"/>
        <v>817</v>
      </c>
      <c r="B815" s="8">
        <f t="shared" si="49"/>
        <v>1</v>
      </c>
      <c r="C815" s="8">
        <f t="shared" si="50"/>
        <v>26.999747276306103</v>
      </c>
      <c r="D815" s="8">
        <v>817</v>
      </c>
      <c r="E815" s="8">
        <v>8.5884065628051705</v>
      </c>
      <c r="F815" s="8">
        <v>28.924219131469702</v>
      </c>
      <c r="G815" s="8"/>
      <c r="H815" s="8">
        <v>817</v>
      </c>
      <c r="I815" s="8">
        <v>10.157304763793899</v>
      </c>
      <c r="J815" s="8">
        <v>29.456523895263601</v>
      </c>
      <c r="K815" s="8"/>
      <c r="L815" s="8">
        <v>817</v>
      </c>
      <c r="M815" s="8">
        <v>8.2540359497070295</v>
      </c>
      <c r="N815" s="8">
        <v>29.2745456695556</v>
      </c>
      <c r="P815" s="8"/>
    </row>
    <row r="816" spans="1:16" x14ac:dyDescent="0.25">
      <c r="A816" s="8">
        <f t="shared" si="48"/>
        <v>818</v>
      </c>
      <c r="B816" s="8">
        <f t="shared" si="49"/>
        <v>1</v>
      </c>
      <c r="C816" s="8">
        <f t="shared" si="50"/>
        <v>3.9061899185180504</v>
      </c>
      <c r="D816" s="8">
        <v>818</v>
      </c>
      <c r="E816" s="8">
        <v>1.22046494483947</v>
      </c>
      <c r="F816" s="8">
        <v>17.319267272949201</v>
      </c>
      <c r="G816" s="8"/>
      <c r="H816" s="8">
        <v>818</v>
      </c>
      <c r="I816" s="8">
        <v>1.4321656227111801</v>
      </c>
      <c r="J816" s="8">
        <v>17.9176921844482</v>
      </c>
      <c r="K816" s="8"/>
      <c r="L816" s="8">
        <v>818</v>
      </c>
      <c r="M816" s="8">
        <v>1.2535593509673999</v>
      </c>
      <c r="N816" s="8">
        <v>17.764142990112301</v>
      </c>
      <c r="P816" s="8"/>
    </row>
    <row r="817" spans="1:16" x14ac:dyDescent="0.25">
      <c r="A817" s="8">
        <f t="shared" si="48"/>
        <v>819</v>
      </c>
      <c r="B817" s="8">
        <f t="shared" si="49"/>
        <v>1</v>
      </c>
      <c r="C817" s="8">
        <f t="shared" si="50"/>
        <v>3.9061899185180504</v>
      </c>
      <c r="D817" s="8">
        <v>819</v>
      </c>
      <c r="E817" s="8">
        <v>1.22046494483947</v>
      </c>
      <c r="F817" s="8">
        <v>25.553560256958001</v>
      </c>
      <c r="G817" s="8"/>
      <c r="H817" s="8">
        <v>819</v>
      </c>
      <c r="I817" s="8">
        <v>1.4321656227111801</v>
      </c>
      <c r="J817" s="8">
        <v>27.557985305786101</v>
      </c>
      <c r="K817" s="8"/>
      <c r="L817" s="8">
        <v>819</v>
      </c>
      <c r="M817" s="8">
        <v>1.2535593509673999</v>
      </c>
      <c r="N817" s="8">
        <v>26.8644084930419</v>
      </c>
      <c r="P817" s="8"/>
    </row>
    <row r="818" spans="1:16" x14ac:dyDescent="0.25">
      <c r="A818" s="8">
        <f t="shared" si="48"/>
        <v>820</v>
      </c>
      <c r="B818" s="8">
        <f t="shared" si="49"/>
        <v>1</v>
      </c>
      <c r="C818" s="8">
        <f t="shared" si="50"/>
        <v>11.718569755554189</v>
      </c>
      <c r="D818" s="8">
        <v>820</v>
      </c>
      <c r="E818" s="8">
        <v>3.66139459609985</v>
      </c>
      <c r="F818" s="8">
        <v>19.069025039672798</v>
      </c>
      <c r="G818" s="8"/>
      <c r="H818" s="8">
        <v>820</v>
      </c>
      <c r="I818" s="8">
        <v>4.2964968681335396</v>
      </c>
      <c r="J818" s="8">
        <v>19.966535568237301</v>
      </c>
      <c r="K818" s="8"/>
      <c r="L818" s="8">
        <v>820</v>
      </c>
      <c r="M818" s="8">
        <v>3.7606782913207999</v>
      </c>
      <c r="N818" s="8">
        <v>19.789571762084901</v>
      </c>
      <c r="P818" s="8"/>
    </row>
    <row r="819" spans="1:16" x14ac:dyDescent="0.25">
      <c r="A819" s="8">
        <f t="shared" si="48"/>
        <v>821</v>
      </c>
      <c r="B819" s="8">
        <f t="shared" si="49"/>
        <v>1</v>
      </c>
      <c r="C819" s="8">
        <f t="shared" si="50"/>
        <v>77.133975982665902</v>
      </c>
      <c r="D819" s="8">
        <v>821</v>
      </c>
      <c r="E819" s="8">
        <v>34.171230316162102</v>
      </c>
      <c r="F819" s="8">
        <v>35.641288757324197</v>
      </c>
      <c r="G819" s="8"/>
      <c r="H819" s="8">
        <v>821</v>
      </c>
      <c r="I819" s="8">
        <v>24.309707641601499</v>
      </c>
      <c r="J819" s="8">
        <v>35.984779357910099</v>
      </c>
      <c r="K819" s="8"/>
      <c r="L819" s="8">
        <v>821</v>
      </c>
      <c r="M819" s="8">
        <v>18.653038024902301</v>
      </c>
      <c r="N819" s="8">
        <v>35.861194610595703</v>
      </c>
      <c r="P819" s="8"/>
    </row>
    <row r="820" spans="1:16" x14ac:dyDescent="0.25">
      <c r="A820" s="8">
        <f t="shared" si="48"/>
        <v>822</v>
      </c>
      <c r="B820" s="8">
        <f t="shared" si="49"/>
        <v>1</v>
      </c>
      <c r="C820" s="8">
        <f t="shared" si="50"/>
        <v>77.722934722900192</v>
      </c>
      <c r="D820" s="8">
        <v>822</v>
      </c>
      <c r="E820" s="8">
        <v>24.085283279418899</v>
      </c>
      <c r="F820" s="8">
        <v>33.699764251708899</v>
      </c>
      <c r="G820" s="8"/>
      <c r="H820" s="8">
        <v>822</v>
      </c>
      <c r="I820" s="8">
        <v>27.0445652008056</v>
      </c>
      <c r="J820" s="8">
        <v>34.352016448974602</v>
      </c>
      <c r="K820" s="8"/>
      <c r="L820" s="8">
        <v>822</v>
      </c>
      <c r="M820" s="8">
        <v>26.5930862426757</v>
      </c>
      <c r="N820" s="8">
        <v>34.162879943847599</v>
      </c>
      <c r="P820" s="8"/>
    </row>
    <row r="821" spans="1:16" x14ac:dyDescent="0.25">
      <c r="A821" s="8">
        <f t="shared" si="48"/>
        <v>823</v>
      </c>
      <c r="B821" s="8">
        <f t="shared" si="49"/>
        <v>1</v>
      </c>
      <c r="C821" s="8">
        <f t="shared" si="50"/>
        <v>174.5833740234373</v>
      </c>
      <c r="D821" s="8">
        <v>823</v>
      </c>
      <c r="E821" s="8">
        <v>59.769767761230398</v>
      </c>
      <c r="F821" s="8">
        <v>20.935375213623001</v>
      </c>
      <c r="G821" s="8"/>
      <c r="H821" s="8">
        <v>823</v>
      </c>
      <c r="I821" s="8">
        <v>67.310928344726506</v>
      </c>
      <c r="J821" s="8">
        <v>21.5179042816162</v>
      </c>
      <c r="K821" s="8"/>
      <c r="L821" s="8">
        <v>823</v>
      </c>
      <c r="M821" s="8">
        <v>47.502677917480398</v>
      </c>
      <c r="N821" s="8">
        <v>21.306430816650298</v>
      </c>
      <c r="P821" s="8"/>
    </row>
    <row r="822" spans="1:16" x14ac:dyDescent="0.25">
      <c r="A822" s="8">
        <f t="shared" si="48"/>
        <v>824</v>
      </c>
      <c r="B822" s="8">
        <f t="shared" si="49"/>
        <v>1</v>
      </c>
      <c r="C822" s="8">
        <f t="shared" si="50"/>
        <v>328.99845123290839</v>
      </c>
      <c r="D822" s="8">
        <v>824</v>
      </c>
      <c r="E822" s="8">
        <v>106.96139526367099</v>
      </c>
      <c r="F822" s="8">
        <v>21.157829284667901</v>
      </c>
      <c r="G822" s="8"/>
      <c r="H822" s="8">
        <v>824</v>
      </c>
      <c r="I822" s="8">
        <v>128.10250854492099</v>
      </c>
      <c r="J822" s="8">
        <v>21.8422317504882</v>
      </c>
      <c r="K822" s="8"/>
      <c r="L822" s="8">
        <v>824</v>
      </c>
      <c r="M822" s="8">
        <v>93.934547424316406</v>
      </c>
      <c r="N822" s="8">
        <v>21.4679641723632</v>
      </c>
      <c r="P822" s="8"/>
    </row>
    <row r="823" spans="1:16" x14ac:dyDescent="0.25">
      <c r="A823" s="8">
        <f t="shared" si="48"/>
        <v>825</v>
      </c>
      <c r="B823" s="8">
        <f t="shared" si="49"/>
        <v>1</v>
      </c>
      <c r="C823" s="8">
        <f t="shared" si="50"/>
        <v>103.54883384704569</v>
      </c>
      <c r="D823" s="8">
        <v>825</v>
      </c>
      <c r="E823" s="8">
        <v>40.948013305663999</v>
      </c>
      <c r="F823" s="8">
        <v>27.79807472229</v>
      </c>
      <c r="G823" s="8"/>
      <c r="H823" s="8">
        <v>825</v>
      </c>
      <c r="I823" s="8">
        <v>37.744358062744098</v>
      </c>
      <c r="J823" s="8">
        <v>28.675550460815401</v>
      </c>
      <c r="K823" s="8"/>
      <c r="L823" s="8">
        <v>825</v>
      </c>
      <c r="M823" s="8">
        <v>24.856462478637599</v>
      </c>
      <c r="N823" s="8">
        <v>28.1930847167968</v>
      </c>
      <c r="P823" s="8"/>
    </row>
    <row r="824" spans="1:16" x14ac:dyDescent="0.25">
      <c r="A824" s="8">
        <f t="shared" si="48"/>
        <v>826</v>
      </c>
      <c r="B824" s="8">
        <f t="shared" si="49"/>
        <v>1</v>
      </c>
      <c r="C824" s="8">
        <f t="shared" si="50"/>
        <v>144.91436004638661</v>
      </c>
      <c r="D824" s="8">
        <v>826</v>
      </c>
      <c r="E824" s="8">
        <v>47.288658142089801</v>
      </c>
      <c r="F824" s="8">
        <v>27.601325988769499</v>
      </c>
      <c r="G824" s="8"/>
      <c r="H824" s="8">
        <v>826</v>
      </c>
      <c r="I824" s="8">
        <v>52.515838623046797</v>
      </c>
      <c r="J824" s="8">
        <v>28.405826568603501</v>
      </c>
      <c r="K824" s="8"/>
      <c r="L824" s="8">
        <v>826</v>
      </c>
      <c r="M824" s="8">
        <v>45.10986328125</v>
      </c>
      <c r="N824" s="8">
        <v>28.005449295043899</v>
      </c>
      <c r="P824" s="8"/>
    </row>
    <row r="825" spans="1:16" x14ac:dyDescent="0.25">
      <c r="A825" s="8">
        <f t="shared" si="48"/>
        <v>827</v>
      </c>
      <c r="B825" s="8">
        <f t="shared" si="49"/>
        <v>1</v>
      </c>
      <c r="C825" s="8">
        <f t="shared" si="50"/>
        <v>1048.1430664062491</v>
      </c>
      <c r="D825" s="8">
        <v>827</v>
      </c>
      <c r="E825" s="8">
        <v>391.577545166015</v>
      </c>
      <c r="F825" s="8">
        <v>56.717044830322202</v>
      </c>
      <c r="G825" s="8"/>
      <c r="H825" s="8">
        <v>827</v>
      </c>
      <c r="I825" s="8">
        <v>374.02764892578102</v>
      </c>
      <c r="J825" s="8">
        <v>57.816452026367102</v>
      </c>
      <c r="K825" s="8"/>
      <c r="L825" s="8">
        <v>827</v>
      </c>
      <c r="M825" s="8">
        <v>282.53787231445301</v>
      </c>
      <c r="N825" s="8">
        <v>57.188758850097599</v>
      </c>
      <c r="P825" s="8"/>
    </row>
    <row r="826" spans="1:16" x14ac:dyDescent="0.25">
      <c r="A826" s="8">
        <f t="shared" si="48"/>
        <v>828</v>
      </c>
      <c r="B826" s="8">
        <f t="shared" si="49"/>
        <v>1</v>
      </c>
      <c r="C826" s="8">
        <f t="shared" si="50"/>
        <v>398.09170532226403</v>
      </c>
      <c r="D826" s="8">
        <v>828</v>
      </c>
      <c r="E826" s="8">
        <v>141.73431396484301</v>
      </c>
      <c r="F826" s="8">
        <v>55.862396240234297</v>
      </c>
      <c r="G826" s="8"/>
      <c r="H826" s="8">
        <v>828</v>
      </c>
      <c r="I826" s="8">
        <v>138.73124694824199</v>
      </c>
      <c r="J826" s="8">
        <v>56.759593963622997</v>
      </c>
      <c r="K826" s="8"/>
      <c r="L826" s="8">
        <v>828</v>
      </c>
      <c r="M826" s="8">
        <v>117.62614440917901</v>
      </c>
      <c r="N826" s="8">
        <v>56.180572509765597</v>
      </c>
      <c r="P826" s="8"/>
    </row>
    <row r="827" spans="1:16" x14ac:dyDescent="0.25">
      <c r="A827" s="8">
        <f t="shared" si="48"/>
        <v>829</v>
      </c>
      <c r="B827" s="8">
        <f t="shared" si="49"/>
        <v>1</v>
      </c>
      <c r="C827" s="8">
        <f t="shared" si="50"/>
        <v>16.47822427749632</v>
      </c>
      <c r="D827" s="8">
        <v>829</v>
      </c>
      <c r="E827" s="8">
        <v>5.8139443397521902</v>
      </c>
      <c r="F827" s="8">
        <v>28.7381496429443</v>
      </c>
      <c r="G827" s="8"/>
      <c r="H827" s="8">
        <v>829</v>
      </c>
      <c r="I827" s="8">
        <v>5.7803535461425701</v>
      </c>
      <c r="J827" s="8">
        <v>29.490907669067301</v>
      </c>
      <c r="K827" s="8"/>
      <c r="L827" s="8">
        <v>829</v>
      </c>
      <c r="M827" s="8">
        <v>4.8839263916015598</v>
      </c>
      <c r="N827" s="8">
        <v>28.9606609344482</v>
      </c>
      <c r="P827" s="8"/>
    </row>
    <row r="828" spans="1:16" x14ac:dyDescent="0.25">
      <c r="A828" s="8">
        <f t="shared" si="48"/>
        <v>830</v>
      </c>
      <c r="B828" s="8">
        <f t="shared" si="49"/>
        <v>1</v>
      </c>
      <c r="C828" s="8">
        <f t="shared" si="50"/>
        <v>182.58726882934559</v>
      </c>
      <c r="D828" s="8">
        <v>830</v>
      </c>
      <c r="E828" s="8">
        <v>58.925689697265597</v>
      </c>
      <c r="F828" s="8">
        <v>39.834621429443303</v>
      </c>
      <c r="G828" s="8"/>
      <c r="H828" s="8">
        <v>830</v>
      </c>
      <c r="I828" s="8">
        <v>68.942520141601506</v>
      </c>
      <c r="J828" s="8">
        <v>40.089382171630803</v>
      </c>
      <c r="K828" s="8"/>
      <c r="L828" s="8">
        <v>830</v>
      </c>
      <c r="M828" s="8">
        <v>54.719058990478501</v>
      </c>
      <c r="N828" s="8">
        <v>39.981101989746001</v>
      </c>
      <c r="P828" s="8"/>
    </row>
    <row r="829" spans="1:16" x14ac:dyDescent="0.25">
      <c r="A829" s="8">
        <f t="shared" si="48"/>
        <v>831</v>
      </c>
      <c r="B829" s="8">
        <f t="shared" si="49"/>
        <v>1</v>
      </c>
      <c r="C829" s="8">
        <f t="shared" si="50"/>
        <v>80.746118545532099</v>
      </c>
      <c r="D829" s="8">
        <v>831</v>
      </c>
      <c r="E829" s="8">
        <v>25.662693023681602</v>
      </c>
      <c r="F829" s="8">
        <v>40.442127227783203</v>
      </c>
      <c r="G829" s="8"/>
      <c r="H829" s="8">
        <v>831</v>
      </c>
      <c r="I829" s="8">
        <v>31.076166152954102</v>
      </c>
      <c r="J829" s="8">
        <v>40.7189331054687</v>
      </c>
      <c r="K829" s="8"/>
      <c r="L829" s="8">
        <v>831</v>
      </c>
      <c r="M829" s="8">
        <v>24.007259368896399</v>
      </c>
      <c r="N829" s="8">
        <v>40.615222930908203</v>
      </c>
      <c r="P829" s="8"/>
    </row>
    <row r="830" spans="1:16" x14ac:dyDescent="0.25">
      <c r="A830" s="8">
        <f t="shared" si="48"/>
        <v>832</v>
      </c>
      <c r="B830" s="8">
        <f t="shared" si="49"/>
        <v>1</v>
      </c>
      <c r="C830" s="8">
        <f t="shared" si="50"/>
        <v>76.416854858398295</v>
      </c>
      <c r="D830" s="8">
        <v>832</v>
      </c>
      <c r="E830" s="8">
        <v>26.2175788879394</v>
      </c>
      <c r="F830" s="8">
        <v>22.733669281005799</v>
      </c>
      <c r="G830" s="8"/>
      <c r="H830" s="8">
        <v>832</v>
      </c>
      <c r="I830" s="8">
        <v>31.025281906127901</v>
      </c>
      <c r="J830" s="8">
        <v>23.117616653442301</v>
      </c>
      <c r="K830" s="8"/>
      <c r="L830" s="8">
        <v>832</v>
      </c>
      <c r="M830" s="8">
        <v>19.173994064331001</v>
      </c>
      <c r="N830" s="8">
        <v>22.6946811676025</v>
      </c>
      <c r="P830" s="8"/>
    </row>
    <row r="831" spans="1:16" x14ac:dyDescent="0.25">
      <c r="A831" s="8">
        <f t="shared" si="48"/>
        <v>833</v>
      </c>
      <c r="B831" s="8">
        <f t="shared" si="49"/>
        <v>1</v>
      </c>
      <c r="C831" s="8">
        <f t="shared" si="50"/>
        <v>43.199619293212798</v>
      </c>
      <c r="D831" s="8">
        <v>833</v>
      </c>
      <c r="E831" s="8">
        <v>10.599470138549799</v>
      </c>
      <c r="F831" s="8">
        <v>25.1851997375488</v>
      </c>
      <c r="G831" s="8"/>
      <c r="H831" s="8">
        <v>833</v>
      </c>
      <c r="I831" s="8">
        <v>20.7404975891113</v>
      </c>
      <c r="J831" s="8">
        <v>25.3623027801513</v>
      </c>
      <c r="K831" s="8"/>
      <c r="L831" s="8">
        <v>833</v>
      </c>
      <c r="M831" s="8">
        <v>11.859651565551699</v>
      </c>
      <c r="N831" s="8">
        <v>25.3143920898437</v>
      </c>
      <c r="P831" s="8"/>
    </row>
    <row r="832" spans="1:16" x14ac:dyDescent="0.25">
      <c r="A832" s="8">
        <f t="shared" si="48"/>
        <v>834</v>
      </c>
      <c r="B832" s="8">
        <f t="shared" si="49"/>
        <v>1</v>
      </c>
      <c r="C832" s="8">
        <f t="shared" si="50"/>
        <v>0.42857144773006295</v>
      </c>
      <c r="D832" s="8">
        <v>834</v>
      </c>
      <c r="E832" s="8">
        <v>0.28571429848670898</v>
      </c>
      <c r="F832" s="8">
        <v>33.410495758056598</v>
      </c>
      <c r="G832" s="8"/>
      <c r="H832" s="8">
        <v>834</v>
      </c>
      <c r="I832" s="8">
        <v>0</v>
      </c>
      <c r="J832" s="8">
        <v>33.762474060058501</v>
      </c>
      <c r="K832" s="8"/>
      <c r="L832" s="8">
        <v>834</v>
      </c>
      <c r="M832" s="8">
        <v>0.14285714924335399</v>
      </c>
      <c r="N832" s="8">
        <v>33.6657905578613</v>
      </c>
      <c r="P832" s="8"/>
    </row>
    <row r="833" spans="1:16" x14ac:dyDescent="0.25">
      <c r="A833" s="8">
        <f t="shared" si="48"/>
        <v>835</v>
      </c>
      <c r="B833" s="8">
        <f t="shared" si="49"/>
        <v>1</v>
      </c>
      <c r="C833" s="8">
        <f t="shared" si="50"/>
        <v>1.9636363536119421</v>
      </c>
      <c r="D833" s="8">
        <v>835</v>
      </c>
      <c r="E833" s="8">
        <v>0</v>
      </c>
      <c r="F833" s="8">
        <v>37.171863555908203</v>
      </c>
      <c r="G833" s="8"/>
      <c r="H833" s="8">
        <v>835</v>
      </c>
      <c r="I833" s="8">
        <v>0.20000000298023199</v>
      </c>
      <c r="J833" s="8">
        <v>38.506721496582003</v>
      </c>
      <c r="K833" s="8"/>
      <c r="L833" s="8">
        <v>835</v>
      </c>
      <c r="M833" s="8">
        <v>1.7636363506317101</v>
      </c>
      <c r="N833" s="8">
        <v>36.8887939453125</v>
      </c>
      <c r="P833" s="8"/>
    </row>
    <row r="834" spans="1:16" x14ac:dyDescent="0.25">
      <c r="A834" s="8">
        <f t="shared" si="48"/>
        <v>836</v>
      </c>
      <c r="B834" s="8">
        <f t="shared" si="49"/>
        <v>1</v>
      </c>
      <c r="C834" s="8">
        <f t="shared" si="50"/>
        <v>86.969442367553597</v>
      </c>
      <c r="D834" s="8">
        <v>836</v>
      </c>
      <c r="E834" s="8">
        <v>28.567680358886701</v>
      </c>
      <c r="F834" s="8">
        <v>35.036293029785099</v>
      </c>
      <c r="G834" s="8"/>
      <c r="H834" s="8">
        <v>836</v>
      </c>
      <c r="I834" s="8">
        <v>35.498744964599602</v>
      </c>
      <c r="J834" s="8">
        <v>35.172939300537102</v>
      </c>
      <c r="K834" s="8"/>
      <c r="L834" s="8">
        <v>836</v>
      </c>
      <c r="M834" s="8">
        <v>22.903017044067301</v>
      </c>
      <c r="N834" s="8">
        <v>35.084934234619098</v>
      </c>
      <c r="P834" s="8"/>
    </row>
    <row r="835" spans="1:16" x14ac:dyDescent="0.25">
      <c r="A835" s="8">
        <f t="shared" ref="A835:A898" si="51">IF(D835="","",D835)</f>
        <v>837</v>
      </c>
      <c r="B835" s="8">
        <f t="shared" ref="B835:B898" si="52">IF(OR(D835&lt;&gt;H835,H835&lt;&gt;L835,D835&lt;&gt;L835),0,1)</f>
        <v>1</v>
      </c>
      <c r="C835" s="8">
        <f t="shared" ref="C835:C898" si="53">SUM(E835,I835,M835)</f>
        <v>202.24127197265619</v>
      </c>
      <c r="D835" s="8">
        <v>837</v>
      </c>
      <c r="E835" s="8">
        <v>79.546638488769503</v>
      </c>
      <c r="F835" s="8">
        <v>34.465278625488203</v>
      </c>
      <c r="G835" s="8"/>
      <c r="H835" s="8">
        <v>837</v>
      </c>
      <c r="I835" s="8">
        <v>73.379570007324205</v>
      </c>
      <c r="J835" s="8">
        <v>34.866676330566399</v>
      </c>
      <c r="K835" s="8"/>
      <c r="L835" s="8">
        <v>837</v>
      </c>
      <c r="M835" s="8">
        <v>49.3150634765625</v>
      </c>
      <c r="N835" s="8">
        <v>34.427719116210902</v>
      </c>
      <c r="P835" s="8"/>
    </row>
    <row r="836" spans="1:16" x14ac:dyDescent="0.25">
      <c r="A836" s="8">
        <f t="shared" si="51"/>
        <v>838</v>
      </c>
      <c r="B836" s="8">
        <f t="shared" si="52"/>
        <v>1</v>
      </c>
      <c r="C836" s="8">
        <f t="shared" si="53"/>
        <v>265.87233734130837</v>
      </c>
      <c r="D836" s="8">
        <v>838</v>
      </c>
      <c r="E836" s="8">
        <v>90.694297790527301</v>
      </c>
      <c r="F836" s="8">
        <v>54.174003601074197</v>
      </c>
      <c r="G836" s="8"/>
      <c r="H836" s="8">
        <v>838</v>
      </c>
      <c r="I836" s="8">
        <v>90.134513854980398</v>
      </c>
      <c r="J836" s="8">
        <v>56.313926696777301</v>
      </c>
      <c r="K836" s="8"/>
      <c r="L836" s="8">
        <v>838</v>
      </c>
      <c r="M836" s="8">
        <v>85.043525695800696</v>
      </c>
      <c r="N836" s="8">
        <v>53.0249633789062</v>
      </c>
      <c r="P836" s="8"/>
    </row>
    <row r="837" spans="1:16" x14ac:dyDescent="0.25">
      <c r="A837" s="8">
        <f t="shared" si="51"/>
        <v>839</v>
      </c>
      <c r="B837" s="8">
        <f t="shared" si="52"/>
        <v>1</v>
      </c>
      <c r="C837" s="8">
        <f t="shared" si="53"/>
        <v>133.28183746337871</v>
      </c>
      <c r="D837" s="8">
        <v>839</v>
      </c>
      <c r="E837" s="8">
        <v>41.493064880371001</v>
      </c>
      <c r="F837" s="8">
        <v>48.331214904785099</v>
      </c>
      <c r="G837" s="8"/>
      <c r="H837" s="8">
        <v>839</v>
      </c>
      <c r="I837" s="8">
        <v>42.0512886047363</v>
      </c>
      <c r="J837" s="8">
        <v>48.567344665527301</v>
      </c>
      <c r="K837" s="8"/>
      <c r="L837" s="8">
        <v>839</v>
      </c>
      <c r="M837" s="8">
        <v>49.737483978271399</v>
      </c>
      <c r="N837" s="8">
        <v>48.552051544189403</v>
      </c>
      <c r="P837" s="8"/>
    </row>
    <row r="838" spans="1:16" x14ac:dyDescent="0.25">
      <c r="A838" s="8">
        <f t="shared" si="51"/>
        <v>840</v>
      </c>
      <c r="B838" s="8">
        <f t="shared" si="52"/>
        <v>1</v>
      </c>
      <c r="C838" s="8">
        <f t="shared" si="53"/>
        <v>115.66457748413072</v>
      </c>
      <c r="D838" s="8">
        <v>840</v>
      </c>
      <c r="E838" s="8">
        <v>38.413021087646399</v>
      </c>
      <c r="F838" s="8">
        <v>49.132083892822202</v>
      </c>
      <c r="G838" s="8"/>
      <c r="H838" s="8">
        <v>840</v>
      </c>
      <c r="I838" s="8">
        <v>39.405727386474602</v>
      </c>
      <c r="J838" s="8">
        <v>50.535449981689403</v>
      </c>
      <c r="K838" s="8"/>
      <c r="L838" s="8">
        <v>840</v>
      </c>
      <c r="M838" s="8">
        <v>37.845829010009702</v>
      </c>
      <c r="N838" s="8">
        <v>49.387237548828097</v>
      </c>
      <c r="P838" s="8"/>
    </row>
    <row r="839" spans="1:16" x14ac:dyDescent="0.25">
      <c r="A839" s="8">
        <f t="shared" si="51"/>
        <v>841</v>
      </c>
      <c r="B839" s="8">
        <f t="shared" si="52"/>
        <v>1</v>
      </c>
      <c r="C839" s="8">
        <f t="shared" si="53"/>
        <v>29.801838874816802</v>
      </c>
      <c r="D839" s="8">
        <v>841</v>
      </c>
      <c r="E839" s="8">
        <v>10.371314048766999</v>
      </c>
      <c r="F839" s="8">
        <v>24.730930328369102</v>
      </c>
      <c r="G839" s="8"/>
      <c r="H839" s="8">
        <v>841</v>
      </c>
      <c r="I839" s="8">
        <v>11.5173225402832</v>
      </c>
      <c r="J839" s="8">
        <v>25.0048828125</v>
      </c>
      <c r="K839" s="8"/>
      <c r="L839" s="8">
        <v>841</v>
      </c>
      <c r="M839" s="8">
        <v>7.9132022857665998</v>
      </c>
      <c r="N839" s="8">
        <v>24.874553680419901</v>
      </c>
      <c r="P839" s="8"/>
    </row>
    <row r="840" spans="1:16" x14ac:dyDescent="0.25">
      <c r="A840" s="8">
        <f t="shared" si="51"/>
        <v>842</v>
      </c>
      <c r="B840" s="8">
        <f t="shared" si="52"/>
        <v>1</v>
      </c>
      <c r="C840" s="8">
        <f t="shared" si="53"/>
        <v>85.038600921630703</v>
      </c>
      <c r="D840" s="8">
        <v>842</v>
      </c>
      <c r="E840" s="8">
        <v>32.070049285888601</v>
      </c>
      <c r="F840" s="8">
        <v>26.963037490844702</v>
      </c>
      <c r="G840" s="8"/>
      <c r="H840" s="8">
        <v>842</v>
      </c>
      <c r="I840" s="8">
        <v>32.269905090332003</v>
      </c>
      <c r="J840" s="8">
        <v>27.216129302978501</v>
      </c>
      <c r="K840" s="8"/>
      <c r="L840" s="8">
        <v>842</v>
      </c>
      <c r="M840" s="8">
        <v>20.698646545410099</v>
      </c>
      <c r="N840" s="8">
        <v>27.060396194458001</v>
      </c>
      <c r="P840" s="8"/>
    </row>
    <row r="841" spans="1:16" x14ac:dyDescent="0.25">
      <c r="A841" s="8">
        <f t="shared" si="51"/>
        <v>843</v>
      </c>
      <c r="B841" s="8">
        <f t="shared" si="52"/>
        <v>1</v>
      </c>
      <c r="C841" s="8">
        <f t="shared" si="53"/>
        <v>935.60832214355298</v>
      </c>
      <c r="D841" s="8">
        <v>843</v>
      </c>
      <c r="E841" s="8">
        <v>344.04037475585898</v>
      </c>
      <c r="F841" s="8">
        <v>83.921440124511705</v>
      </c>
      <c r="G841" s="8"/>
      <c r="H841" s="8">
        <v>843</v>
      </c>
      <c r="I841" s="8">
        <v>338.51287841796801</v>
      </c>
      <c r="J841" s="8">
        <v>87.180725097656193</v>
      </c>
      <c r="K841" s="8"/>
      <c r="L841" s="8">
        <v>843</v>
      </c>
      <c r="M841" s="8">
        <v>253.05506896972599</v>
      </c>
      <c r="N841" s="8">
        <v>84.144424438476506</v>
      </c>
      <c r="P841" s="8"/>
    </row>
    <row r="842" spans="1:16" x14ac:dyDescent="0.25">
      <c r="A842" s="8">
        <f t="shared" si="51"/>
        <v>844</v>
      </c>
      <c r="B842" s="8">
        <f t="shared" si="52"/>
        <v>1</v>
      </c>
      <c r="C842" s="8">
        <f t="shared" si="53"/>
        <v>709.58174133300599</v>
      </c>
      <c r="D842" s="8">
        <v>844</v>
      </c>
      <c r="E842" s="8">
        <v>260.647857666015</v>
      </c>
      <c r="F842" s="8">
        <v>88.366233825683594</v>
      </c>
      <c r="G842" s="8"/>
      <c r="H842" s="8">
        <v>844</v>
      </c>
      <c r="I842" s="8">
        <v>255.64033508300699</v>
      </c>
      <c r="J842" s="8">
        <v>91.637298583984304</v>
      </c>
      <c r="K842" s="8"/>
      <c r="L842" s="8">
        <v>844</v>
      </c>
      <c r="M842" s="8">
        <v>193.29354858398401</v>
      </c>
      <c r="N842" s="8">
        <v>88.580505371093693</v>
      </c>
      <c r="P842" s="8"/>
    </row>
    <row r="843" spans="1:16" x14ac:dyDescent="0.25">
      <c r="A843" s="8">
        <f t="shared" si="51"/>
        <v>845</v>
      </c>
      <c r="B843" s="8">
        <f t="shared" si="52"/>
        <v>1</v>
      </c>
      <c r="C843" s="8">
        <f t="shared" si="53"/>
        <v>559.800033569334</v>
      </c>
      <c r="D843" s="8">
        <v>845</v>
      </c>
      <c r="E843" s="8">
        <v>198.66975402832</v>
      </c>
      <c r="F843" s="8">
        <v>81.116065979003906</v>
      </c>
      <c r="G843" s="8"/>
      <c r="H843" s="8">
        <v>845</v>
      </c>
      <c r="I843" s="8">
        <v>192.95771789550699</v>
      </c>
      <c r="J843" s="8">
        <v>82.330772399902301</v>
      </c>
      <c r="K843" s="8"/>
      <c r="L843" s="8">
        <v>845</v>
      </c>
      <c r="M843" s="8">
        <v>168.17256164550699</v>
      </c>
      <c r="N843" s="8">
        <v>81.868644714355398</v>
      </c>
      <c r="P843" s="8"/>
    </row>
    <row r="844" spans="1:16" x14ac:dyDescent="0.25">
      <c r="A844" s="8">
        <f t="shared" si="51"/>
        <v>846</v>
      </c>
      <c r="B844" s="8">
        <f t="shared" si="52"/>
        <v>1</v>
      </c>
      <c r="C844" s="8">
        <f t="shared" si="53"/>
        <v>568.73693847656091</v>
      </c>
      <c r="D844" s="8">
        <v>846</v>
      </c>
      <c r="E844" s="8">
        <v>200.68737792968699</v>
      </c>
      <c r="F844" s="8">
        <v>87.038566589355398</v>
      </c>
      <c r="G844" s="8"/>
      <c r="H844" s="8">
        <v>846</v>
      </c>
      <c r="I844" s="8">
        <v>197.72372436523401</v>
      </c>
      <c r="J844" s="8">
        <v>88.265754699707003</v>
      </c>
      <c r="K844" s="8"/>
      <c r="L844" s="8">
        <v>846</v>
      </c>
      <c r="M844" s="8">
        <v>170.32583618164</v>
      </c>
      <c r="N844" s="8">
        <v>87.774803161621094</v>
      </c>
      <c r="P844" s="8"/>
    </row>
    <row r="845" spans="1:16" x14ac:dyDescent="0.25">
      <c r="A845" s="8">
        <f t="shared" si="51"/>
        <v>847</v>
      </c>
      <c r="B845" s="8">
        <f t="shared" si="52"/>
        <v>1</v>
      </c>
      <c r="C845" s="8">
        <f t="shared" si="53"/>
        <v>5.6824439167976326</v>
      </c>
      <c r="D845" s="8">
        <v>847</v>
      </c>
      <c r="E845" s="8">
        <v>4.0028076171875</v>
      </c>
      <c r="F845" s="8">
        <v>73.224685668945298</v>
      </c>
      <c r="G845" s="8"/>
      <c r="H845" s="8">
        <v>847</v>
      </c>
      <c r="I845" s="8">
        <v>0.611219823360443</v>
      </c>
      <c r="J845" s="8">
        <v>85.0152587890625</v>
      </c>
      <c r="K845" s="8"/>
      <c r="L845" s="8">
        <v>847</v>
      </c>
      <c r="M845" s="8">
        <v>1.0684164762496899</v>
      </c>
      <c r="N845" s="8">
        <v>73.169281005859304</v>
      </c>
      <c r="P845" s="8"/>
    </row>
    <row r="846" spans="1:16" x14ac:dyDescent="0.25">
      <c r="A846" s="8">
        <f t="shared" si="51"/>
        <v>848</v>
      </c>
      <c r="B846" s="8">
        <f t="shared" si="52"/>
        <v>1</v>
      </c>
      <c r="C846" s="8">
        <f t="shared" si="53"/>
        <v>34.766998291015554</v>
      </c>
      <c r="D846" s="8">
        <v>848</v>
      </c>
      <c r="E846" s="8">
        <v>11.703330993652299</v>
      </c>
      <c r="F846" s="8">
        <v>15.1188974380493</v>
      </c>
      <c r="G846" s="8"/>
      <c r="H846" s="8">
        <v>848</v>
      </c>
      <c r="I846" s="8">
        <v>13.4496040344238</v>
      </c>
      <c r="J846" s="8">
        <v>15.2541971206665</v>
      </c>
      <c r="K846" s="8"/>
      <c r="L846" s="8">
        <v>848</v>
      </c>
      <c r="M846" s="8">
        <v>9.6140632629394496</v>
      </c>
      <c r="N846" s="8">
        <v>15.1658163070678</v>
      </c>
      <c r="P846" s="8"/>
    </row>
    <row r="847" spans="1:16" x14ac:dyDescent="0.25">
      <c r="A847" s="8">
        <f t="shared" si="51"/>
        <v>849</v>
      </c>
      <c r="B847" s="8">
        <f t="shared" si="52"/>
        <v>1</v>
      </c>
      <c r="C847" s="8">
        <f t="shared" si="53"/>
        <v>16.86258649826048</v>
      </c>
      <c r="D847" s="8">
        <v>849</v>
      </c>
      <c r="E847" s="8">
        <v>4.9561839103698704</v>
      </c>
      <c r="F847" s="8">
        <v>26.6137371063232</v>
      </c>
      <c r="G847" s="8"/>
      <c r="H847" s="8">
        <v>849</v>
      </c>
      <c r="I847" s="8">
        <v>7.4639549255370996</v>
      </c>
      <c r="J847" s="8">
        <v>27.106124877929599</v>
      </c>
      <c r="K847" s="8"/>
      <c r="L847" s="8">
        <v>849</v>
      </c>
      <c r="M847" s="8">
        <v>4.4424476623535103</v>
      </c>
      <c r="N847" s="8">
        <v>26.9662170410156</v>
      </c>
      <c r="P847" s="8"/>
    </row>
    <row r="848" spans="1:16" x14ac:dyDescent="0.25">
      <c r="A848" s="8">
        <f t="shared" si="51"/>
        <v>852</v>
      </c>
      <c r="B848" s="8">
        <f t="shared" si="52"/>
        <v>1</v>
      </c>
      <c r="C848" s="8">
        <f t="shared" si="53"/>
        <v>27.402880191802911</v>
      </c>
      <c r="D848" s="8">
        <v>852</v>
      </c>
      <c r="E848" s="8">
        <v>9.5009546279907209</v>
      </c>
      <c r="F848" s="8">
        <v>30.379999160766602</v>
      </c>
      <c r="G848" s="8"/>
      <c r="H848" s="8">
        <v>852</v>
      </c>
      <c r="I848" s="8">
        <v>10.608105659484799</v>
      </c>
      <c r="J848" s="8">
        <v>30.379999160766602</v>
      </c>
      <c r="K848" s="8"/>
      <c r="L848" s="8">
        <v>852</v>
      </c>
      <c r="M848" s="8">
        <v>7.2938199043273899</v>
      </c>
      <c r="N848" s="8">
        <v>30.379999160766602</v>
      </c>
      <c r="P848" s="8"/>
    </row>
    <row r="849" spans="1:16" x14ac:dyDescent="0.25">
      <c r="A849" s="8">
        <f t="shared" si="51"/>
        <v>853</v>
      </c>
      <c r="B849" s="8">
        <f t="shared" si="52"/>
        <v>1</v>
      </c>
      <c r="C849" s="8">
        <f t="shared" si="53"/>
        <v>1</v>
      </c>
      <c r="D849" s="8">
        <v>853</v>
      </c>
      <c r="E849" s="8">
        <v>1</v>
      </c>
      <c r="F849" s="8">
        <v>30.380001068115199</v>
      </c>
      <c r="G849" s="8"/>
      <c r="H849" s="8">
        <v>853</v>
      </c>
      <c r="I849" s="8">
        <v>0</v>
      </c>
      <c r="J849" s="8">
        <v>30.380001068115199</v>
      </c>
      <c r="K849" s="8"/>
      <c r="L849" s="8">
        <v>853</v>
      </c>
      <c r="M849" s="8">
        <v>0</v>
      </c>
      <c r="N849" s="8">
        <v>30.380001068115199</v>
      </c>
      <c r="P849" s="8"/>
    </row>
    <row r="850" spans="1:16" x14ac:dyDescent="0.25">
      <c r="A850" s="8">
        <f t="shared" si="51"/>
        <v>854</v>
      </c>
      <c r="B850" s="8">
        <f t="shared" si="52"/>
        <v>1</v>
      </c>
      <c r="C850" s="8">
        <f t="shared" si="53"/>
        <v>9.9393941462039795E-2</v>
      </c>
      <c r="D850" s="8">
        <v>854</v>
      </c>
      <c r="E850" s="8">
        <v>1.9393939524888899E-2</v>
      </c>
      <c r="F850" s="8">
        <v>40.709999084472599</v>
      </c>
      <c r="G850" s="8"/>
      <c r="H850" s="8">
        <v>854</v>
      </c>
      <c r="I850" s="8">
        <v>5.3333334624767303E-2</v>
      </c>
      <c r="J850" s="8">
        <v>40.709999084472599</v>
      </c>
      <c r="K850" s="8"/>
      <c r="L850" s="8">
        <v>854</v>
      </c>
      <c r="M850" s="8">
        <v>2.66666673123836E-2</v>
      </c>
      <c r="N850" s="8">
        <v>40.709999084472599</v>
      </c>
      <c r="P850" s="8"/>
    </row>
    <row r="851" spans="1:16" x14ac:dyDescent="0.25">
      <c r="A851" s="8">
        <f t="shared" si="51"/>
        <v>855</v>
      </c>
      <c r="B851" s="8">
        <f t="shared" si="52"/>
        <v>1</v>
      </c>
      <c r="C851" s="8">
        <f t="shared" si="53"/>
        <v>0</v>
      </c>
      <c r="D851" s="8">
        <v>855</v>
      </c>
      <c r="E851" s="8">
        <v>0</v>
      </c>
      <c r="F851" s="8">
        <v>14.770000457763601</v>
      </c>
      <c r="G851" s="8"/>
      <c r="H851" s="8">
        <v>855</v>
      </c>
      <c r="I851" s="8">
        <v>0</v>
      </c>
      <c r="J851" s="8">
        <v>14.770000457763601</v>
      </c>
      <c r="K851" s="8"/>
      <c r="L851" s="8">
        <v>855</v>
      </c>
      <c r="M851" s="8">
        <v>0</v>
      </c>
      <c r="N851" s="8">
        <v>14.770000457763601</v>
      </c>
      <c r="P851" s="8"/>
    </row>
    <row r="852" spans="1:16" x14ac:dyDescent="0.25">
      <c r="A852" s="8">
        <f t="shared" si="51"/>
        <v>856</v>
      </c>
      <c r="B852" s="8">
        <f t="shared" si="52"/>
        <v>1</v>
      </c>
      <c r="C852" s="8">
        <f t="shared" si="53"/>
        <v>1</v>
      </c>
      <c r="D852" s="8">
        <v>856</v>
      </c>
      <c r="E852" s="8">
        <v>1</v>
      </c>
      <c r="F852" s="8">
        <v>14.770000457763601</v>
      </c>
      <c r="G852" s="8"/>
      <c r="H852" s="8">
        <v>856</v>
      </c>
      <c r="I852" s="8">
        <v>0</v>
      </c>
      <c r="J852" s="8">
        <v>14.770000457763601</v>
      </c>
      <c r="K852" s="8"/>
      <c r="L852" s="8">
        <v>856</v>
      </c>
      <c r="M852" s="8">
        <v>0</v>
      </c>
      <c r="N852" s="8">
        <v>14.770000457763601</v>
      </c>
      <c r="P852" s="8"/>
    </row>
    <row r="853" spans="1:16" x14ac:dyDescent="0.25">
      <c r="A853" s="8">
        <f t="shared" si="51"/>
        <v>857</v>
      </c>
      <c r="B853" s="8">
        <f t="shared" si="52"/>
        <v>1</v>
      </c>
      <c r="C853" s="8">
        <f t="shared" si="53"/>
        <v>462.89246368408141</v>
      </c>
      <c r="D853" s="8">
        <v>857</v>
      </c>
      <c r="E853" s="8">
        <v>219.52229309082</v>
      </c>
      <c r="F853" s="8">
        <v>35.049999237060497</v>
      </c>
      <c r="G853" s="8"/>
      <c r="H853" s="8">
        <v>857</v>
      </c>
      <c r="I853" s="8">
        <v>152.07794189453099</v>
      </c>
      <c r="J853" s="8">
        <v>35.049999237060497</v>
      </c>
      <c r="K853" s="8"/>
      <c r="L853" s="8">
        <v>857</v>
      </c>
      <c r="M853" s="8">
        <v>91.292228698730398</v>
      </c>
      <c r="N853" s="8">
        <v>35.049999237060497</v>
      </c>
      <c r="P853" s="8"/>
    </row>
    <row r="854" spans="1:16" x14ac:dyDescent="0.25">
      <c r="A854" s="8">
        <f t="shared" si="51"/>
        <v>858</v>
      </c>
      <c r="B854" s="8">
        <f t="shared" si="52"/>
        <v>1</v>
      </c>
      <c r="C854" s="8">
        <f t="shared" si="53"/>
        <v>21.300000190734849</v>
      </c>
      <c r="D854" s="8">
        <v>858</v>
      </c>
      <c r="E854" s="8">
        <v>9.1000003814697195</v>
      </c>
      <c r="F854" s="8">
        <v>35.049999237060497</v>
      </c>
      <c r="G854" s="8"/>
      <c r="H854" s="8">
        <v>858</v>
      </c>
      <c r="I854" s="8">
        <v>8.1999998092651296</v>
      </c>
      <c r="J854" s="8">
        <v>35.049999237060497</v>
      </c>
      <c r="K854" s="8"/>
      <c r="L854" s="8">
        <v>858</v>
      </c>
      <c r="M854" s="8">
        <v>4</v>
      </c>
      <c r="N854" s="8">
        <v>35.049999237060497</v>
      </c>
      <c r="P854" s="8"/>
    </row>
    <row r="855" spans="1:16" x14ac:dyDescent="0.25">
      <c r="A855" s="8">
        <f t="shared" si="51"/>
        <v>859</v>
      </c>
      <c r="B855" s="8">
        <f t="shared" si="52"/>
        <v>1</v>
      </c>
      <c r="C855" s="8">
        <f t="shared" si="53"/>
        <v>93.358070373534986</v>
      </c>
      <c r="D855" s="8">
        <v>859</v>
      </c>
      <c r="E855" s="8">
        <v>53.283843994140597</v>
      </c>
      <c r="F855" s="8">
        <v>60.1900024414062</v>
      </c>
      <c r="G855" s="8"/>
      <c r="H855" s="8">
        <v>859</v>
      </c>
      <c r="I855" s="8">
        <v>24.1603279113769</v>
      </c>
      <c r="J855" s="8">
        <v>60.1900024414062</v>
      </c>
      <c r="K855" s="8"/>
      <c r="L855" s="8">
        <v>859</v>
      </c>
      <c r="M855" s="8">
        <v>15.9138984680175</v>
      </c>
      <c r="N855" s="8">
        <v>60.1900024414062</v>
      </c>
      <c r="P855" s="8"/>
    </row>
    <row r="856" spans="1:16" x14ac:dyDescent="0.25">
      <c r="A856" s="8">
        <f t="shared" si="51"/>
        <v>860</v>
      </c>
      <c r="B856" s="8">
        <f t="shared" si="52"/>
        <v>1</v>
      </c>
      <c r="C856" s="8">
        <f t="shared" si="53"/>
        <v>9.0843296051025302</v>
      </c>
      <c r="D856" s="8">
        <v>860</v>
      </c>
      <c r="E856" s="8">
        <v>5.1895818710327104</v>
      </c>
      <c r="F856" s="8">
        <v>60.1900024414062</v>
      </c>
      <c r="G856" s="8"/>
      <c r="H856" s="8">
        <v>860</v>
      </c>
      <c r="I856" s="8">
        <v>1.1681542396545399</v>
      </c>
      <c r="J856" s="8">
        <v>60.1900024414062</v>
      </c>
      <c r="K856" s="8"/>
      <c r="L856" s="8">
        <v>860</v>
      </c>
      <c r="M856" s="8">
        <v>2.7265934944152801</v>
      </c>
      <c r="N856" s="8">
        <v>60.1900024414062</v>
      </c>
      <c r="P856" s="8"/>
    </row>
    <row r="857" spans="1:16" x14ac:dyDescent="0.25">
      <c r="A857" s="8">
        <f t="shared" si="51"/>
        <v>863</v>
      </c>
      <c r="B857" s="8">
        <f t="shared" si="52"/>
        <v>1</v>
      </c>
      <c r="C857" s="8">
        <f t="shared" si="53"/>
        <v>35.63147640228263</v>
      </c>
      <c r="D857" s="8">
        <v>863</v>
      </c>
      <c r="E857" s="8">
        <v>17.3789882659912</v>
      </c>
      <c r="F857" s="8">
        <v>25.190000534057599</v>
      </c>
      <c r="G857" s="8"/>
      <c r="H857" s="8">
        <v>863</v>
      </c>
      <c r="I857" s="8">
        <v>10.2697734832763</v>
      </c>
      <c r="J857" s="8">
        <v>25.190000534057599</v>
      </c>
      <c r="K857" s="8"/>
      <c r="L857" s="8">
        <v>863</v>
      </c>
      <c r="M857" s="8">
        <v>7.9827146530151296</v>
      </c>
      <c r="N857" s="8">
        <v>25.190000534057599</v>
      </c>
      <c r="P857" s="8"/>
    </row>
    <row r="858" spans="1:16" x14ac:dyDescent="0.25">
      <c r="A858" s="8">
        <f t="shared" si="51"/>
        <v>864</v>
      </c>
      <c r="B858" s="8">
        <f t="shared" si="52"/>
        <v>1</v>
      </c>
      <c r="C858" s="8">
        <f t="shared" si="53"/>
        <v>0.26495360583066901</v>
      </c>
      <c r="D858" s="8">
        <v>864</v>
      </c>
      <c r="E858" s="8">
        <v>0</v>
      </c>
      <c r="F858" s="8">
        <v>25.189998626708899</v>
      </c>
      <c r="G858" s="8"/>
      <c r="H858" s="8">
        <v>864</v>
      </c>
      <c r="I858" s="8">
        <v>0.16495360434055301</v>
      </c>
      <c r="J858" s="8">
        <v>25.189998626708899</v>
      </c>
      <c r="K858" s="8"/>
      <c r="L858" s="8">
        <v>864</v>
      </c>
      <c r="M858" s="8">
        <v>0.10000000149011599</v>
      </c>
      <c r="N858" s="8">
        <v>25.189998626708899</v>
      </c>
      <c r="P858" s="8"/>
    </row>
    <row r="859" spans="1:16" x14ac:dyDescent="0.25">
      <c r="A859" s="8">
        <f t="shared" si="51"/>
        <v>865</v>
      </c>
      <c r="B859" s="8">
        <f t="shared" si="52"/>
        <v>1</v>
      </c>
      <c r="C859" s="8">
        <f t="shared" si="53"/>
        <v>108.20788574218729</v>
      </c>
      <c r="D859" s="8">
        <v>865</v>
      </c>
      <c r="E859" s="8">
        <v>51.179763793945298</v>
      </c>
      <c r="F859" s="8">
        <v>27.079999923706001</v>
      </c>
      <c r="G859" s="8"/>
      <c r="H859" s="8">
        <v>865</v>
      </c>
      <c r="I859" s="8">
        <v>37.227451324462798</v>
      </c>
      <c r="J859" s="8">
        <v>27.079999923706001</v>
      </c>
      <c r="K859" s="8"/>
      <c r="L859" s="8">
        <v>865</v>
      </c>
      <c r="M859" s="8">
        <v>19.800670623779201</v>
      </c>
      <c r="N859" s="8">
        <v>27.079999923706001</v>
      </c>
      <c r="P859" s="8"/>
    </row>
    <row r="860" spans="1:16" x14ac:dyDescent="0.25">
      <c r="A860" s="8">
        <f t="shared" si="51"/>
        <v>866</v>
      </c>
      <c r="B860" s="8">
        <f t="shared" si="52"/>
        <v>1</v>
      </c>
      <c r="C860" s="8">
        <f t="shared" si="53"/>
        <v>3.2083797007799029</v>
      </c>
      <c r="D860" s="8">
        <v>866</v>
      </c>
      <c r="E860" s="8">
        <v>2.0533332824707</v>
      </c>
      <c r="F860" s="8">
        <v>27.079999923706001</v>
      </c>
      <c r="G860" s="8"/>
      <c r="H860" s="8">
        <v>866</v>
      </c>
      <c r="I860" s="8">
        <v>1.0817130804061801</v>
      </c>
      <c r="J860" s="8">
        <v>27.079999923706001</v>
      </c>
      <c r="K860" s="8"/>
      <c r="L860" s="8">
        <v>866</v>
      </c>
      <c r="M860" s="8">
        <v>7.3333337903022697E-2</v>
      </c>
      <c r="N860" s="8">
        <v>27.079999923706001</v>
      </c>
      <c r="P860" s="8"/>
    </row>
    <row r="861" spans="1:16" x14ac:dyDescent="0.25">
      <c r="A861" s="8">
        <f t="shared" si="51"/>
        <v>867</v>
      </c>
      <c r="B861" s="8">
        <f t="shared" si="52"/>
        <v>1</v>
      </c>
      <c r="C861" s="8">
        <f t="shared" si="53"/>
        <v>22.42535972595212</v>
      </c>
      <c r="D861" s="8">
        <v>867</v>
      </c>
      <c r="E861" s="8">
        <v>12.4574279785156</v>
      </c>
      <c r="F861" s="8">
        <v>9.6099996566772408</v>
      </c>
      <c r="G861" s="8"/>
      <c r="H861" s="8">
        <v>867</v>
      </c>
      <c r="I861" s="8">
        <v>5.2964658737182599</v>
      </c>
      <c r="J861" s="8">
        <v>9.6099996566772408</v>
      </c>
      <c r="K861" s="8"/>
      <c r="L861" s="8">
        <v>867</v>
      </c>
      <c r="M861" s="8">
        <v>4.6714658737182599</v>
      </c>
      <c r="N861" s="8">
        <v>9.6099996566772408</v>
      </c>
      <c r="P861" s="8"/>
    </row>
    <row r="862" spans="1:16" x14ac:dyDescent="0.25">
      <c r="A862" s="8">
        <f t="shared" si="51"/>
        <v>868</v>
      </c>
      <c r="B862" s="8">
        <f t="shared" si="52"/>
        <v>1</v>
      </c>
      <c r="C862" s="8">
        <f t="shared" si="53"/>
        <v>0.27333334833383499</v>
      </c>
      <c r="D862" s="8">
        <v>868</v>
      </c>
      <c r="E862" s="8">
        <v>5.3333334624767303E-2</v>
      </c>
      <c r="F862" s="8">
        <v>9.6099996566772408</v>
      </c>
      <c r="G862" s="8"/>
      <c r="H862" s="8">
        <v>868</v>
      </c>
      <c r="I862" s="8">
        <v>0.146666675806045</v>
      </c>
      <c r="J862" s="8">
        <v>9.6099996566772408</v>
      </c>
      <c r="K862" s="8"/>
      <c r="L862" s="8">
        <v>868</v>
      </c>
      <c r="M862" s="8">
        <v>7.3333337903022697E-2</v>
      </c>
      <c r="N862" s="8">
        <v>9.6099996566772408</v>
      </c>
      <c r="P862" s="8"/>
    </row>
    <row r="863" spans="1:16" x14ac:dyDescent="0.25">
      <c r="A863" s="8">
        <f t="shared" si="51"/>
        <v>888</v>
      </c>
      <c r="B863" s="8">
        <f t="shared" si="52"/>
        <v>1</v>
      </c>
      <c r="C863" s="8">
        <f t="shared" si="53"/>
        <v>22.210668563842752</v>
      </c>
      <c r="D863" s="8">
        <v>888</v>
      </c>
      <c r="E863" s="8">
        <v>8.4764890670776296</v>
      </c>
      <c r="F863" s="8">
        <v>62.5</v>
      </c>
      <c r="G863" s="8"/>
      <c r="H863" s="8">
        <v>888</v>
      </c>
      <c r="I863" s="8">
        <v>7.8670897483825604</v>
      </c>
      <c r="J863" s="8">
        <v>62.5</v>
      </c>
      <c r="K863" s="8"/>
      <c r="L863" s="8">
        <v>888</v>
      </c>
      <c r="M863" s="8">
        <v>5.8670897483825604</v>
      </c>
      <c r="N863" s="8">
        <v>62.5</v>
      </c>
      <c r="P863" s="8"/>
    </row>
    <row r="864" spans="1:16" x14ac:dyDescent="0.25">
      <c r="A864" s="8">
        <f t="shared" si="51"/>
        <v>889</v>
      </c>
      <c r="B864" s="8">
        <f t="shared" si="52"/>
        <v>1</v>
      </c>
      <c r="C864" s="8">
        <f t="shared" si="53"/>
        <v>1</v>
      </c>
      <c r="D864" s="8">
        <v>889</v>
      </c>
      <c r="E864" s="8">
        <v>0</v>
      </c>
      <c r="F864" s="8">
        <v>62.5</v>
      </c>
      <c r="G864" s="8"/>
      <c r="H864" s="8">
        <v>889</v>
      </c>
      <c r="I864" s="8">
        <v>0</v>
      </c>
      <c r="J864" s="8">
        <v>62.5</v>
      </c>
      <c r="K864" s="8"/>
      <c r="L864" s="8">
        <v>889</v>
      </c>
      <c r="M864" s="8">
        <v>1</v>
      </c>
      <c r="N864" s="8">
        <v>62.5</v>
      </c>
      <c r="P864" s="8"/>
    </row>
    <row r="865" spans="1:16" x14ac:dyDescent="0.25">
      <c r="A865" s="8">
        <f t="shared" si="51"/>
        <v>890</v>
      </c>
      <c r="B865" s="8">
        <f t="shared" si="52"/>
        <v>1</v>
      </c>
      <c r="C865" s="8">
        <f t="shared" si="53"/>
        <v>3130.839721679687</v>
      </c>
      <c r="D865" s="8">
        <v>890</v>
      </c>
      <c r="E865" s="8">
        <v>963.49499511718705</v>
      </c>
      <c r="F865" s="8">
        <v>36.800006866455</v>
      </c>
      <c r="G865" s="8"/>
      <c r="H865" s="8">
        <v>890</v>
      </c>
      <c r="I865" s="8">
        <v>1247.814453125</v>
      </c>
      <c r="J865" s="8">
        <v>36.800006866455</v>
      </c>
      <c r="K865" s="8"/>
      <c r="L865" s="8">
        <v>890</v>
      </c>
      <c r="M865" s="8">
        <v>919.5302734375</v>
      </c>
      <c r="N865" s="8">
        <v>36.800006866455</v>
      </c>
      <c r="P865" s="8"/>
    </row>
    <row r="866" spans="1:16" x14ac:dyDescent="0.25">
      <c r="A866" s="8">
        <f t="shared" si="51"/>
        <v>891</v>
      </c>
      <c r="B866" s="8">
        <f t="shared" si="52"/>
        <v>1</v>
      </c>
      <c r="C866" s="8">
        <f t="shared" si="53"/>
        <v>652.65605163574003</v>
      </c>
      <c r="D866" s="8">
        <v>891</v>
      </c>
      <c r="E866" s="8">
        <v>202.71089172363199</v>
      </c>
      <c r="F866" s="8">
        <v>36.799995422363203</v>
      </c>
      <c r="G866" s="8"/>
      <c r="H866" s="8">
        <v>891</v>
      </c>
      <c r="I866" s="8">
        <v>242.59779357910099</v>
      </c>
      <c r="J866" s="8">
        <v>36.799995422363203</v>
      </c>
      <c r="K866" s="8"/>
      <c r="L866" s="8">
        <v>891</v>
      </c>
      <c r="M866" s="8">
        <v>207.34736633300699</v>
      </c>
      <c r="N866" s="8">
        <v>36.799995422363203</v>
      </c>
      <c r="P866" s="8"/>
    </row>
    <row r="867" spans="1:16" x14ac:dyDescent="0.25">
      <c r="A867" s="8">
        <f t="shared" si="51"/>
        <v>892</v>
      </c>
      <c r="B867" s="8">
        <f t="shared" si="52"/>
        <v>1</v>
      </c>
      <c r="C867" s="8">
        <f t="shared" si="53"/>
        <v>3136.3695068359248</v>
      </c>
      <c r="D867" s="8">
        <v>892</v>
      </c>
      <c r="E867" s="8">
        <v>1243.25952148437</v>
      </c>
      <c r="F867" s="8">
        <v>60</v>
      </c>
      <c r="G867" s="8"/>
      <c r="H867" s="8">
        <v>892</v>
      </c>
      <c r="I867" s="8">
        <v>1341.17272949218</v>
      </c>
      <c r="J867" s="8">
        <v>60</v>
      </c>
      <c r="K867" s="8"/>
      <c r="L867" s="8">
        <v>892</v>
      </c>
      <c r="M867" s="8">
        <v>551.937255859375</v>
      </c>
      <c r="N867" s="8">
        <v>60</v>
      </c>
      <c r="P867" s="8"/>
    </row>
    <row r="868" spans="1:16" x14ac:dyDescent="0.25">
      <c r="A868" s="8">
        <f t="shared" si="51"/>
        <v>893</v>
      </c>
      <c r="B868" s="8">
        <f t="shared" si="52"/>
        <v>1</v>
      </c>
      <c r="C868" s="8">
        <f t="shared" si="53"/>
        <v>1196.5708312988281</v>
      </c>
      <c r="D868" s="8">
        <v>893</v>
      </c>
      <c r="E868" s="8">
        <v>352.757080078125</v>
      </c>
      <c r="F868" s="8">
        <v>7</v>
      </c>
      <c r="G868" s="8"/>
      <c r="H868" s="8">
        <v>893</v>
      </c>
      <c r="I868" s="8">
        <v>474.22805786132801</v>
      </c>
      <c r="J868" s="8">
        <v>7</v>
      </c>
      <c r="K868" s="8"/>
      <c r="L868" s="8">
        <v>893</v>
      </c>
      <c r="M868" s="8">
        <v>369.585693359375</v>
      </c>
      <c r="N868" s="8">
        <v>7</v>
      </c>
      <c r="P868" s="8"/>
    </row>
    <row r="869" spans="1:16" x14ac:dyDescent="0.25">
      <c r="A869" s="8">
        <f t="shared" si="51"/>
        <v>894</v>
      </c>
      <c r="B869" s="8">
        <f t="shared" si="52"/>
        <v>1</v>
      </c>
      <c r="C869" s="8">
        <f t="shared" si="53"/>
        <v>40.096845626831048</v>
      </c>
      <c r="D869" s="8">
        <v>894</v>
      </c>
      <c r="E869" s="8">
        <v>9.7124404907226491</v>
      </c>
      <c r="F869" s="8">
        <v>7</v>
      </c>
      <c r="G869" s="8"/>
      <c r="H869" s="8">
        <v>894</v>
      </c>
      <c r="I869" s="8">
        <v>22.384405136108398</v>
      </c>
      <c r="J869" s="8">
        <v>7</v>
      </c>
      <c r="K869" s="8"/>
      <c r="L869" s="8">
        <v>894</v>
      </c>
      <c r="M869" s="8">
        <v>8</v>
      </c>
      <c r="N869" s="8">
        <v>7</v>
      </c>
      <c r="P869" s="8"/>
    </row>
    <row r="870" spans="1:16" x14ac:dyDescent="0.25">
      <c r="A870" s="8">
        <f t="shared" si="51"/>
        <v>895</v>
      </c>
      <c r="B870" s="8">
        <f t="shared" si="52"/>
        <v>1</v>
      </c>
      <c r="C870" s="8">
        <f t="shared" si="53"/>
        <v>0</v>
      </c>
      <c r="D870" s="8">
        <v>895</v>
      </c>
      <c r="E870" s="8">
        <v>0</v>
      </c>
      <c r="F870" s="8">
        <v>2</v>
      </c>
      <c r="G870" s="8"/>
      <c r="H870" s="8">
        <v>895</v>
      </c>
      <c r="I870" s="8">
        <v>0</v>
      </c>
      <c r="J870" s="8">
        <v>2</v>
      </c>
      <c r="K870" s="8"/>
      <c r="L870" s="8">
        <v>895</v>
      </c>
      <c r="M870" s="8">
        <v>0</v>
      </c>
      <c r="N870" s="8">
        <v>2</v>
      </c>
      <c r="P870" s="8"/>
    </row>
    <row r="871" spans="1:16" x14ac:dyDescent="0.25">
      <c r="A871" s="8">
        <f t="shared" si="51"/>
        <v>896</v>
      </c>
      <c r="B871" s="8">
        <f t="shared" si="52"/>
        <v>1</v>
      </c>
      <c r="C871" s="8">
        <f t="shared" si="53"/>
        <v>0</v>
      </c>
      <c r="D871" s="8">
        <v>896</v>
      </c>
      <c r="E871" s="8">
        <v>0</v>
      </c>
      <c r="F871" s="8">
        <v>2</v>
      </c>
      <c r="G871" s="8"/>
      <c r="H871" s="8">
        <v>896</v>
      </c>
      <c r="I871" s="8">
        <v>0</v>
      </c>
      <c r="J871" s="8">
        <v>2</v>
      </c>
      <c r="K871" s="8"/>
      <c r="L871" s="8">
        <v>896</v>
      </c>
      <c r="M871" s="8">
        <v>0</v>
      </c>
      <c r="N871" s="8">
        <v>2</v>
      </c>
      <c r="P871" s="8"/>
    </row>
    <row r="872" spans="1:16" x14ac:dyDescent="0.25">
      <c r="A872" s="8">
        <f t="shared" si="51"/>
        <v>897</v>
      </c>
      <c r="B872" s="8">
        <f t="shared" si="52"/>
        <v>1</v>
      </c>
      <c r="C872" s="8">
        <f t="shared" si="53"/>
        <v>672.58280944824196</v>
      </c>
      <c r="D872" s="8">
        <v>897</v>
      </c>
      <c r="E872" s="8">
        <v>239.25003051757801</v>
      </c>
      <c r="F872" s="8">
        <v>60</v>
      </c>
      <c r="G872" s="8"/>
      <c r="H872" s="8">
        <v>897</v>
      </c>
      <c r="I872" s="8">
        <v>238.443115234375</v>
      </c>
      <c r="J872" s="8">
        <v>60</v>
      </c>
      <c r="K872" s="8"/>
      <c r="L872" s="8">
        <v>897</v>
      </c>
      <c r="M872" s="8">
        <v>194.88966369628901</v>
      </c>
      <c r="N872" s="8">
        <v>60</v>
      </c>
      <c r="P872" s="8"/>
    </row>
    <row r="873" spans="1:16" x14ac:dyDescent="0.25">
      <c r="A873" s="8">
        <f t="shared" si="51"/>
        <v>898</v>
      </c>
      <c r="B873" s="8">
        <f t="shared" si="52"/>
        <v>1</v>
      </c>
      <c r="C873" s="8">
        <f t="shared" si="53"/>
        <v>2.6388146281242273</v>
      </c>
      <c r="D873" s="8">
        <v>898</v>
      </c>
      <c r="E873" s="8">
        <v>1.2939215898513701</v>
      </c>
      <c r="F873" s="8">
        <v>42.314968109130803</v>
      </c>
      <c r="G873" s="8"/>
      <c r="H873" s="8">
        <v>898</v>
      </c>
      <c r="I873" s="8">
        <v>0.92111814022064198</v>
      </c>
      <c r="J873" s="8">
        <v>42.976814270019503</v>
      </c>
      <c r="K873" s="8"/>
      <c r="L873" s="8">
        <v>898</v>
      </c>
      <c r="M873" s="8">
        <v>0.42377489805221502</v>
      </c>
      <c r="N873" s="8">
        <v>42.56978225708</v>
      </c>
      <c r="P873" s="8"/>
    </row>
    <row r="874" spans="1:16" x14ac:dyDescent="0.25">
      <c r="A874" s="8">
        <f t="shared" si="51"/>
        <v>899</v>
      </c>
      <c r="B874" s="8">
        <f t="shared" si="52"/>
        <v>1</v>
      </c>
      <c r="C874" s="8">
        <f t="shared" si="53"/>
        <v>31.877686500549231</v>
      </c>
      <c r="D874" s="8">
        <v>899</v>
      </c>
      <c r="E874" s="8">
        <v>12.055278778076101</v>
      </c>
      <c r="F874" s="8">
        <v>45.518947601318303</v>
      </c>
      <c r="G874" s="8"/>
      <c r="H874" s="8">
        <v>899</v>
      </c>
      <c r="I874" s="8">
        <v>10.3907823562622</v>
      </c>
      <c r="J874" s="8">
        <v>47.550113677978501</v>
      </c>
      <c r="K874" s="8"/>
      <c r="L874" s="8">
        <v>899</v>
      </c>
      <c r="M874" s="8">
        <v>9.4316253662109304</v>
      </c>
      <c r="N874" s="8">
        <v>45.640346527099602</v>
      </c>
      <c r="P874" s="8"/>
    </row>
    <row r="875" spans="1:16" x14ac:dyDescent="0.25">
      <c r="A875" s="8">
        <f t="shared" si="51"/>
        <v>900</v>
      </c>
      <c r="B875" s="8">
        <f t="shared" si="52"/>
        <v>1</v>
      </c>
      <c r="C875" s="8">
        <f t="shared" si="53"/>
        <v>44.133047103881722</v>
      </c>
      <c r="D875" s="8">
        <v>900</v>
      </c>
      <c r="E875" s="8">
        <v>14.923977851867599</v>
      </c>
      <c r="F875" s="8">
        <v>31.63671875</v>
      </c>
      <c r="G875" s="8"/>
      <c r="H875" s="8">
        <v>900</v>
      </c>
      <c r="I875" s="8">
        <v>20.7803859710693</v>
      </c>
      <c r="J875" s="8">
        <v>32.232036590576101</v>
      </c>
      <c r="K875" s="8"/>
      <c r="L875" s="8">
        <v>900</v>
      </c>
      <c r="M875" s="8">
        <v>8.4286832809448207</v>
      </c>
      <c r="N875" s="8">
        <v>31.973981857299801</v>
      </c>
      <c r="P875" s="8"/>
    </row>
    <row r="876" spans="1:16" x14ac:dyDescent="0.25">
      <c r="A876" s="8">
        <f t="shared" si="51"/>
        <v>901</v>
      </c>
      <c r="B876" s="8">
        <f t="shared" si="52"/>
        <v>1</v>
      </c>
      <c r="C876" s="8">
        <f t="shared" si="53"/>
        <v>169.07468414306629</v>
      </c>
      <c r="D876" s="8">
        <v>901</v>
      </c>
      <c r="E876" s="8">
        <v>44.550846099853501</v>
      </c>
      <c r="F876" s="8">
        <v>32.121257781982401</v>
      </c>
      <c r="G876" s="8"/>
      <c r="H876" s="8">
        <v>901</v>
      </c>
      <c r="I876" s="8">
        <v>70.2095947265625</v>
      </c>
      <c r="J876" s="8">
        <v>32.462173461913999</v>
      </c>
      <c r="K876" s="8"/>
      <c r="L876" s="8">
        <v>901</v>
      </c>
      <c r="M876" s="8">
        <v>54.314243316650298</v>
      </c>
      <c r="N876" s="8">
        <v>32.291835784912102</v>
      </c>
      <c r="P876" s="8"/>
    </row>
    <row r="877" spans="1:16" x14ac:dyDescent="0.25">
      <c r="A877" s="8">
        <f t="shared" si="51"/>
        <v>902</v>
      </c>
      <c r="B877" s="8">
        <f t="shared" si="52"/>
        <v>1</v>
      </c>
      <c r="C877" s="8">
        <f t="shared" si="53"/>
        <v>93.802469253539812</v>
      </c>
      <c r="D877" s="8">
        <v>902</v>
      </c>
      <c r="E877" s="8">
        <v>29.642599105834901</v>
      </c>
      <c r="F877" s="8">
        <v>32.5845947265625</v>
      </c>
      <c r="G877" s="8"/>
      <c r="H877" s="8">
        <v>902</v>
      </c>
      <c r="I877" s="8">
        <v>30.825206756591701</v>
      </c>
      <c r="J877" s="8">
        <v>32.941226959228501</v>
      </c>
      <c r="K877" s="8"/>
      <c r="L877" s="8">
        <v>902</v>
      </c>
      <c r="M877" s="8">
        <v>33.334663391113203</v>
      </c>
      <c r="N877" s="8">
        <v>32.747379302978501</v>
      </c>
      <c r="P877" s="8"/>
    </row>
    <row r="878" spans="1:16" x14ac:dyDescent="0.25">
      <c r="A878" s="8">
        <f t="shared" si="51"/>
        <v>903</v>
      </c>
      <c r="B878" s="8">
        <f t="shared" si="52"/>
        <v>1</v>
      </c>
      <c r="C878" s="8">
        <f t="shared" si="53"/>
        <v>130.31023406982411</v>
      </c>
      <c r="D878" s="8">
        <v>903</v>
      </c>
      <c r="E878" s="8">
        <v>52.8438720703125</v>
      </c>
      <c r="F878" s="8">
        <v>31.535451889038001</v>
      </c>
      <c r="G878" s="8"/>
      <c r="H878" s="8">
        <v>903</v>
      </c>
      <c r="I878" s="8">
        <v>47.725875854492102</v>
      </c>
      <c r="J878" s="8">
        <v>31.789136886596602</v>
      </c>
      <c r="K878" s="8"/>
      <c r="L878" s="8">
        <v>903</v>
      </c>
      <c r="M878" s="8">
        <v>29.740486145019499</v>
      </c>
      <c r="N878" s="8">
        <v>31.6543769836425</v>
      </c>
      <c r="P878" s="8"/>
    </row>
    <row r="879" spans="1:16" x14ac:dyDescent="0.25">
      <c r="A879" s="8">
        <f t="shared" si="51"/>
        <v>904</v>
      </c>
      <c r="B879" s="8">
        <f t="shared" si="52"/>
        <v>1</v>
      </c>
      <c r="C879" s="8">
        <f t="shared" si="53"/>
        <v>0</v>
      </c>
      <c r="D879" s="8">
        <v>904</v>
      </c>
      <c r="E879" s="8">
        <v>0</v>
      </c>
      <c r="F879" s="8">
        <v>25.0330276489257</v>
      </c>
      <c r="G879" s="8"/>
      <c r="H879" s="8">
        <v>904</v>
      </c>
      <c r="I879" s="8">
        <v>0</v>
      </c>
      <c r="J879" s="8">
        <v>25.5079650878906</v>
      </c>
      <c r="K879" s="8"/>
      <c r="L879" s="8">
        <v>904</v>
      </c>
      <c r="M879" s="8">
        <v>0</v>
      </c>
      <c r="N879" s="8">
        <v>25.150577545166001</v>
      </c>
      <c r="P879" s="8"/>
    </row>
    <row r="880" spans="1:16" x14ac:dyDescent="0.25">
      <c r="A880" s="8">
        <f t="shared" si="51"/>
        <v>905</v>
      </c>
      <c r="B880" s="8">
        <f t="shared" si="52"/>
        <v>1</v>
      </c>
      <c r="C880" s="8">
        <f t="shared" si="53"/>
        <v>135.35621643066389</v>
      </c>
      <c r="D880" s="8">
        <v>905</v>
      </c>
      <c r="E880" s="8">
        <v>51.964599609375</v>
      </c>
      <c r="F880" s="8">
        <v>28.3201179504394</v>
      </c>
      <c r="G880" s="8"/>
      <c r="H880" s="8">
        <v>905</v>
      </c>
      <c r="I880" s="8">
        <v>56.084819793701101</v>
      </c>
      <c r="J880" s="8">
        <v>28.846328735351499</v>
      </c>
      <c r="K880" s="8"/>
      <c r="L880" s="8">
        <v>905</v>
      </c>
      <c r="M880" s="8">
        <v>27.306797027587798</v>
      </c>
      <c r="N880" s="8">
        <v>28.574131011962798</v>
      </c>
      <c r="P880" s="8"/>
    </row>
    <row r="881" spans="1:16" x14ac:dyDescent="0.25">
      <c r="A881" s="8">
        <f t="shared" si="51"/>
        <v>906</v>
      </c>
      <c r="B881" s="8">
        <f t="shared" si="52"/>
        <v>1</v>
      </c>
      <c r="C881" s="8">
        <f t="shared" si="53"/>
        <v>75.039638519286996</v>
      </c>
      <c r="D881" s="8">
        <v>906</v>
      </c>
      <c r="E881" s="8">
        <v>32.179824829101499</v>
      </c>
      <c r="F881" s="8">
        <v>15.4816522598266</v>
      </c>
      <c r="G881" s="8"/>
      <c r="H881" s="8">
        <v>906</v>
      </c>
      <c r="I881" s="8">
        <v>28.392900466918899</v>
      </c>
      <c r="J881" s="8">
        <v>16.2185249328613</v>
      </c>
      <c r="K881" s="8"/>
      <c r="L881" s="8">
        <v>906</v>
      </c>
      <c r="M881" s="8">
        <v>14.4669132232666</v>
      </c>
      <c r="N881" s="8">
        <v>15.812746047973601</v>
      </c>
      <c r="P881" s="8"/>
    </row>
    <row r="882" spans="1:16" x14ac:dyDescent="0.25">
      <c r="A882" s="8">
        <f t="shared" si="51"/>
        <v>907</v>
      </c>
      <c r="B882" s="8">
        <f t="shared" si="52"/>
        <v>1</v>
      </c>
      <c r="C882" s="8">
        <f t="shared" si="53"/>
        <v>30.752493858337331</v>
      </c>
      <c r="D882" s="8">
        <v>907</v>
      </c>
      <c r="E882" s="8">
        <v>9.3388891220092702</v>
      </c>
      <c r="F882" s="8">
        <v>15.77255153656</v>
      </c>
      <c r="G882" s="8"/>
      <c r="H882" s="8">
        <v>907</v>
      </c>
      <c r="I882" s="8">
        <v>12.7911529541015</v>
      </c>
      <c r="J882" s="8">
        <v>16.1673488616943</v>
      </c>
      <c r="K882" s="8"/>
      <c r="L882" s="8">
        <v>907</v>
      </c>
      <c r="M882" s="8">
        <v>8.6224517822265607</v>
      </c>
      <c r="N882" s="8">
        <v>15.9975891113281</v>
      </c>
      <c r="P882" s="8"/>
    </row>
    <row r="883" spans="1:16" x14ac:dyDescent="0.25">
      <c r="A883" s="8">
        <f t="shared" si="51"/>
        <v>908</v>
      </c>
      <c r="B883" s="8">
        <f t="shared" si="52"/>
        <v>1</v>
      </c>
      <c r="C883" s="8">
        <f t="shared" si="53"/>
        <v>8.8837394714355291</v>
      </c>
      <c r="D883" s="8">
        <v>908</v>
      </c>
      <c r="E883" s="8">
        <v>3.8334798812866202</v>
      </c>
      <c r="F883" s="8">
        <v>35.077136993408203</v>
      </c>
      <c r="G883" s="8"/>
      <c r="H883" s="8">
        <v>908</v>
      </c>
      <c r="I883" s="8">
        <v>3.9143819808959899</v>
      </c>
      <c r="J883" s="8">
        <v>35.743396759033203</v>
      </c>
      <c r="K883" s="8"/>
      <c r="L883" s="8">
        <v>908</v>
      </c>
      <c r="M883" s="8">
        <v>1.1358776092529199</v>
      </c>
      <c r="N883" s="8">
        <v>35.4043159484863</v>
      </c>
      <c r="P883" s="8"/>
    </row>
    <row r="884" spans="1:16" x14ac:dyDescent="0.25">
      <c r="A884" s="8">
        <f t="shared" si="51"/>
        <v>909</v>
      </c>
      <c r="B884" s="8">
        <f t="shared" si="52"/>
        <v>1</v>
      </c>
      <c r="C884" s="8">
        <f t="shared" si="53"/>
        <v>143.2933273315428</v>
      </c>
      <c r="D884" s="8">
        <v>909</v>
      </c>
      <c r="E884" s="8">
        <v>51.323169708251903</v>
      </c>
      <c r="F884" s="8">
        <v>49.007049560546797</v>
      </c>
      <c r="G884" s="8"/>
      <c r="H884" s="8">
        <v>909</v>
      </c>
      <c r="I884" s="8">
        <v>51.538433074951101</v>
      </c>
      <c r="J884" s="8">
        <v>50.066215515136697</v>
      </c>
      <c r="K884" s="8"/>
      <c r="L884" s="8">
        <v>909</v>
      </c>
      <c r="M884" s="8">
        <v>40.431724548339801</v>
      </c>
      <c r="N884" s="8">
        <v>49.420989990234297</v>
      </c>
      <c r="P884" s="8"/>
    </row>
    <row r="885" spans="1:16" x14ac:dyDescent="0.25">
      <c r="A885" s="8">
        <f t="shared" si="51"/>
        <v>910</v>
      </c>
      <c r="B885" s="8">
        <f t="shared" si="52"/>
        <v>1</v>
      </c>
      <c r="C885" s="8">
        <f t="shared" si="53"/>
        <v>172.10631942749009</v>
      </c>
      <c r="D885" s="8">
        <v>910</v>
      </c>
      <c r="E885" s="8">
        <v>57.169975280761697</v>
      </c>
      <c r="F885" s="8">
        <v>53.660289764404297</v>
      </c>
      <c r="G885" s="8"/>
      <c r="H885" s="8">
        <v>910</v>
      </c>
      <c r="I885" s="8">
        <v>69.025337219238196</v>
      </c>
      <c r="J885" s="8">
        <v>54.983924865722599</v>
      </c>
      <c r="K885" s="8"/>
      <c r="L885" s="8">
        <v>910</v>
      </c>
      <c r="M885" s="8">
        <v>45.911006927490199</v>
      </c>
      <c r="N885" s="8">
        <v>54.314174652099602</v>
      </c>
      <c r="P885" s="8"/>
    </row>
    <row r="886" spans="1:16" x14ac:dyDescent="0.25">
      <c r="A886" s="8">
        <f t="shared" si="51"/>
        <v>911</v>
      </c>
      <c r="B886" s="8">
        <f t="shared" si="52"/>
        <v>1</v>
      </c>
      <c r="C886" s="8">
        <f t="shared" si="53"/>
        <v>272.45952606201132</v>
      </c>
      <c r="D886" s="8">
        <v>911</v>
      </c>
      <c r="E886" s="8">
        <v>99.032829284667898</v>
      </c>
      <c r="F886" s="8">
        <v>45.125137329101499</v>
      </c>
      <c r="G886" s="8"/>
      <c r="H886" s="8">
        <v>911</v>
      </c>
      <c r="I886" s="8">
        <v>107.168647766113</v>
      </c>
      <c r="J886" s="8">
        <v>46.696498870849602</v>
      </c>
      <c r="K886" s="8"/>
      <c r="L886" s="8">
        <v>911</v>
      </c>
      <c r="M886" s="8">
        <v>66.258049011230398</v>
      </c>
      <c r="N886" s="8">
        <v>45.613796234130803</v>
      </c>
      <c r="P886" s="8"/>
    </row>
    <row r="887" spans="1:16" x14ac:dyDescent="0.25">
      <c r="A887" s="8">
        <f t="shared" si="51"/>
        <v>912</v>
      </c>
      <c r="B887" s="8">
        <f t="shared" si="52"/>
        <v>1</v>
      </c>
      <c r="C887" s="8">
        <f t="shared" si="53"/>
        <v>241.13842010498041</v>
      </c>
      <c r="D887" s="8">
        <v>912</v>
      </c>
      <c r="E887" s="8">
        <v>76.915184020996094</v>
      </c>
      <c r="F887" s="8">
        <v>51.971469879150298</v>
      </c>
      <c r="G887" s="8"/>
      <c r="H887" s="8">
        <v>912</v>
      </c>
      <c r="I887" s="8">
        <v>88.671142578125</v>
      </c>
      <c r="J887" s="8">
        <v>52.289573669433501</v>
      </c>
      <c r="K887" s="8"/>
      <c r="L887" s="8">
        <v>912</v>
      </c>
      <c r="M887" s="8">
        <v>75.552093505859304</v>
      </c>
      <c r="N887" s="8">
        <v>52.059841156005803</v>
      </c>
      <c r="P887" s="8"/>
    </row>
    <row r="888" spans="1:16" x14ac:dyDescent="0.25">
      <c r="A888" s="8">
        <f t="shared" si="51"/>
        <v>913</v>
      </c>
      <c r="B888" s="8">
        <f t="shared" si="52"/>
        <v>1</v>
      </c>
      <c r="C888" s="8">
        <f t="shared" si="53"/>
        <v>1.579740226268767</v>
      </c>
      <c r="D888" s="8">
        <v>913</v>
      </c>
      <c r="E888" s="8">
        <v>0.55428570508956898</v>
      </c>
      <c r="F888" s="8">
        <v>15.5075883865356</v>
      </c>
      <c r="G888" s="8"/>
      <c r="H888" s="8">
        <v>913</v>
      </c>
      <c r="I888" s="8">
        <v>0.51272726058959905</v>
      </c>
      <c r="J888" s="8">
        <v>15.615896224975501</v>
      </c>
      <c r="K888" s="8"/>
      <c r="L888" s="8">
        <v>913</v>
      </c>
      <c r="M888" s="8">
        <v>0.51272726058959905</v>
      </c>
      <c r="N888" s="8">
        <v>15.5624742507934</v>
      </c>
      <c r="P888" s="8"/>
    </row>
    <row r="889" spans="1:16" x14ac:dyDescent="0.25">
      <c r="A889" s="8">
        <f t="shared" si="51"/>
        <v>914</v>
      </c>
      <c r="B889" s="8">
        <f t="shared" si="52"/>
        <v>1</v>
      </c>
      <c r="C889" s="8">
        <f t="shared" si="53"/>
        <v>0</v>
      </c>
      <c r="D889" s="8">
        <v>914</v>
      </c>
      <c r="E889" s="8">
        <v>0</v>
      </c>
      <c r="F889" s="8">
        <v>10.8903818130493</v>
      </c>
      <c r="G889" s="8"/>
      <c r="H889" s="8">
        <v>914</v>
      </c>
      <c r="I889" s="8">
        <v>0</v>
      </c>
      <c r="J889" s="8">
        <v>10.947358131408601</v>
      </c>
      <c r="K889" s="8"/>
      <c r="L889" s="8">
        <v>914</v>
      </c>
      <c r="M889" s="8">
        <v>0</v>
      </c>
      <c r="N889" s="8">
        <v>10.9487199783325</v>
      </c>
      <c r="P889" s="8"/>
    </row>
    <row r="890" spans="1:16" x14ac:dyDescent="0.25">
      <c r="A890" s="8">
        <f t="shared" si="51"/>
        <v>915</v>
      </c>
      <c r="B890" s="8">
        <f t="shared" si="52"/>
        <v>1</v>
      </c>
      <c r="C890" s="8">
        <f t="shared" si="53"/>
        <v>6.9829239845275692</v>
      </c>
      <c r="D890" s="8">
        <v>915</v>
      </c>
      <c r="E890" s="8">
        <v>2.36262607574462</v>
      </c>
      <c r="F890" s="8">
        <v>34.637290954589801</v>
      </c>
      <c r="G890" s="8"/>
      <c r="H890" s="8">
        <v>915</v>
      </c>
      <c r="I890" s="8">
        <v>3.5293040275573699</v>
      </c>
      <c r="J890" s="8">
        <v>35.165008544921797</v>
      </c>
      <c r="K890" s="8"/>
      <c r="L890" s="8">
        <v>915</v>
      </c>
      <c r="M890" s="8">
        <v>1.0909938812255799</v>
      </c>
      <c r="N890" s="8">
        <v>34.971523284912102</v>
      </c>
      <c r="P890" s="8"/>
    </row>
    <row r="891" spans="1:16" x14ac:dyDescent="0.25">
      <c r="A891" s="8">
        <f t="shared" si="51"/>
        <v>916</v>
      </c>
      <c r="B891" s="8">
        <f t="shared" si="52"/>
        <v>1</v>
      </c>
      <c r="C891" s="8">
        <f t="shared" si="53"/>
        <v>223.0722732543943</v>
      </c>
      <c r="D891" s="8">
        <v>916</v>
      </c>
      <c r="E891" s="8">
        <v>76.478485107421804</v>
      </c>
      <c r="F891" s="8">
        <v>48.373889923095703</v>
      </c>
      <c r="G891" s="8"/>
      <c r="H891" s="8">
        <v>916</v>
      </c>
      <c r="I891" s="8">
        <v>79.412956237792898</v>
      </c>
      <c r="J891" s="8">
        <v>49.255893707275298</v>
      </c>
      <c r="K891" s="8"/>
      <c r="L891" s="8">
        <v>916</v>
      </c>
      <c r="M891" s="8">
        <v>67.180831909179602</v>
      </c>
      <c r="N891" s="8">
        <v>48.721996307372997</v>
      </c>
      <c r="P891" s="8"/>
    </row>
    <row r="892" spans="1:16" x14ac:dyDescent="0.25">
      <c r="A892" s="8">
        <f t="shared" si="51"/>
        <v>917</v>
      </c>
      <c r="B892" s="8">
        <f t="shared" si="52"/>
        <v>1</v>
      </c>
      <c r="C892" s="8">
        <f t="shared" si="53"/>
        <v>18.93119001388548</v>
      </c>
      <c r="D892" s="8">
        <v>917</v>
      </c>
      <c r="E892" s="8">
        <v>7.5350198745727504</v>
      </c>
      <c r="F892" s="8">
        <v>24.021770477294901</v>
      </c>
      <c r="G892" s="8"/>
      <c r="H892" s="8">
        <v>917</v>
      </c>
      <c r="I892" s="8">
        <v>6.1191921234130797</v>
      </c>
      <c r="J892" s="8">
        <v>24.885646820068299</v>
      </c>
      <c r="K892" s="8"/>
      <c r="L892" s="8">
        <v>917</v>
      </c>
      <c r="M892" s="8">
        <v>5.2769780158996502</v>
      </c>
      <c r="N892" s="8">
        <v>24.384492874145501</v>
      </c>
      <c r="P892" s="8"/>
    </row>
    <row r="893" spans="1:16" x14ac:dyDescent="0.25">
      <c r="A893" s="8">
        <f t="shared" si="51"/>
        <v>918</v>
      </c>
      <c r="B893" s="8">
        <f t="shared" si="52"/>
        <v>1</v>
      </c>
      <c r="C893" s="8">
        <f t="shared" si="53"/>
        <v>18.149614334106431</v>
      </c>
      <c r="D893" s="8">
        <v>918</v>
      </c>
      <c r="E893" s="8">
        <v>7.7690744400024396</v>
      </c>
      <c r="F893" s="8">
        <v>17.8714389801025</v>
      </c>
      <c r="G893" s="8"/>
      <c r="H893" s="8">
        <v>918</v>
      </c>
      <c r="I893" s="8">
        <v>4.9331278800964302</v>
      </c>
      <c r="J893" s="8">
        <v>17.944431304931602</v>
      </c>
      <c r="K893" s="8"/>
      <c r="L893" s="8">
        <v>918</v>
      </c>
      <c r="M893" s="8">
        <v>5.4474120140075604</v>
      </c>
      <c r="N893" s="8">
        <v>17.9071750640869</v>
      </c>
      <c r="P893" s="8"/>
    </row>
    <row r="894" spans="1:16" x14ac:dyDescent="0.25">
      <c r="A894" s="8">
        <f t="shared" si="51"/>
        <v>919</v>
      </c>
      <c r="B894" s="8">
        <f t="shared" si="52"/>
        <v>1</v>
      </c>
      <c r="C894" s="8">
        <f t="shared" si="53"/>
        <v>15.53084945678709</v>
      </c>
      <c r="D894" s="8">
        <v>919</v>
      </c>
      <c r="E894" s="8">
        <v>4.1778593063354403</v>
      </c>
      <c r="F894" s="8">
        <v>18.154035568237301</v>
      </c>
      <c r="G894" s="8"/>
      <c r="H894" s="8">
        <v>919</v>
      </c>
      <c r="I894" s="8">
        <v>5.8596930503845197</v>
      </c>
      <c r="J894" s="8">
        <v>18.421859741210898</v>
      </c>
      <c r="K894" s="8"/>
      <c r="L894" s="8">
        <v>919</v>
      </c>
      <c r="M894" s="8">
        <v>5.4932971000671298</v>
      </c>
      <c r="N894" s="8">
        <v>18.2186069488525</v>
      </c>
      <c r="P894" s="8"/>
    </row>
    <row r="895" spans="1:16" x14ac:dyDescent="0.25">
      <c r="A895" s="8">
        <f t="shared" si="51"/>
        <v>920</v>
      </c>
      <c r="B895" s="8">
        <f t="shared" si="52"/>
        <v>1</v>
      </c>
      <c r="C895" s="8">
        <f t="shared" si="53"/>
        <v>139.8484001159666</v>
      </c>
      <c r="D895" s="8">
        <v>920</v>
      </c>
      <c r="E895" s="8">
        <v>53.451484680175703</v>
      </c>
      <c r="F895" s="8">
        <v>48.843303680419901</v>
      </c>
      <c r="G895" s="8"/>
      <c r="H895" s="8">
        <v>920</v>
      </c>
      <c r="I895" s="8">
        <v>54.049510955810497</v>
      </c>
      <c r="J895" s="8">
        <v>49.613395690917898</v>
      </c>
      <c r="K895" s="8"/>
      <c r="L895" s="8">
        <v>920</v>
      </c>
      <c r="M895" s="8">
        <v>32.347404479980398</v>
      </c>
      <c r="N895" s="8">
        <v>49.203132629394503</v>
      </c>
      <c r="P895" s="8"/>
    </row>
    <row r="896" spans="1:16" x14ac:dyDescent="0.25">
      <c r="A896" s="8">
        <f t="shared" si="51"/>
        <v>921</v>
      </c>
      <c r="B896" s="8">
        <f t="shared" si="52"/>
        <v>1</v>
      </c>
      <c r="C896" s="8">
        <f t="shared" si="53"/>
        <v>159.72167968749989</v>
      </c>
      <c r="D896" s="8">
        <v>921</v>
      </c>
      <c r="E896" s="8">
        <v>56.671966552734297</v>
      </c>
      <c r="F896" s="8">
        <v>38.929779052734297</v>
      </c>
      <c r="G896" s="8"/>
      <c r="H896" s="8">
        <v>921</v>
      </c>
      <c r="I896" s="8">
        <v>57.5124702453613</v>
      </c>
      <c r="J896" s="8">
        <v>39.683448791503899</v>
      </c>
      <c r="K896" s="8"/>
      <c r="L896" s="8">
        <v>921</v>
      </c>
      <c r="M896" s="8">
        <v>45.537242889404297</v>
      </c>
      <c r="N896" s="8">
        <v>39.326995849609297</v>
      </c>
      <c r="P896" s="8"/>
    </row>
    <row r="897" spans="1:16" x14ac:dyDescent="0.25">
      <c r="A897" s="8">
        <f t="shared" si="51"/>
        <v>922</v>
      </c>
      <c r="B897" s="8">
        <f t="shared" si="52"/>
        <v>1</v>
      </c>
      <c r="C897" s="8">
        <f t="shared" si="53"/>
        <v>238.3838844299315</v>
      </c>
      <c r="D897" s="8">
        <v>922</v>
      </c>
      <c r="E897" s="8">
        <v>85.722557067871094</v>
      </c>
      <c r="F897" s="8">
        <v>41.213027954101499</v>
      </c>
      <c r="G897" s="8"/>
      <c r="H897" s="8">
        <v>922</v>
      </c>
      <c r="I897" s="8">
        <v>90.011268615722599</v>
      </c>
      <c r="J897" s="8">
        <v>42.492404937744098</v>
      </c>
      <c r="K897" s="8"/>
      <c r="L897" s="8">
        <v>922</v>
      </c>
      <c r="M897" s="8">
        <v>62.650058746337798</v>
      </c>
      <c r="N897" s="8">
        <v>41.675300598144503</v>
      </c>
      <c r="P897" s="8"/>
    </row>
    <row r="898" spans="1:16" x14ac:dyDescent="0.25">
      <c r="A898" s="8">
        <f t="shared" si="51"/>
        <v>923</v>
      </c>
      <c r="B898" s="8">
        <f t="shared" si="52"/>
        <v>1</v>
      </c>
      <c r="C898" s="8">
        <f t="shared" si="53"/>
        <v>3.8666667342185939</v>
      </c>
      <c r="D898" s="8">
        <v>923</v>
      </c>
      <c r="E898" s="8">
        <v>1.3333333730697601</v>
      </c>
      <c r="F898" s="8">
        <v>40.356613159179602</v>
      </c>
      <c r="G898" s="8"/>
      <c r="H898" s="8">
        <v>923</v>
      </c>
      <c r="I898" s="8">
        <v>0.53333336114883401</v>
      </c>
      <c r="J898" s="8">
        <v>40.907752990722599</v>
      </c>
      <c r="K898" s="8"/>
      <c r="L898" s="8">
        <v>923</v>
      </c>
      <c r="M898" s="8">
        <v>2</v>
      </c>
      <c r="N898" s="8">
        <v>40.750411987304602</v>
      </c>
      <c r="P898" s="8"/>
    </row>
    <row r="899" spans="1:16" x14ac:dyDescent="0.25">
      <c r="A899" s="8">
        <f t="shared" ref="A899:A962" si="54">IF(D899="","",D899)</f>
        <v>924</v>
      </c>
      <c r="B899" s="8">
        <f t="shared" ref="B899:B962" si="55">IF(OR(D899&lt;&gt;H899,H899&lt;&gt;L899,D899&lt;&gt;L899),0,1)</f>
        <v>1</v>
      </c>
      <c r="C899" s="8">
        <f t="shared" ref="C899:C962" si="56">SUM(E899,I899,M899)</f>
        <v>276.70057678222577</v>
      </c>
      <c r="D899" s="8">
        <v>924</v>
      </c>
      <c r="E899" s="8">
        <v>103.09733581542901</v>
      </c>
      <c r="F899" s="8">
        <v>46.290088653564403</v>
      </c>
      <c r="G899" s="8"/>
      <c r="H899" s="8">
        <v>924</v>
      </c>
      <c r="I899" s="8">
        <v>96.060249328613196</v>
      </c>
      <c r="J899" s="8">
        <v>47.346706390380803</v>
      </c>
      <c r="K899" s="8"/>
      <c r="L899" s="8">
        <v>924</v>
      </c>
      <c r="M899" s="8">
        <v>77.542991638183594</v>
      </c>
      <c r="N899" s="8">
        <v>46.676559448242102</v>
      </c>
      <c r="P899" s="8"/>
    </row>
    <row r="900" spans="1:16" x14ac:dyDescent="0.25">
      <c r="A900" s="8">
        <f t="shared" si="54"/>
        <v>925</v>
      </c>
      <c r="B900" s="8">
        <f t="shared" si="55"/>
        <v>1</v>
      </c>
      <c r="C900" s="8">
        <f t="shared" si="56"/>
        <v>86.403608322143398</v>
      </c>
      <c r="D900" s="8">
        <v>925</v>
      </c>
      <c r="E900" s="8">
        <v>26.421163558959901</v>
      </c>
      <c r="F900" s="8">
        <v>50.089092254638601</v>
      </c>
      <c r="G900" s="8"/>
      <c r="H900" s="8">
        <v>925</v>
      </c>
      <c r="I900" s="8">
        <v>34.169380187988203</v>
      </c>
      <c r="J900" s="8">
        <v>50.410240173339801</v>
      </c>
      <c r="K900" s="8"/>
      <c r="L900" s="8">
        <v>925</v>
      </c>
      <c r="M900" s="8">
        <v>25.813064575195298</v>
      </c>
      <c r="N900" s="8">
        <v>50.234409332275298</v>
      </c>
      <c r="P900" s="8"/>
    </row>
    <row r="901" spans="1:16" x14ac:dyDescent="0.25">
      <c r="A901" s="8">
        <f t="shared" si="54"/>
        <v>926</v>
      </c>
      <c r="B901" s="8">
        <f t="shared" si="55"/>
        <v>1</v>
      </c>
      <c r="C901" s="8">
        <f t="shared" si="56"/>
        <v>112.26157379150371</v>
      </c>
      <c r="D901" s="8">
        <v>926</v>
      </c>
      <c r="E901" s="8">
        <v>42.949653625488203</v>
      </c>
      <c r="F901" s="8">
        <v>31.383726119995099</v>
      </c>
      <c r="G901" s="8"/>
      <c r="H901" s="8">
        <v>926</v>
      </c>
      <c r="I901" s="8">
        <v>47.842552185058501</v>
      </c>
      <c r="J901" s="8">
        <v>31.9248542785644</v>
      </c>
      <c r="K901" s="8"/>
      <c r="L901" s="8">
        <v>926</v>
      </c>
      <c r="M901" s="8">
        <v>21.469367980956999</v>
      </c>
      <c r="N901" s="8">
        <v>31.7065715789794</v>
      </c>
      <c r="P901" s="8"/>
    </row>
    <row r="902" spans="1:16" x14ac:dyDescent="0.25">
      <c r="A902" s="8">
        <f t="shared" si="54"/>
        <v>927</v>
      </c>
      <c r="B902" s="8">
        <f t="shared" si="55"/>
        <v>1</v>
      </c>
      <c r="C902" s="8">
        <f t="shared" si="56"/>
        <v>1.7077117711305612</v>
      </c>
      <c r="D902" s="8">
        <v>927</v>
      </c>
      <c r="E902" s="8">
        <v>0.59216183423995905</v>
      </c>
      <c r="F902" s="8">
        <v>10.204154014587401</v>
      </c>
      <c r="G902" s="8"/>
      <c r="H902" s="8">
        <v>927</v>
      </c>
      <c r="I902" s="8">
        <v>0.90568900108337402</v>
      </c>
      <c r="J902" s="8">
        <v>10.378149986266999</v>
      </c>
      <c r="K902" s="8"/>
      <c r="L902" s="8">
        <v>927</v>
      </c>
      <c r="M902" s="8">
        <v>0.20986093580722801</v>
      </c>
      <c r="N902" s="8">
        <v>10.2663822174072</v>
      </c>
      <c r="P902" s="8"/>
    </row>
    <row r="903" spans="1:16" x14ac:dyDescent="0.25">
      <c r="A903" s="8">
        <f t="shared" si="54"/>
        <v>928</v>
      </c>
      <c r="B903" s="8">
        <f t="shared" si="55"/>
        <v>1</v>
      </c>
      <c r="C903" s="8">
        <f t="shared" si="56"/>
        <v>4.2750001549720729</v>
      </c>
      <c r="D903" s="8">
        <v>928</v>
      </c>
      <c r="E903" s="8">
        <v>2.8178572654724099</v>
      </c>
      <c r="F903" s="8">
        <v>10.312043190002401</v>
      </c>
      <c r="G903" s="8"/>
      <c r="H903" s="8">
        <v>928</v>
      </c>
      <c r="I903" s="8">
        <v>0.60000002384185702</v>
      </c>
      <c r="J903" s="8">
        <v>10.4873657226562</v>
      </c>
      <c r="K903" s="8"/>
      <c r="L903" s="8">
        <v>928</v>
      </c>
      <c r="M903" s="8">
        <v>0.85714286565780595</v>
      </c>
      <c r="N903" s="8">
        <v>10.5057363510131</v>
      </c>
      <c r="P903" s="8"/>
    </row>
    <row r="904" spans="1:16" x14ac:dyDescent="0.25">
      <c r="A904" s="8">
        <f t="shared" si="54"/>
        <v>929</v>
      </c>
      <c r="B904" s="8">
        <f t="shared" si="55"/>
        <v>1</v>
      </c>
      <c r="C904" s="8">
        <f t="shared" si="56"/>
        <v>16.45903539657591</v>
      </c>
      <c r="D904" s="8">
        <v>929</v>
      </c>
      <c r="E904" s="8">
        <v>6.1966977119445801</v>
      </c>
      <c r="F904" s="8">
        <v>16.953454971313398</v>
      </c>
      <c r="G904" s="8"/>
      <c r="H904" s="8">
        <v>929</v>
      </c>
      <c r="I904" s="8">
        <v>6.1109304428100497</v>
      </c>
      <c r="J904" s="8">
        <v>17.32417678833</v>
      </c>
      <c r="K904" s="8"/>
      <c r="L904" s="8">
        <v>929</v>
      </c>
      <c r="M904" s="8">
        <v>4.1514072418212802</v>
      </c>
      <c r="N904" s="8">
        <v>17.153741836547798</v>
      </c>
      <c r="P904" s="8"/>
    </row>
    <row r="905" spans="1:16" x14ac:dyDescent="0.25">
      <c r="A905" s="8">
        <f t="shared" si="54"/>
        <v>930</v>
      </c>
      <c r="B905" s="8">
        <f t="shared" si="55"/>
        <v>1</v>
      </c>
      <c r="C905" s="8">
        <f t="shared" si="56"/>
        <v>10.9923424720764</v>
      </c>
      <c r="D905" s="8">
        <v>930</v>
      </c>
      <c r="E905" s="8">
        <v>3.8280766010284402</v>
      </c>
      <c r="F905" s="8">
        <v>17.001224517822202</v>
      </c>
      <c r="G905" s="8"/>
      <c r="H905" s="8">
        <v>930</v>
      </c>
      <c r="I905" s="8">
        <v>3.4629893302917401</v>
      </c>
      <c r="J905" s="8">
        <v>17.2265090942382</v>
      </c>
      <c r="K905" s="8"/>
      <c r="L905" s="8">
        <v>930</v>
      </c>
      <c r="M905" s="8">
        <v>3.7012765407562198</v>
      </c>
      <c r="N905" s="8">
        <v>17.1760864257812</v>
      </c>
      <c r="P905" s="8"/>
    </row>
    <row r="906" spans="1:16" x14ac:dyDescent="0.25">
      <c r="A906" s="8">
        <f t="shared" si="54"/>
        <v>931</v>
      </c>
      <c r="B906" s="8">
        <f t="shared" si="55"/>
        <v>1</v>
      </c>
      <c r="C906" s="8">
        <f t="shared" si="56"/>
        <v>38.427356719970597</v>
      </c>
      <c r="D906" s="8">
        <v>931</v>
      </c>
      <c r="E906" s="8">
        <v>12.4981117248535</v>
      </c>
      <c r="F906" s="8">
        <v>12.702888488769499</v>
      </c>
      <c r="G906" s="8"/>
      <c r="H906" s="8">
        <v>931</v>
      </c>
      <c r="I906" s="8">
        <v>13.511498451232899</v>
      </c>
      <c r="J906" s="8">
        <v>12.854326248168899</v>
      </c>
      <c r="K906" s="8"/>
      <c r="L906" s="8">
        <v>931</v>
      </c>
      <c r="M906" s="8">
        <v>12.417746543884199</v>
      </c>
      <c r="N906" s="8">
        <v>12.817100524902299</v>
      </c>
      <c r="P906" s="8"/>
    </row>
    <row r="907" spans="1:16" x14ac:dyDescent="0.25">
      <c r="A907" s="8">
        <f t="shared" si="54"/>
        <v>932</v>
      </c>
      <c r="B907" s="8">
        <f t="shared" si="55"/>
        <v>1</v>
      </c>
      <c r="C907" s="8">
        <f t="shared" si="56"/>
        <v>71.599546432495004</v>
      </c>
      <c r="D907" s="8">
        <v>932</v>
      </c>
      <c r="E907" s="8">
        <v>25.361331939697202</v>
      </c>
      <c r="F907" s="8">
        <v>24.133132934570298</v>
      </c>
      <c r="G907" s="8"/>
      <c r="H907" s="8">
        <v>932</v>
      </c>
      <c r="I907" s="8">
        <v>30.177583694458001</v>
      </c>
      <c r="J907" s="8">
        <v>24.566682815551701</v>
      </c>
      <c r="K907" s="8"/>
      <c r="L907" s="8">
        <v>932</v>
      </c>
      <c r="M907" s="8">
        <v>16.060630798339801</v>
      </c>
      <c r="N907" s="8">
        <v>24.3536052703857</v>
      </c>
      <c r="P907" s="8"/>
    </row>
    <row r="908" spans="1:16" x14ac:dyDescent="0.25">
      <c r="A908" s="8">
        <f t="shared" si="54"/>
        <v>933</v>
      </c>
      <c r="B908" s="8">
        <f t="shared" si="55"/>
        <v>1</v>
      </c>
      <c r="C908" s="8">
        <f t="shared" si="56"/>
        <v>71.419412612914897</v>
      </c>
      <c r="D908" s="8">
        <v>933</v>
      </c>
      <c r="E908" s="8">
        <v>27.9519844055175</v>
      </c>
      <c r="F908" s="8">
        <v>27.558528900146399</v>
      </c>
      <c r="G908" s="8"/>
      <c r="H908" s="8">
        <v>933</v>
      </c>
      <c r="I908" s="8">
        <v>27.146724700927699</v>
      </c>
      <c r="J908" s="8">
        <v>28.070751190185501</v>
      </c>
      <c r="K908" s="8"/>
      <c r="L908" s="8">
        <v>933</v>
      </c>
      <c r="M908" s="8">
        <v>16.320703506469702</v>
      </c>
      <c r="N908" s="8">
        <v>27.888807296752901</v>
      </c>
      <c r="P908" s="8"/>
    </row>
    <row r="909" spans="1:16" x14ac:dyDescent="0.25">
      <c r="A909" s="8">
        <f t="shared" si="54"/>
        <v>934</v>
      </c>
      <c r="B909" s="8">
        <f t="shared" si="55"/>
        <v>1</v>
      </c>
      <c r="C909" s="8">
        <f t="shared" si="56"/>
        <v>161.7333602905272</v>
      </c>
      <c r="D909" s="8">
        <v>934</v>
      </c>
      <c r="E909" s="8">
        <v>69.994865417480398</v>
      </c>
      <c r="F909" s="8">
        <v>30.119958877563398</v>
      </c>
      <c r="G909" s="8"/>
      <c r="H909" s="8">
        <v>934</v>
      </c>
      <c r="I909" s="8">
        <v>54.7903442382812</v>
      </c>
      <c r="J909" s="8">
        <v>30.762584686279201</v>
      </c>
      <c r="K909" s="8"/>
      <c r="L909" s="8">
        <v>934</v>
      </c>
      <c r="M909" s="8">
        <v>36.948150634765597</v>
      </c>
      <c r="N909" s="8">
        <v>30.476650238037099</v>
      </c>
      <c r="P909" s="8"/>
    </row>
    <row r="910" spans="1:16" x14ac:dyDescent="0.25">
      <c r="A910" s="8">
        <f t="shared" si="54"/>
        <v>935</v>
      </c>
      <c r="B910" s="8">
        <f t="shared" si="55"/>
        <v>1</v>
      </c>
      <c r="C910" s="8">
        <f t="shared" si="56"/>
        <v>18.799773216247551</v>
      </c>
      <c r="D910" s="8">
        <v>935</v>
      </c>
      <c r="E910" s="8">
        <v>6.7473325729370099</v>
      </c>
      <c r="F910" s="8">
        <v>24.018445968627901</v>
      </c>
      <c r="G910" s="8"/>
      <c r="H910" s="8">
        <v>935</v>
      </c>
      <c r="I910" s="8">
        <v>8.6887922286987305</v>
      </c>
      <c r="J910" s="8">
        <v>24.3773880004882</v>
      </c>
      <c r="K910" s="8"/>
      <c r="L910" s="8">
        <v>935</v>
      </c>
      <c r="M910" s="8">
        <v>3.3636484146118102</v>
      </c>
      <c r="N910" s="8">
        <v>24.191652297973601</v>
      </c>
      <c r="P910" s="8"/>
    </row>
    <row r="911" spans="1:16" x14ac:dyDescent="0.25">
      <c r="A911" s="8">
        <f t="shared" si="54"/>
        <v>936</v>
      </c>
      <c r="B911" s="8">
        <f t="shared" si="55"/>
        <v>1</v>
      </c>
      <c r="C911" s="8">
        <f t="shared" si="56"/>
        <v>9.7074315547942991</v>
      </c>
      <c r="D911" s="8">
        <v>936</v>
      </c>
      <c r="E911" s="8">
        <v>3.7467577457427899</v>
      </c>
      <c r="F911" s="8">
        <v>23.967155456542901</v>
      </c>
      <c r="G911" s="8"/>
      <c r="H911" s="8">
        <v>936</v>
      </c>
      <c r="I911" s="8">
        <v>3.5654661655425999</v>
      </c>
      <c r="J911" s="8">
        <v>24.387710571288999</v>
      </c>
      <c r="K911" s="8"/>
      <c r="L911" s="8">
        <v>936</v>
      </c>
      <c r="M911" s="8">
        <v>2.3952076435089098</v>
      </c>
      <c r="N911" s="8">
        <v>24.2605876922607</v>
      </c>
      <c r="P911" s="8"/>
    </row>
    <row r="912" spans="1:16" x14ac:dyDescent="0.25">
      <c r="A912" s="8">
        <f t="shared" si="54"/>
        <v>937</v>
      </c>
      <c r="B912" s="8">
        <f t="shared" si="55"/>
        <v>1</v>
      </c>
      <c r="C912" s="8">
        <f t="shared" si="56"/>
        <v>59.972920417785502</v>
      </c>
      <c r="D912" s="8">
        <v>937</v>
      </c>
      <c r="E912" s="8">
        <v>25.834331512451101</v>
      </c>
      <c r="F912" s="8">
        <v>24.517766952514599</v>
      </c>
      <c r="G912" s="8"/>
      <c r="H912" s="8">
        <v>937</v>
      </c>
      <c r="I912" s="8">
        <v>18.700412750244102</v>
      </c>
      <c r="J912" s="8">
        <v>25.3549194335937</v>
      </c>
      <c r="K912" s="8"/>
      <c r="L912" s="8">
        <v>937</v>
      </c>
      <c r="M912" s="8">
        <v>15.4381761550903</v>
      </c>
      <c r="N912" s="8">
        <v>24.960422515869102</v>
      </c>
      <c r="P912" s="8"/>
    </row>
    <row r="913" spans="1:16" x14ac:dyDescent="0.25">
      <c r="A913" s="8">
        <f t="shared" si="54"/>
        <v>938</v>
      </c>
      <c r="B913" s="8">
        <f t="shared" si="55"/>
        <v>1</v>
      </c>
      <c r="C913" s="8">
        <f t="shared" si="56"/>
        <v>52.523689270019304</v>
      </c>
      <c r="D913" s="8">
        <v>938</v>
      </c>
      <c r="E913" s="8">
        <v>17.934736251831001</v>
      </c>
      <c r="F913" s="8">
        <v>21.691850662231399</v>
      </c>
      <c r="G913" s="8"/>
      <c r="H913" s="8">
        <v>938</v>
      </c>
      <c r="I913" s="8">
        <v>16.631177902221602</v>
      </c>
      <c r="J913" s="8">
        <v>22.000728607177699</v>
      </c>
      <c r="K913" s="8"/>
      <c r="L913" s="8">
        <v>938</v>
      </c>
      <c r="M913" s="8">
        <v>17.957775115966701</v>
      </c>
      <c r="N913" s="8">
        <v>21.916080474853501</v>
      </c>
      <c r="P913" s="8"/>
    </row>
    <row r="914" spans="1:16" x14ac:dyDescent="0.25">
      <c r="A914" s="8">
        <f t="shared" si="54"/>
        <v>939</v>
      </c>
      <c r="B914" s="8">
        <f t="shared" si="55"/>
        <v>1</v>
      </c>
      <c r="C914" s="8">
        <f t="shared" si="56"/>
        <v>40.487223625182899</v>
      </c>
      <c r="D914" s="8">
        <v>939</v>
      </c>
      <c r="E914" s="8">
        <v>16.569259643554599</v>
      </c>
      <c r="F914" s="8">
        <v>20.140392303466701</v>
      </c>
      <c r="G914" s="8"/>
      <c r="H914" s="8">
        <v>939</v>
      </c>
      <c r="I914" s="8">
        <v>13.725647926330501</v>
      </c>
      <c r="J914" s="8">
        <v>20.434089660644499</v>
      </c>
      <c r="K914" s="8"/>
      <c r="L914" s="8">
        <v>939</v>
      </c>
      <c r="M914" s="8">
        <v>10.1923160552978</v>
      </c>
      <c r="N914" s="8">
        <v>20.3353557586669</v>
      </c>
      <c r="P914" s="8"/>
    </row>
    <row r="915" spans="1:16" x14ac:dyDescent="0.25">
      <c r="A915" s="8">
        <f t="shared" si="54"/>
        <v>940</v>
      </c>
      <c r="B915" s="8">
        <f t="shared" si="55"/>
        <v>1</v>
      </c>
      <c r="C915" s="8">
        <f t="shared" si="56"/>
        <v>11.384783744812001</v>
      </c>
      <c r="D915" s="8">
        <v>940</v>
      </c>
      <c r="E915" s="8">
        <v>4.4257884025573704</v>
      </c>
      <c r="F915" s="8">
        <v>21.027172088623001</v>
      </c>
      <c r="G915" s="8"/>
      <c r="H915" s="8">
        <v>940</v>
      </c>
      <c r="I915" s="8">
        <v>4.0380311012268004</v>
      </c>
      <c r="J915" s="8">
        <v>21.282649993896399</v>
      </c>
      <c r="K915" s="8"/>
      <c r="L915" s="8">
        <v>940</v>
      </c>
      <c r="M915" s="8">
        <v>2.9209642410278298</v>
      </c>
      <c r="N915" s="8">
        <v>21.1303386688232</v>
      </c>
      <c r="P915" s="8"/>
    </row>
    <row r="916" spans="1:16" x14ac:dyDescent="0.25">
      <c r="A916" s="8">
        <f t="shared" si="54"/>
        <v>941</v>
      </c>
      <c r="B916" s="8">
        <f t="shared" si="55"/>
        <v>1</v>
      </c>
      <c r="C916" s="8">
        <f t="shared" si="56"/>
        <v>47.068750381469499</v>
      </c>
      <c r="D916" s="8">
        <v>941</v>
      </c>
      <c r="E916" s="8">
        <v>20.3252239227294</v>
      </c>
      <c r="F916" s="8">
        <v>22.4383640289306</v>
      </c>
      <c r="G916" s="8"/>
      <c r="H916" s="8">
        <v>941</v>
      </c>
      <c r="I916" s="8">
        <v>16.231584548950099</v>
      </c>
      <c r="J916" s="8">
        <v>22.7727870941162</v>
      </c>
      <c r="K916" s="8"/>
      <c r="L916" s="8">
        <v>941</v>
      </c>
      <c r="M916" s="8">
        <v>10.51194190979</v>
      </c>
      <c r="N916" s="8">
        <v>22.668394088745099</v>
      </c>
      <c r="P916" s="8"/>
    </row>
    <row r="917" spans="1:16" x14ac:dyDescent="0.25">
      <c r="A917" s="8">
        <f t="shared" si="54"/>
        <v>942</v>
      </c>
      <c r="B917" s="8">
        <f t="shared" si="55"/>
        <v>1</v>
      </c>
      <c r="C917" s="8">
        <f t="shared" si="56"/>
        <v>5.3344460278749404</v>
      </c>
      <c r="D917" s="8">
        <v>942</v>
      </c>
      <c r="E917" s="8">
        <v>2.1784765720367401</v>
      </c>
      <c r="F917" s="8">
        <v>10.647153854370099</v>
      </c>
      <c r="G917" s="8"/>
      <c r="H917" s="8">
        <v>942</v>
      </c>
      <c r="I917" s="8">
        <v>2.9143483638763401</v>
      </c>
      <c r="J917" s="8">
        <v>10.980933189391999</v>
      </c>
      <c r="K917" s="8"/>
      <c r="L917" s="8">
        <v>942</v>
      </c>
      <c r="M917" s="8">
        <v>0.24162109196185999</v>
      </c>
      <c r="N917" s="8">
        <v>10.860261917114199</v>
      </c>
      <c r="P917" s="8"/>
    </row>
    <row r="918" spans="1:16" x14ac:dyDescent="0.25">
      <c r="A918" s="8">
        <f t="shared" si="54"/>
        <v>943</v>
      </c>
      <c r="B918" s="8">
        <f t="shared" si="55"/>
        <v>1</v>
      </c>
      <c r="C918" s="8">
        <f t="shared" si="56"/>
        <v>8.6336272954940707</v>
      </c>
      <c r="D918" s="8">
        <v>943</v>
      </c>
      <c r="E918" s="8">
        <v>1.6743198633193901</v>
      </c>
      <c r="F918" s="8">
        <v>25.5094890594482</v>
      </c>
      <c r="G918" s="8"/>
      <c r="H918" s="8">
        <v>943</v>
      </c>
      <c r="I918" s="8">
        <v>3.6959145069122301</v>
      </c>
      <c r="J918" s="8">
        <v>25.7840156555175</v>
      </c>
      <c r="K918" s="8"/>
      <c r="L918" s="8">
        <v>943</v>
      </c>
      <c r="M918" s="8">
        <v>3.2633929252624498</v>
      </c>
      <c r="N918" s="8">
        <v>25.686601638793899</v>
      </c>
      <c r="P918" s="8"/>
    </row>
    <row r="919" spans="1:16" x14ac:dyDescent="0.25">
      <c r="A919" s="8">
        <f t="shared" si="54"/>
        <v>944</v>
      </c>
      <c r="B919" s="8">
        <f t="shared" si="55"/>
        <v>1</v>
      </c>
      <c r="C919" s="8">
        <f t="shared" si="56"/>
        <v>19.47921514511107</v>
      </c>
      <c r="D919" s="8">
        <v>944</v>
      </c>
      <c r="E919" s="8">
        <v>7.7948226928710902</v>
      </c>
      <c r="F919" s="8">
        <v>22.0876445770263</v>
      </c>
      <c r="G919" s="8"/>
      <c r="H919" s="8">
        <v>944</v>
      </c>
      <c r="I919" s="8">
        <v>6.3797044754028303</v>
      </c>
      <c r="J919" s="8">
        <v>22.2709350585937</v>
      </c>
      <c r="K919" s="8"/>
      <c r="L919" s="8">
        <v>944</v>
      </c>
      <c r="M919" s="8">
        <v>5.3046879768371502</v>
      </c>
      <c r="N919" s="8">
        <v>22.1866741180419</v>
      </c>
      <c r="P919" s="8"/>
    </row>
    <row r="920" spans="1:16" x14ac:dyDescent="0.25">
      <c r="A920" s="8">
        <f t="shared" si="54"/>
        <v>945</v>
      </c>
      <c r="B920" s="8">
        <f t="shared" si="55"/>
        <v>1</v>
      </c>
      <c r="C920" s="8">
        <f t="shared" si="56"/>
        <v>36.462073326110698</v>
      </c>
      <c r="D920" s="8">
        <v>945</v>
      </c>
      <c r="E920" s="8">
        <v>13.5173778533935</v>
      </c>
      <c r="F920" s="8">
        <v>23.646417617797798</v>
      </c>
      <c r="G920" s="8"/>
      <c r="H920" s="8">
        <v>945</v>
      </c>
      <c r="I920" s="8">
        <v>12.6573848724365</v>
      </c>
      <c r="J920" s="8">
        <v>24.0684490203857</v>
      </c>
      <c r="K920" s="8"/>
      <c r="L920" s="8">
        <v>945</v>
      </c>
      <c r="M920" s="8">
        <v>10.2873106002807</v>
      </c>
      <c r="N920" s="8">
        <v>23.9200839996337</v>
      </c>
      <c r="P920" s="8"/>
    </row>
    <row r="921" spans="1:16" x14ac:dyDescent="0.25">
      <c r="A921" s="8">
        <f t="shared" si="54"/>
        <v>946</v>
      </c>
      <c r="B921" s="8">
        <f t="shared" si="55"/>
        <v>1</v>
      </c>
      <c r="C921" s="8">
        <f t="shared" si="56"/>
        <v>23.228559017181379</v>
      </c>
      <c r="D921" s="8">
        <v>946</v>
      </c>
      <c r="E921" s="8">
        <v>7.5976209640502903</v>
      </c>
      <c r="F921" s="8">
        <v>17.848728179931602</v>
      </c>
      <c r="G921" s="8"/>
      <c r="H921" s="8">
        <v>946</v>
      </c>
      <c r="I921" s="8">
        <v>7.8147487640380797</v>
      </c>
      <c r="J921" s="8">
        <v>18.082170486450099</v>
      </c>
      <c r="K921" s="8"/>
      <c r="L921" s="8">
        <v>946</v>
      </c>
      <c r="M921" s="8">
        <v>7.8161892890930096</v>
      </c>
      <c r="N921" s="8">
        <v>18.0439949035644</v>
      </c>
      <c r="P921" s="8"/>
    </row>
    <row r="922" spans="1:16" x14ac:dyDescent="0.25">
      <c r="A922" s="8">
        <f t="shared" si="54"/>
        <v>947</v>
      </c>
      <c r="B922" s="8">
        <f t="shared" si="55"/>
        <v>1</v>
      </c>
      <c r="C922" s="8">
        <f t="shared" si="56"/>
        <v>39.288229942321721</v>
      </c>
      <c r="D922" s="8">
        <v>947</v>
      </c>
      <c r="E922" s="8">
        <v>14.3933000564575</v>
      </c>
      <c r="F922" s="8">
        <v>19.711229324340799</v>
      </c>
      <c r="G922" s="8"/>
      <c r="H922" s="8">
        <v>947</v>
      </c>
      <c r="I922" s="8">
        <v>15.4933519363403</v>
      </c>
      <c r="J922" s="8">
        <v>20.2250881195068</v>
      </c>
      <c r="K922" s="8"/>
      <c r="L922" s="8">
        <v>947</v>
      </c>
      <c r="M922" s="8">
        <v>9.4015779495239205</v>
      </c>
      <c r="N922" s="8">
        <v>20.001497268676701</v>
      </c>
      <c r="P922" s="8"/>
    </row>
    <row r="923" spans="1:16" x14ac:dyDescent="0.25">
      <c r="A923" s="8">
        <f t="shared" si="54"/>
        <v>948</v>
      </c>
      <c r="B923" s="8">
        <f t="shared" si="55"/>
        <v>1</v>
      </c>
      <c r="C923" s="8">
        <f t="shared" si="56"/>
        <v>12.548452854156482</v>
      </c>
      <c r="D923" s="8">
        <v>948</v>
      </c>
      <c r="E923" s="8">
        <v>4.1511855125427202</v>
      </c>
      <c r="F923" s="8">
        <v>26.301780700683501</v>
      </c>
      <c r="G923" s="8"/>
      <c r="H923" s="8">
        <v>948</v>
      </c>
      <c r="I923" s="8">
        <v>4.62957668304443</v>
      </c>
      <c r="J923" s="8">
        <v>26.6095161437988</v>
      </c>
      <c r="K923" s="8"/>
      <c r="L923" s="8">
        <v>948</v>
      </c>
      <c r="M923" s="8">
        <v>3.7676906585693302</v>
      </c>
      <c r="N923" s="8">
        <v>26.510536193847599</v>
      </c>
      <c r="P923" s="8"/>
    </row>
    <row r="924" spans="1:16" x14ac:dyDescent="0.25">
      <c r="A924" s="8">
        <f t="shared" si="54"/>
        <v>949</v>
      </c>
      <c r="B924" s="8">
        <f t="shared" si="55"/>
        <v>1</v>
      </c>
      <c r="C924" s="8">
        <f t="shared" si="56"/>
        <v>27.075922012329002</v>
      </c>
      <c r="D924" s="8">
        <v>949</v>
      </c>
      <c r="E924" s="8">
        <v>10.716523170471101</v>
      </c>
      <c r="F924" s="8">
        <v>28.8564357757568</v>
      </c>
      <c r="G924" s="8"/>
      <c r="H924" s="8">
        <v>949</v>
      </c>
      <c r="I924" s="8">
        <v>9.6113748550415004</v>
      </c>
      <c r="J924" s="8">
        <v>29.371025085449201</v>
      </c>
      <c r="K924" s="8"/>
      <c r="L924" s="8">
        <v>949</v>
      </c>
      <c r="M924" s="8">
        <v>6.7480239868164</v>
      </c>
      <c r="N924" s="8">
        <v>29.180534362792901</v>
      </c>
      <c r="P924" s="8"/>
    </row>
    <row r="925" spans="1:16" x14ac:dyDescent="0.25">
      <c r="A925" s="8">
        <f t="shared" si="54"/>
        <v>950</v>
      </c>
      <c r="B925" s="8">
        <f t="shared" si="55"/>
        <v>1</v>
      </c>
      <c r="C925" s="8">
        <f t="shared" si="56"/>
        <v>0</v>
      </c>
      <c r="D925" s="8">
        <v>950</v>
      </c>
      <c r="E925" s="8">
        <v>0</v>
      </c>
      <c r="F925" s="8">
        <v>8.25642585754394</v>
      </c>
      <c r="G925" s="8"/>
      <c r="H925" s="8">
        <v>950</v>
      </c>
      <c r="I925" s="8">
        <v>0</v>
      </c>
      <c r="J925" s="8">
        <v>8.4117412567138601</v>
      </c>
      <c r="K925" s="8"/>
      <c r="L925" s="8">
        <v>950</v>
      </c>
      <c r="M925" s="8">
        <v>0</v>
      </c>
      <c r="N925" s="8">
        <v>8.3171205520629794</v>
      </c>
      <c r="P925" s="8"/>
    </row>
    <row r="926" spans="1:16" x14ac:dyDescent="0.25">
      <c r="A926" s="8">
        <f t="shared" si="54"/>
        <v>951</v>
      </c>
      <c r="B926" s="8">
        <f t="shared" si="55"/>
        <v>1</v>
      </c>
      <c r="C926" s="8">
        <f t="shared" si="56"/>
        <v>1.25</v>
      </c>
      <c r="D926" s="8">
        <v>951</v>
      </c>
      <c r="E926" s="8">
        <v>0.5</v>
      </c>
      <c r="F926" s="8">
        <v>18.1656894683837</v>
      </c>
      <c r="G926" s="8"/>
      <c r="H926" s="8">
        <v>951</v>
      </c>
      <c r="I926" s="8">
        <v>0.25</v>
      </c>
      <c r="J926" s="8">
        <v>18.2891330718994</v>
      </c>
      <c r="K926" s="8"/>
      <c r="L926" s="8">
        <v>951</v>
      </c>
      <c r="M926" s="8">
        <v>0.5</v>
      </c>
      <c r="N926" s="8">
        <v>18.2524814605712</v>
      </c>
      <c r="P926" s="8"/>
    </row>
    <row r="927" spans="1:16" x14ac:dyDescent="0.25">
      <c r="A927" s="8">
        <f t="shared" si="54"/>
        <v>952</v>
      </c>
      <c r="B927" s="8">
        <f t="shared" si="55"/>
        <v>1</v>
      </c>
      <c r="C927" s="8">
        <f t="shared" si="56"/>
        <v>3.5981200188398268</v>
      </c>
      <c r="D927" s="8">
        <v>952</v>
      </c>
      <c r="E927" s="8">
        <v>1.68439936637878</v>
      </c>
      <c r="F927" s="8">
        <v>36.328598022460902</v>
      </c>
      <c r="G927" s="8"/>
      <c r="H927" s="8">
        <v>952</v>
      </c>
      <c r="I927" s="8">
        <v>1.70686030387878</v>
      </c>
      <c r="J927" s="8">
        <v>38.735984802246001</v>
      </c>
      <c r="K927" s="8"/>
      <c r="L927" s="8">
        <v>952</v>
      </c>
      <c r="M927" s="8">
        <v>0.20686034858226701</v>
      </c>
      <c r="N927" s="8">
        <v>36.076625823974602</v>
      </c>
      <c r="P927" s="8"/>
    </row>
    <row r="928" spans="1:16" x14ac:dyDescent="0.25">
      <c r="A928" s="8">
        <f t="shared" si="54"/>
        <v>953</v>
      </c>
      <c r="B928" s="8">
        <f t="shared" si="55"/>
        <v>1</v>
      </c>
      <c r="C928" s="8">
        <f t="shared" si="56"/>
        <v>14.282547235488879</v>
      </c>
      <c r="D928" s="8">
        <v>953</v>
      </c>
      <c r="E928" s="8">
        <v>6.6613903045654297</v>
      </c>
      <c r="F928" s="8">
        <v>33.427539825439403</v>
      </c>
      <c r="G928" s="8"/>
      <c r="H928" s="8">
        <v>953</v>
      </c>
      <c r="I928" s="8">
        <v>5.7854447364807102</v>
      </c>
      <c r="J928" s="8">
        <v>34.173233032226499</v>
      </c>
      <c r="K928" s="8"/>
      <c r="L928" s="8">
        <v>953</v>
      </c>
      <c r="M928" s="8">
        <v>1.8357121944427399</v>
      </c>
      <c r="N928" s="8">
        <v>33.493785858154297</v>
      </c>
      <c r="P928" s="8"/>
    </row>
    <row r="929" spans="1:16" x14ac:dyDescent="0.25">
      <c r="A929" s="8">
        <f t="shared" si="54"/>
        <v>954</v>
      </c>
      <c r="B929" s="8">
        <f t="shared" si="55"/>
        <v>1</v>
      </c>
      <c r="C929" s="8">
        <f t="shared" si="56"/>
        <v>18.548366785049428</v>
      </c>
      <c r="D929" s="8">
        <v>954</v>
      </c>
      <c r="E929" s="8">
        <v>8.7578430175781197</v>
      </c>
      <c r="F929" s="8">
        <v>23.3504638671875</v>
      </c>
      <c r="G929" s="8"/>
      <c r="H929" s="8">
        <v>954</v>
      </c>
      <c r="I929" s="8">
        <v>6.5908946990966797</v>
      </c>
      <c r="J929" s="8">
        <v>23.556411743163999</v>
      </c>
      <c r="K929" s="8"/>
      <c r="L929" s="8">
        <v>954</v>
      </c>
      <c r="M929" s="8">
        <v>3.1996290683746298</v>
      </c>
      <c r="N929" s="8">
        <v>23.418979644775298</v>
      </c>
      <c r="P929" s="8"/>
    </row>
    <row r="930" spans="1:16" x14ac:dyDescent="0.25">
      <c r="A930" s="8">
        <f t="shared" si="54"/>
        <v>955</v>
      </c>
      <c r="B930" s="8">
        <f t="shared" si="55"/>
        <v>1</v>
      </c>
      <c r="C930" s="8">
        <f t="shared" si="56"/>
        <v>15.52499985694884</v>
      </c>
      <c r="D930" s="8">
        <v>955</v>
      </c>
      <c r="E930" s="8">
        <v>8.625</v>
      </c>
      <c r="F930" s="8">
        <v>33.5592651367187</v>
      </c>
      <c r="G930" s="8"/>
      <c r="H930" s="8">
        <v>955</v>
      </c>
      <c r="I930" s="8">
        <v>5.3249998092651296</v>
      </c>
      <c r="J930" s="8">
        <v>33.845787048339801</v>
      </c>
      <c r="K930" s="8"/>
      <c r="L930" s="8">
        <v>955</v>
      </c>
      <c r="M930" s="8">
        <v>1.57500004768371</v>
      </c>
      <c r="N930" s="8">
        <v>33.7330932617187</v>
      </c>
      <c r="P930" s="8"/>
    </row>
    <row r="931" spans="1:16" x14ac:dyDescent="0.25">
      <c r="A931" s="8">
        <f t="shared" si="54"/>
        <v>956</v>
      </c>
      <c r="B931" s="8">
        <f t="shared" si="55"/>
        <v>1</v>
      </c>
      <c r="C931" s="8">
        <f t="shared" si="56"/>
        <v>5.2999999523162824</v>
      </c>
      <c r="D931" s="8">
        <v>956</v>
      </c>
      <c r="E931" s="8">
        <v>3</v>
      </c>
      <c r="F931" s="8">
        <v>28.5639629364013</v>
      </c>
      <c r="G931" s="8"/>
      <c r="H931" s="8">
        <v>956</v>
      </c>
      <c r="I931" s="8">
        <v>1.7749999761581401</v>
      </c>
      <c r="J931" s="8">
        <v>28.896011352538999</v>
      </c>
      <c r="K931" s="8"/>
      <c r="L931" s="8">
        <v>956</v>
      </c>
      <c r="M931" s="8">
        <v>0.52499997615814198</v>
      </c>
      <c r="N931" s="8">
        <v>28.695877075195298</v>
      </c>
      <c r="P931" s="8"/>
    </row>
    <row r="932" spans="1:16" x14ac:dyDescent="0.25">
      <c r="A932" s="8">
        <f t="shared" si="54"/>
        <v>957</v>
      </c>
      <c r="B932" s="8">
        <f t="shared" si="55"/>
        <v>1</v>
      </c>
      <c r="C932" s="8">
        <f t="shared" si="56"/>
        <v>9.375</v>
      </c>
      <c r="D932" s="8">
        <v>957</v>
      </c>
      <c r="E932" s="8">
        <v>1.375</v>
      </c>
      <c r="F932" s="8">
        <v>20.1404609680175</v>
      </c>
      <c r="G932" s="8"/>
      <c r="H932" s="8">
        <v>957</v>
      </c>
      <c r="I932" s="8">
        <v>6</v>
      </c>
      <c r="J932" s="8">
        <v>20.292930603027301</v>
      </c>
      <c r="K932" s="8"/>
      <c r="L932" s="8">
        <v>957</v>
      </c>
      <c r="M932" s="8">
        <v>2</v>
      </c>
      <c r="N932" s="8">
        <v>20.217391967773398</v>
      </c>
      <c r="P932" s="8"/>
    </row>
    <row r="933" spans="1:16" x14ac:dyDescent="0.25">
      <c r="A933" s="8">
        <f t="shared" si="54"/>
        <v>958</v>
      </c>
      <c r="B933" s="8">
        <f t="shared" si="55"/>
        <v>1</v>
      </c>
      <c r="C933" s="8">
        <f t="shared" si="56"/>
        <v>26.414286136627151</v>
      </c>
      <c r="D933" s="8">
        <v>958</v>
      </c>
      <c r="E933" s="8">
        <v>12.128571510314901</v>
      </c>
      <c r="F933" s="8">
        <v>14.039999961853001</v>
      </c>
      <c r="G933" s="8"/>
      <c r="H933" s="8">
        <v>958</v>
      </c>
      <c r="I933" s="8">
        <v>10.428571701049799</v>
      </c>
      <c r="J933" s="8">
        <v>14.039999961853001</v>
      </c>
      <c r="K933" s="8"/>
      <c r="L933" s="8">
        <v>958</v>
      </c>
      <c r="M933" s="8">
        <v>3.8571429252624498</v>
      </c>
      <c r="N933" s="8">
        <v>14.039999961853001</v>
      </c>
      <c r="P933" s="8"/>
    </row>
    <row r="934" spans="1:16" x14ac:dyDescent="0.25">
      <c r="A934" s="8">
        <f t="shared" si="54"/>
        <v>959</v>
      </c>
      <c r="B934" s="8">
        <f t="shared" si="55"/>
        <v>1</v>
      </c>
      <c r="C934" s="8">
        <f t="shared" si="56"/>
        <v>29.435801267623791</v>
      </c>
      <c r="D934" s="8">
        <v>959</v>
      </c>
      <c r="E934" s="8">
        <v>11.799521446228001</v>
      </c>
      <c r="F934" s="8">
        <v>14.039999961853001</v>
      </c>
      <c r="G934" s="8"/>
      <c r="H934" s="8">
        <v>959</v>
      </c>
      <c r="I934" s="8">
        <v>13.6659622192382</v>
      </c>
      <c r="J934" s="8">
        <v>14.039999961853001</v>
      </c>
      <c r="K934" s="8"/>
      <c r="L934" s="8">
        <v>959</v>
      </c>
      <c r="M934" s="8">
        <v>3.9703176021575901</v>
      </c>
      <c r="N934" s="8">
        <v>14.039999961853001</v>
      </c>
      <c r="P934" s="8"/>
    </row>
    <row r="935" spans="1:16" x14ac:dyDescent="0.25">
      <c r="A935" s="8">
        <f t="shared" si="54"/>
        <v>960</v>
      </c>
      <c r="B935" s="8">
        <f t="shared" si="55"/>
        <v>1</v>
      </c>
      <c r="C935" s="8">
        <f t="shared" si="56"/>
        <v>8.398859143257134</v>
      </c>
      <c r="D935" s="8">
        <v>960</v>
      </c>
      <c r="E935" s="8">
        <v>5.9607510566711399</v>
      </c>
      <c r="F935" s="8">
        <v>27.9630737304687</v>
      </c>
      <c r="G935" s="8"/>
      <c r="H935" s="8">
        <v>960</v>
      </c>
      <c r="I935" s="8">
        <v>0.84233677387237504</v>
      </c>
      <c r="J935" s="8">
        <v>28.6300048828125</v>
      </c>
      <c r="K935" s="8"/>
      <c r="L935" s="8">
        <v>960</v>
      </c>
      <c r="M935" s="8">
        <v>1.5957713127136199</v>
      </c>
      <c r="N935" s="8">
        <v>27.9671611785888</v>
      </c>
      <c r="P935" s="8"/>
    </row>
    <row r="936" spans="1:16" x14ac:dyDescent="0.25">
      <c r="A936" s="8">
        <f t="shared" si="54"/>
        <v>961</v>
      </c>
      <c r="B936" s="8">
        <f t="shared" si="55"/>
        <v>1</v>
      </c>
      <c r="C936" s="8">
        <f t="shared" si="56"/>
        <v>7.5141022205352597</v>
      </c>
      <c r="D936" s="8">
        <v>961</v>
      </c>
      <c r="E936" s="8">
        <v>2.79165315628051</v>
      </c>
      <c r="F936" s="8">
        <v>25.349769592285099</v>
      </c>
      <c r="G936" s="8"/>
      <c r="H936" s="8">
        <v>961</v>
      </c>
      <c r="I936" s="8">
        <v>2.2380633354186998</v>
      </c>
      <c r="J936" s="8">
        <v>25.728717803955</v>
      </c>
      <c r="K936" s="8"/>
      <c r="L936" s="8">
        <v>961</v>
      </c>
      <c r="M936" s="8">
        <v>2.4843857288360498</v>
      </c>
      <c r="N936" s="8">
        <v>25.7186279296875</v>
      </c>
      <c r="P936" s="8"/>
    </row>
    <row r="937" spans="1:16" x14ac:dyDescent="0.25">
      <c r="A937" s="8">
        <f t="shared" si="54"/>
        <v>962</v>
      </c>
      <c r="B937" s="8">
        <f t="shared" si="55"/>
        <v>1</v>
      </c>
      <c r="C937" s="8">
        <f t="shared" si="56"/>
        <v>21.64105463027952</v>
      </c>
      <c r="D937" s="8">
        <v>962</v>
      </c>
      <c r="E937" s="8">
        <v>7.7962017059326101</v>
      </c>
      <c r="F937" s="8">
        <v>25.156347274780199</v>
      </c>
      <c r="G937" s="8"/>
      <c r="H937" s="8">
        <v>962</v>
      </c>
      <c r="I937" s="8">
        <v>7.5684213638305602</v>
      </c>
      <c r="J937" s="8">
        <v>25.678508758544901</v>
      </c>
      <c r="K937" s="8"/>
      <c r="L937" s="8">
        <v>962</v>
      </c>
      <c r="M937" s="8">
        <v>6.2764315605163503</v>
      </c>
      <c r="N937" s="8">
        <v>25.470842361450099</v>
      </c>
      <c r="P937" s="8"/>
    </row>
    <row r="938" spans="1:16" x14ac:dyDescent="0.25">
      <c r="A938" s="8">
        <f t="shared" si="54"/>
        <v>963</v>
      </c>
      <c r="B938" s="8">
        <f t="shared" si="55"/>
        <v>1</v>
      </c>
      <c r="C938" s="8">
        <f t="shared" si="56"/>
        <v>17.573921203613271</v>
      </c>
      <c r="D938" s="8">
        <v>963</v>
      </c>
      <c r="E938" s="8">
        <v>5.67108154296875</v>
      </c>
      <c r="F938" s="8">
        <v>25.314395904541001</v>
      </c>
      <c r="G938" s="8"/>
      <c r="H938" s="8">
        <v>963</v>
      </c>
      <c r="I938" s="8">
        <v>6.3158617019653303</v>
      </c>
      <c r="J938" s="8">
        <v>25.9015388488769</v>
      </c>
      <c r="K938" s="8"/>
      <c r="L938" s="8">
        <v>963</v>
      </c>
      <c r="M938" s="8">
        <v>5.5869779586791903</v>
      </c>
      <c r="N938" s="8">
        <v>25.649868011474599</v>
      </c>
      <c r="P938" s="8"/>
    </row>
    <row r="939" spans="1:16" x14ac:dyDescent="0.25">
      <c r="A939" s="8">
        <f t="shared" si="54"/>
        <v>964</v>
      </c>
      <c r="B939" s="8">
        <f t="shared" si="55"/>
        <v>1</v>
      </c>
      <c r="C939" s="8">
        <f t="shared" si="56"/>
        <v>19.820000648498521</v>
      </c>
      <c r="D939" s="8">
        <v>964</v>
      </c>
      <c r="E939" s="8">
        <v>6.6866669654846103</v>
      </c>
      <c r="F939" s="8">
        <v>25.729293823242099</v>
      </c>
      <c r="G939" s="8"/>
      <c r="H939" s="8">
        <v>964</v>
      </c>
      <c r="I939" s="8">
        <v>7.2102565765380797</v>
      </c>
      <c r="J939" s="8">
        <v>25.980331420898398</v>
      </c>
      <c r="K939" s="8"/>
      <c r="L939" s="8">
        <v>964</v>
      </c>
      <c r="M939" s="8">
        <v>5.9230771064758301</v>
      </c>
      <c r="N939" s="8">
        <v>25.8848152160644</v>
      </c>
      <c r="P939" s="8"/>
    </row>
    <row r="940" spans="1:16" x14ac:dyDescent="0.25">
      <c r="A940" s="8">
        <f t="shared" si="54"/>
        <v>965</v>
      </c>
      <c r="B940" s="8">
        <f t="shared" si="55"/>
        <v>1</v>
      </c>
      <c r="C940" s="8">
        <f t="shared" si="56"/>
        <v>41.777904510497976</v>
      </c>
      <c r="D940" s="8">
        <v>965</v>
      </c>
      <c r="E940" s="8">
        <v>19.1897163391113</v>
      </c>
      <c r="F940" s="8">
        <v>66.027320861816406</v>
      </c>
      <c r="G940" s="8"/>
      <c r="H940" s="8">
        <v>965</v>
      </c>
      <c r="I940" s="8">
        <v>13.1583795547485</v>
      </c>
      <c r="J940" s="8">
        <v>68.456352233886705</v>
      </c>
      <c r="K940" s="8"/>
      <c r="L940" s="8">
        <v>965</v>
      </c>
      <c r="M940" s="8">
        <v>9.42980861663818</v>
      </c>
      <c r="N940" s="8">
        <v>66.034774780273395</v>
      </c>
      <c r="P940" s="8"/>
    </row>
    <row r="941" spans="1:16" x14ac:dyDescent="0.25">
      <c r="A941" s="8">
        <f t="shared" si="54"/>
        <v>966</v>
      </c>
      <c r="B941" s="8">
        <f t="shared" si="55"/>
        <v>1</v>
      </c>
      <c r="C941" s="8">
        <f t="shared" si="56"/>
        <v>2.5714287459850276</v>
      </c>
      <c r="D941" s="8">
        <v>966</v>
      </c>
      <c r="E941" s="8">
        <v>0.42857146263122498</v>
      </c>
      <c r="F941" s="8">
        <v>8.0366220474243093</v>
      </c>
      <c r="G941" s="8"/>
      <c r="H941" s="8">
        <v>966</v>
      </c>
      <c r="I941" s="8">
        <v>1.7142858505248999</v>
      </c>
      <c r="J941" s="8">
        <v>8.0615816116333008</v>
      </c>
      <c r="K941" s="8"/>
      <c r="L941" s="8">
        <v>966</v>
      </c>
      <c r="M941" s="8">
        <v>0.42857143282890298</v>
      </c>
      <c r="N941" s="8">
        <v>8.0474929809570295</v>
      </c>
      <c r="P941" s="8"/>
    </row>
    <row r="942" spans="1:16" x14ac:dyDescent="0.25">
      <c r="A942" s="8">
        <f t="shared" si="54"/>
        <v>967</v>
      </c>
      <c r="B942" s="8">
        <f t="shared" si="55"/>
        <v>1</v>
      </c>
      <c r="C942" s="8">
        <f t="shared" si="56"/>
        <v>16.460731267929059</v>
      </c>
      <c r="D942" s="8">
        <v>967</v>
      </c>
      <c r="E942" s="8">
        <v>7.7071447372436497</v>
      </c>
      <c r="F942" s="8">
        <v>39.934200286865199</v>
      </c>
      <c r="G942" s="8"/>
      <c r="H942" s="8">
        <v>967</v>
      </c>
      <c r="I942" s="8">
        <v>6.47322177886962</v>
      </c>
      <c r="J942" s="8">
        <v>42.244354248046797</v>
      </c>
      <c r="K942" s="8"/>
      <c r="L942" s="8">
        <v>967</v>
      </c>
      <c r="M942" s="8">
        <v>2.2803647518157901</v>
      </c>
      <c r="N942" s="8">
        <v>39.731636047363203</v>
      </c>
      <c r="P942" s="8"/>
    </row>
    <row r="943" spans="1:16" x14ac:dyDescent="0.25">
      <c r="A943" s="8">
        <f t="shared" si="54"/>
        <v>968</v>
      </c>
      <c r="B943" s="8">
        <f t="shared" si="55"/>
        <v>1</v>
      </c>
      <c r="C943" s="8">
        <f t="shared" si="56"/>
        <v>12.609957218170161</v>
      </c>
      <c r="D943" s="8">
        <v>968</v>
      </c>
      <c r="E943" s="8">
        <v>5.4844160079956001</v>
      </c>
      <c r="F943" s="8">
        <v>37.149528503417898</v>
      </c>
      <c r="G943" s="8"/>
      <c r="H943" s="8">
        <v>968</v>
      </c>
      <c r="I943" s="8">
        <v>3.6255412101745601</v>
      </c>
      <c r="J943" s="8">
        <v>38.038036346435497</v>
      </c>
      <c r="K943" s="8"/>
      <c r="L943" s="8">
        <v>968</v>
      </c>
      <c r="M943" s="8">
        <v>3.5</v>
      </c>
      <c r="N943" s="8">
        <v>37.423568725585902</v>
      </c>
      <c r="P943" s="8"/>
    </row>
    <row r="944" spans="1:16" x14ac:dyDescent="0.25">
      <c r="A944" s="8">
        <f t="shared" si="54"/>
        <v>969</v>
      </c>
      <c r="B944" s="8">
        <f t="shared" si="55"/>
        <v>1</v>
      </c>
      <c r="C944" s="8">
        <f t="shared" si="56"/>
        <v>16.652381896972642</v>
      </c>
      <c r="D944" s="8">
        <v>969</v>
      </c>
      <c r="E944" s="8">
        <v>7.1928577423095703</v>
      </c>
      <c r="F944" s="8">
        <v>36.93994140625</v>
      </c>
      <c r="G944" s="8"/>
      <c r="H944" s="8">
        <v>969</v>
      </c>
      <c r="I944" s="8">
        <v>5.4845242500305096</v>
      </c>
      <c r="J944" s="8">
        <v>37.589729309082003</v>
      </c>
      <c r="K944" s="8"/>
      <c r="L944" s="8">
        <v>969</v>
      </c>
      <c r="M944" s="8">
        <v>3.9749999046325599</v>
      </c>
      <c r="N944" s="8">
        <v>37.024082183837798</v>
      </c>
      <c r="P944" s="8"/>
    </row>
    <row r="945" spans="1:16" x14ac:dyDescent="0.25">
      <c r="A945" s="8">
        <f t="shared" si="54"/>
        <v>970</v>
      </c>
      <c r="B945" s="8">
        <f t="shared" si="55"/>
        <v>1</v>
      </c>
      <c r="C945" s="8">
        <f t="shared" si="56"/>
        <v>5.9226332902908201</v>
      </c>
      <c r="D945" s="8">
        <v>970</v>
      </c>
      <c r="E945" s="8">
        <v>2.9733707904815598</v>
      </c>
      <c r="F945" s="8">
        <v>42.066646575927699</v>
      </c>
      <c r="G945" s="8"/>
      <c r="H945" s="8">
        <v>970</v>
      </c>
      <c r="I945" s="8">
        <v>1.46320056915283</v>
      </c>
      <c r="J945" s="8">
        <v>42.265213012695298</v>
      </c>
      <c r="K945" s="8"/>
      <c r="L945" s="8">
        <v>970</v>
      </c>
      <c r="M945" s="8">
        <v>1.48606193065643</v>
      </c>
      <c r="N945" s="8">
        <v>42.074981689453097</v>
      </c>
      <c r="P945" s="8"/>
    </row>
    <row r="946" spans="1:16" x14ac:dyDescent="0.25">
      <c r="A946" s="8">
        <f t="shared" si="54"/>
        <v>971</v>
      </c>
      <c r="B946" s="8">
        <f t="shared" si="55"/>
        <v>1</v>
      </c>
      <c r="C946" s="8">
        <f t="shared" si="56"/>
        <v>21.54925060272215</v>
      </c>
      <c r="D946" s="8">
        <v>971</v>
      </c>
      <c r="E946" s="8">
        <v>9.6908588409423793</v>
      </c>
      <c r="F946" s="8">
        <v>36.186767578125</v>
      </c>
      <c r="G946" s="8"/>
      <c r="H946" s="8">
        <v>971</v>
      </c>
      <c r="I946" s="8">
        <v>8.7345085144042898</v>
      </c>
      <c r="J946" s="8">
        <v>36.798450469970703</v>
      </c>
      <c r="K946" s="8"/>
      <c r="L946" s="8">
        <v>971</v>
      </c>
      <c r="M946" s="8">
        <v>3.1238832473754798</v>
      </c>
      <c r="N946" s="8">
        <v>36.432231903076101</v>
      </c>
      <c r="P946" s="8"/>
    </row>
    <row r="947" spans="1:16" x14ac:dyDescent="0.25">
      <c r="A947" s="8">
        <f t="shared" si="54"/>
        <v>972</v>
      </c>
      <c r="B947" s="8">
        <f t="shared" si="55"/>
        <v>1</v>
      </c>
      <c r="C947" s="8">
        <f t="shared" si="56"/>
        <v>67.525458335876294</v>
      </c>
      <c r="D947" s="8">
        <v>972</v>
      </c>
      <c r="E947" s="8">
        <v>27.585500717163001</v>
      </c>
      <c r="F947" s="8">
        <v>9.5600004196166992</v>
      </c>
      <c r="G947" s="8"/>
      <c r="H947" s="8">
        <v>972</v>
      </c>
      <c r="I947" s="8">
        <v>29.8664531707763</v>
      </c>
      <c r="J947" s="8">
        <v>9.5600004196166992</v>
      </c>
      <c r="K947" s="8"/>
      <c r="L947" s="8">
        <v>972</v>
      </c>
      <c r="M947" s="8">
        <v>10.073504447936999</v>
      </c>
      <c r="N947" s="8">
        <v>9.5600004196166992</v>
      </c>
      <c r="P947" s="8"/>
    </row>
    <row r="948" spans="1:16" x14ac:dyDescent="0.25">
      <c r="A948" s="8">
        <f t="shared" si="54"/>
        <v>973</v>
      </c>
      <c r="B948" s="8">
        <f t="shared" si="55"/>
        <v>1</v>
      </c>
      <c r="C948" s="8">
        <f t="shared" si="56"/>
        <v>22.59850025176997</v>
      </c>
      <c r="D948" s="8">
        <v>973</v>
      </c>
      <c r="E948" s="8">
        <v>8.5146703720092702</v>
      </c>
      <c r="F948" s="8">
        <v>9.5600004196166992</v>
      </c>
      <c r="G948" s="8"/>
      <c r="H948" s="8">
        <v>973</v>
      </c>
      <c r="I948" s="8">
        <v>10.5587062835693</v>
      </c>
      <c r="J948" s="8">
        <v>9.5600004196166992</v>
      </c>
      <c r="K948" s="8"/>
      <c r="L948" s="8">
        <v>973</v>
      </c>
      <c r="M948" s="8">
        <v>3.5251235961914</v>
      </c>
      <c r="N948" s="8">
        <v>9.5600004196166992</v>
      </c>
      <c r="P948" s="8"/>
    </row>
    <row r="949" spans="1:16" x14ac:dyDescent="0.25">
      <c r="A949" s="8">
        <f t="shared" si="54"/>
        <v>974</v>
      </c>
      <c r="B949" s="8">
        <f t="shared" si="55"/>
        <v>1</v>
      </c>
      <c r="C949" s="8">
        <f t="shared" si="56"/>
        <v>23.810487508773711</v>
      </c>
      <c r="D949" s="8">
        <v>974</v>
      </c>
      <c r="E949" s="8">
        <v>11.2987518310546</v>
      </c>
      <c r="F949" s="8">
        <v>30.725589752197202</v>
      </c>
      <c r="G949" s="8"/>
      <c r="H949" s="8">
        <v>974</v>
      </c>
      <c r="I949" s="8">
        <v>9.7848339080810494</v>
      </c>
      <c r="J949" s="8">
        <v>31.234539031982401</v>
      </c>
      <c r="K949" s="8"/>
      <c r="L949" s="8">
        <v>974</v>
      </c>
      <c r="M949" s="8">
        <v>2.7269017696380602</v>
      </c>
      <c r="N949" s="8">
        <v>30.799503326416001</v>
      </c>
      <c r="P949" s="8"/>
    </row>
    <row r="950" spans="1:16" x14ac:dyDescent="0.25">
      <c r="A950" s="8">
        <f t="shared" si="54"/>
        <v>975</v>
      </c>
      <c r="B950" s="8">
        <f t="shared" si="55"/>
        <v>1</v>
      </c>
      <c r="C950" s="8">
        <f t="shared" si="56"/>
        <v>18.548366785049428</v>
      </c>
      <c r="D950" s="8">
        <v>975</v>
      </c>
      <c r="E950" s="8">
        <v>8.7578430175781197</v>
      </c>
      <c r="F950" s="8">
        <v>25.906742095947202</v>
      </c>
      <c r="G950" s="8"/>
      <c r="H950" s="8">
        <v>975</v>
      </c>
      <c r="I950" s="8">
        <v>6.5908946990966797</v>
      </c>
      <c r="J950" s="8">
        <v>26.117996215820298</v>
      </c>
      <c r="K950" s="8"/>
      <c r="L950" s="8">
        <v>975</v>
      </c>
      <c r="M950" s="8">
        <v>3.1996290683746298</v>
      </c>
      <c r="N950" s="8">
        <v>25.9056587219238</v>
      </c>
      <c r="P950" s="8"/>
    </row>
    <row r="951" spans="1:16" x14ac:dyDescent="0.25">
      <c r="A951" s="8">
        <f t="shared" si="54"/>
        <v>976</v>
      </c>
      <c r="B951" s="8">
        <f t="shared" si="55"/>
        <v>1</v>
      </c>
      <c r="C951" s="8">
        <f t="shared" si="56"/>
        <v>1.3799999952316215</v>
      </c>
      <c r="D951" s="8">
        <v>976</v>
      </c>
      <c r="E951" s="8">
        <v>6.0000002384185701E-2</v>
      </c>
      <c r="F951" s="8">
        <v>31.268209457397401</v>
      </c>
      <c r="G951" s="8"/>
      <c r="H951" s="8">
        <v>976</v>
      </c>
      <c r="I951" s="8">
        <v>1.25999999046325</v>
      </c>
      <c r="J951" s="8">
        <v>31.329248428344702</v>
      </c>
      <c r="K951" s="8"/>
      <c r="L951" s="8">
        <v>976</v>
      </c>
      <c r="M951" s="8">
        <v>6.0000002384185701E-2</v>
      </c>
      <c r="N951" s="8">
        <v>31.3087158203125</v>
      </c>
      <c r="P951" s="8"/>
    </row>
    <row r="952" spans="1:16" x14ac:dyDescent="0.25">
      <c r="A952" s="8">
        <f t="shared" si="54"/>
        <v>977</v>
      </c>
      <c r="B952" s="8">
        <f t="shared" si="55"/>
        <v>1</v>
      </c>
      <c r="C952" s="8">
        <f t="shared" si="56"/>
        <v>2.3214285969734183</v>
      </c>
      <c r="D952" s="8">
        <v>977</v>
      </c>
      <c r="E952" s="8">
        <v>0.28571429848670898</v>
      </c>
      <c r="F952" s="8">
        <v>23.118930816650298</v>
      </c>
      <c r="G952" s="8"/>
      <c r="H952" s="8">
        <v>977</v>
      </c>
      <c r="I952" s="8">
        <v>1.75</v>
      </c>
      <c r="J952" s="8">
        <v>23.825557708740199</v>
      </c>
      <c r="K952" s="8"/>
      <c r="L952" s="8">
        <v>977</v>
      </c>
      <c r="M952" s="8">
        <v>0.28571429848670898</v>
      </c>
      <c r="N952" s="8">
        <v>23.469591140746999</v>
      </c>
      <c r="P952" s="8"/>
    </row>
    <row r="953" spans="1:16" x14ac:dyDescent="0.25">
      <c r="A953" s="8">
        <f t="shared" si="54"/>
        <v>978</v>
      </c>
      <c r="B953" s="8">
        <f t="shared" si="55"/>
        <v>1</v>
      </c>
      <c r="C953" s="8">
        <f t="shared" si="56"/>
        <v>20.62369680404662</v>
      </c>
      <c r="D953" s="8">
        <v>978</v>
      </c>
      <c r="E953" s="8">
        <v>7.2384166717529297</v>
      </c>
      <c r="F953" s="8">
        <v>27.327501296996999</v>
      </c>
      <c r="G953" s="8"/>
      <c r="H953" s="8">
        <v>978</v>
      </c>
      <c r="I953" s="8">
        <v>8.0279207229614205</v>
      </c>
      <c r="J953" s="8">
        <v>27.827842712402301</v>
      </c>
      <c r="K953" s="8"/>
      <c r="L953" s="8">
        <v>978</v>
      </c>
      <c r="M953" s="8">
        <v>5.3573594093322701</v>
      </c>
      <c r="N953" s="8">
        <v>27.611055374145501</v>
      </c>
      <c r="P953" s="8"/>
    </row>
    <row r="954" spans="1:16" x14ac:dyDescent="0.25">
      <c r="A954" s="8">
        <f t="shared" si="54"/>
        <v>979</v>
      </c>
      <c r="B954" s="8">
        <f t="shared" si="55"/>
        <v>1</v>
      </c>
      <c r="C954" s="8">
        <f t="shared" si="56"/>
        <v>35.267469406127802</v>
      </c>
      <c r="D954" s="8">
        <v>979</v>
      </c>
      <c r="E954" s="8">
        <v>12.4371881484985</v>
      </c>
      <c r="F954" s="8">
        <v>26.860158920288001</v>
      </c>
      <c r="G954" s="8"/>
      <c r="H954" s="8">
        <v>979</v>
      </c>
      <c r="I954" s="8">
        <v>11.1312761306762</v>
      </c>
      <c r="J954" s="8">
        <v>27.2609462738037</v>
      </c>
      <c r="K954" s="8"/>
      <c r="L954" s="8">
        <v>979</v>
      </c>
      <c r="M954" s="8">
        <v>11.6990051269531</v>
      </c>
      <c r="N954" s="8">
        <v>27.149888992309499</v>
      </c>
      <c r="P954" s="8"/>
    </row>
    <row r="955" spans="1:16" x14ac:dyDescent="0.25">
      <c r="A955" s="8">
        <f t="shared" si="54"/>
        <v>980</v>
      </c>
      <c r="B955" s="8">
        <f t="shared" si="55"/>
        <v>1</v>
      </c>
      <c r="C955" s="8">
        <f t="shared" si="56"/>
        <v>6.4785891175269992</v>
      </c>
      <c r="D955" s="8">
        <v>980</v>
      </c>
      <c r="E955" s="8">
        <v>2.6357142925262398</v>
      </c>
      <c r="F955" s="8">
        <v>24.0092658996582</v>
      </c>
      <c r="G955" s="8"/>
      <c r="H955" s="8">
        <v>980</v>
      </c>
      <c r="I955" s="8">
        <v>3.04287481307983</v>
      </c>
      <c r="J955" s="8">
        <v>24.339498519897401</v>
      </c>
      <c r="K955" s="8"/>
      <c r="L955" s="8">
        <v>980</v>
      </c>
      <c r="M955" s="8">
        <v>0.80000001192092896</v>
      </c>
      <c r="N955" s="8">
        <v>24.240859985351499</v>
      </c>
      <c r="P955" s="8"/>
    </row>
    <row r="956" spans="1:16" x14ac:dyDescent="0.25">
      <c r="A956" s="8">
        <f t="shared" si="54"/>
        <v>981</v>
      </c>
      <c r="B956" s="8">
        <f t="shared" si="55"/>
        <v>1</v>
      </c>
      <c r="C956" s="8">
        <f t="shared" si="56"/>
        <v>6.7892805337905697</v>
      </c>
      <c r="D956" s="8">
        <v>981</v>
      </c>
      <c r="E956" s="8">
        <v>1.7114846706390301</v>
      </c>
      <c r="F956" s="8">
        <v>22.8828735351562</v>
      </c>
      <c r="G956" s="8"/>
      <c r="H956" s="8">
        <v>981</v>
      </c>
      <c r="I956" s="8">
        <v>3.7330899238586399</v>
      </c>
      <c r="J956" s="8">
        <v>23.1415996551513</v>
      </c>
      <c r="K956" s="8"/>
      <c r="L956" s="8">
        <v>981</v>
      </c>
      <c r="M956" s="8">
        <v>1.3447059392928999</v>
      </c>
      <c r="N956" s="8">
        <v>23.030199050903299</v>
      </c>
      <c r="P956" s="8"/>
    </row>
    <row r="957" spans="1:16" x14ac:dyDescent="0.25">
      <c r="A957" s="8">
        <f t="shared" si="54"/>
        <v>982</v>
      </c>
      <c r="B957" s="8">
        <f t="shared" si="55"/>
        <v>1</v>
      </c>
      <c r="C957" s="8">
        <f t="shared" si="56"/>
        <v>6.7892805337905697</v>
      </c>
      <c r="D957" s="8">
        <v>982</v>
      </c>
      <c r="E957" s="8">
        <v>1.7114846706390301</v>
      </c>
      <c r="F957" s="8">
        <v>23.652004241943299</v>
      </c>
      <c r="G957" s="8"/>
      <c r="H957" s="8">
        <v>982</v>
      </c>
      <c r="I957" s="8">
        <v>3.7330899238586399</v>
      </c>
      <c r="J957" s="8">
        <v>23.9966716766357</v>
      </c>
      <c r="K957" s="8"/>
      <c r="L957" s="8">
        <v>982</v>
      </c>
      <c r="M957" s="8">
        <v>1.3447059392928999</v>
      </c>
      <c r="N957" s="8">
        <v>23.8140258789062</v>
      </c>
      <c r="P957" s="8"/>
    </row>
    <row r="958" spans="1:16" x14ac:dyDescent="0.25">
      <c r="A958" s="8">
        <f t="shared" si="54"/>
        <v>983</v>
      </c>
      <c r="B958" s="8">
        <f t="shared" si="55"/>
        <v>1</v>
      </c>
      <c r="C958" s="8">
        <f t="shared" si="56"/>
        <v>12.957178235054002</v>
      </c>
      <c r="D958" s="8">
        <v>983</v>
      </c>
      <c r="E958" s="8">
        <v>5.2714285850524902</v>
      </c>
      <c r="F958" s="8">
        <v>23.973657608032202</v>
      </c>
      <c r="G958" s="8"/>
      <c r="H958" s="8">
        <v>983</v>
      </c>
      <c r="I958" s="8">
        <v>6.08574962615966</v>
      </c>
      <c r="J958" s="8">
        <v>24.232099533081001</v>
      </c>
      <c r="K958" s="8"/>
      <c r="L958" s="8">
        <v>983</v>
      </c>
      <c r="M958" s="8">
        <v>1.6000000238418499</v>
      </c>
      <c r="N958" s="8">
        <v>24.1726875305175</v>
      </c>
      <c r="P958" s="8"/>
    </row>
    <row r="959" spans="1:16" x14ac:dyDescent="0.25">
      <c r="A959" s="8">
        <f t="shared" si="54"/>
        <v>984</v>
      </c>
      <c r="B959" s="8">
        <f t="shared" si="55"/>
        <v>1</v>
      </c>
      <c r="C959" s="8">
        <f t="shared" si="56"/>
        <v>15.594526290893551</v>
      </c>
      <c r="D959" s="8">
        <v>984</v>
      </c>
      <c r="E959" s="8">
        <v>6.7438726425170898</v>
      </c>
      <c r="F959" s="8">
        <v>44.372970581054602</v>
      </c>
      <c r="G959" s="8"/>
      <c r="H959" s="8">
        <v>984</v>
      </c>
      <c r="I959" s="8">
        <v>5.1651287078857404</v>
      </c>
      <c r="J959" s="8">
        <v>44.967697143554602</v>
      </c>
      <c r="K959" s="8"/>
      <c r="L959" s="8">
        <v>984</v>
      </c>
      <c r="M959" s="8">
        <v>3.68552494049072</v>
      </c>
      <c r="N959" s="8">
        <v>44.645378112792898</v>
      </c>
      <c r="P959" s="8"/>
    </row>
    <row r="960" spans="1:16" x14ac:dyDescent="0.25">
      <c r="A960" s="8">
        <f t="shared" si="54"/>
        <v>985</v>
      </c>
      <c r="B960" s="8">
        <f t="shared" si="55"/>
        <v>1</v>
      </c>
      <c r="C960" s="8">
        <f t="shared" si="56"/>
        <v>2.5412699878215679</v>
      </c>
      <c r="D960" s="8">
        <v>985</v>
      </c>
      <c r="E960" s="8">
        <v>1.4888889789581199</v>
      </c>
      <c r="F960" s="8">
        <v>20.776588439941399</v>
      </c>
      <c r="G960" s="8"/>
      <c r="H960" s="8">
        <v>985</v>
      </c>
      <c r="I960" s="8">
        <v>0.71904766559600797</v>
      </c>
      <c r="J960" s="8">
        <v>20.937816619873001</v>
      </c>
      <c r="K960" s="8"/>
      <c r="L960" s="8">
        <v>985</v>
      </c>
      <c r="M960" s="8">
        <v>0.33333334326744002</v>
      </c>
      <c r="N960" s="8">
        <v>20.8518753051757</v>
      </c>
      <c r="P960" s="8"/>
    </row>
    <row r="961" spans="1:16" x14ac:dyDescent="0.25">
      <c r="A961" s="8">
        <f t="shared" si="54"/>
        <v>986</v>
      </c>
      <c r="B961" s="8">
        <f t="shared" si="55"/>
        <v>1</v>
      </c>
      <c r="C961" s="8">
        <f t="shared" si="56"/>
        <v>12.20000004768371</v>
      </c>
      <c r="D961" s="8">
        <v>986</v>
      </c>
      <c r="E961" s="8">
        <v>6.4000000953674299</v>
      </c>
      <c r="F961" s="8">
        <v>21.659196853637599</v>
      </c>
      <c r="G961" s="8"/>
      <c r="H961" s="8">
        <v>986</v>
      </c>
      <c r="I961" s="8">
        <v>2.7999999523162802</v>
      </c>
      <c r="J961" s="8">
        <v>21.927772521972599</v>
      </c>
      <c r="K961" s="8"/>
      <c r="L961" s="8">
        <v>986</v>
      </c>
      <c r="M961" s="8">
        <v>3</v>
      </c>
      <c r="N961" s="8">
        <v>21.777793884277301</v>
      </c>
      <c r="P961" s="8"/>
    </row>
    <row r="962" spans="1:16" x14ac:dyDescent="0.25">
      <c r="A962" s="8">
        <f t="shared" si="54"/>
        <v>987</v>
      </c>
      <c r="B962" s="8">
        <f t="shared" si="55"/>
        <v>1</v>
      </c>
      <c r="C962" s="8">
        <f t="shared" si="56"/>
        <v>0</v>
      </c>
      <c r="D962" s="8">
        <v>987</v>
      </c>
      <c r="E962" s="8">
        <v>0</v>
      </c>
      <c r="F962" s="8">
        <v>20.5376071929931</v>
      </c>
      <c r="G962" s="8"/>
      <c r="H962" s="8">
        <v>987</v>
      </c>
      <c r="I962" s="8">
        <v>0</v>
      </c>
      <c r="J962" s="8">
        <v>20.803665161132798</v>
      </c>
      <c r="K962" s="8"/>
      <c r="L962" s="8">
        <v>987</v>
      </c>
      <c r="M962" s="8">
        <v>0</v>
      </c>
      <c r="N962" s="8">
        <v>20.7067546844482</v>
      </c>
      <c r="P962" s="8"/>
    </row>
    <row r="963" spans="1:16" x14ac:dyDescent="0.25">
      <c r="A963" s="8">
        <f t="shared" ref="A963:A1001" si="57">IF(D963="","",D963)</f>
        <v>988</v>
      </c>
      <c r="B963" s="8">
        <f t="shared" ref="B963:B1001" si="58">IF(OR(D963&lt;&gt;H963,H963&lt;&gt;L963,D963&lt;&gt;L963),0,1)</f>
        <v>1</v>
      </c>
      <c r="C963" s="8">
        <f t="shared" ref="C963:C1001" si="59">SUM(E963,I963,M963)</f>
        <v>3.065844058990467</v>
      </c>
      <c r="D963" s="8">
        <v>988</v>
      </c>
      <c r="E963" s="8">
        <v>1.2404761314392001</v>
      </c>
      <c r="F963" s="8">
        <v>26.0585403442382</v>
      </c>
      <c r="G963" s="8"/>
      <c r="H963" s="8">
        <v>988</v>
      </c>
      <c r="I963" s="8">
        <v>1.16632032394409</v>
      </c>
      <c r="J963" s="8">
        <v>26.398256301879801</v>
      </c>
      <c r="K963" s="8"/>
      <c r="L963" s="8">
        <v>988</v>
      </c>
      <c r="M963" s="8">
        <v>0.65904760360717696</v>
      </c>
      <c r="N963" s="8">
        <v>26.280921936035099</v>
      </c>
      <c r="P963" s="8"/>
    </row>
    <row r="964" spans="1:16" x14ac:dyDescent="0.25">
      <c r="A964" s="8">
        <f t="shared" si="57"/>
        <v>989</v>
      </c>
      <c r="B964" s="8">
        <f t="shared" si="58"/>
        <v>1</v>
      </c>
      <c r="C964" s="8">
        <f t="shared" si="59"/>
        <v>0</v>
      </c>
      <c r="D964" s="8">
        <v>989</v>
      </c>
      <c r="E964" s="8">
        <v>0</v>
      </c>
      <c r="F964" s="8">
        <v>14.2461338043212</v>
      </c>
      <c r="G964" s="8"/>
      <c r="H964" s="8">
        <v>989</v>
      </c>
      <c r="I964" s="8">
        <v>0</v>
      </c>
      <c r="J964" s="8">
        <v>14.4308881759643</v>
      </c>
      <c r="K964" s="8"/>
      <c r="L964" s="8">
        <v>989</v>
      </c>
      <c r="M964" s="8">
        <v>0</v>
      </c>
      <c r="N964" s="8">
        <v>14.3830347061157</v>
      </c>
      <c r="P964" s="8"/>
    </row>
    <row r="965" spans="1:16" x14ac:dyDescent="0.25">
      <c r="A965" s="8">
        <f t="shared" si="57"/>
        <v>990</v>
      </c>
      <c r="B965" s="8">
        <f t="shared" si="58"/>
        <v>1</v>
      </c>
      <c r="C965" s="8">
        <f t="shared" si="59"/>
        <v>4.79262530803679</v>
      </c>
      <c r="D965" s="8">
        <v>990</v>
      </c>
      <c r="E965" s="8">
        <v>1.9471975564956601</v>
      </c>
      <c r="F965" s="8">
        <v>35.040985107421797</v>
      </c>
      <c r="G965" s="8"/>
      <c r="H965" s="8">
        <v>990</v>
      </c>
      <c r="I965" s="8">
        <v>1.77109146118164</v>
      </c>
      <c r="J965" s="8">
        <v>35.438102722167898</v>
      </c>
      <c r="K965" s="8"/>
      <c r="L965" s="8">
        <v>990</v>
      </c>
      <c r="M965" s="8">
        <v>1.07433629035949</v>
      </c>
      <c r="N965" s="8">
        <v>35.233787536621001</v>
      </c>
      <c r="P965" s="8"/>
    </row>
    <row r="966" spans="1:16" x14ac:dyDescent="0.25">
      <c r="A966" s="8">
        <f t="shared" si="57"/>
        <v>991</v>
      </c>
      <c r="B966" s="8">
        <f t="shared" si="58"/>
        <v>1</v>
      </c>
      <c r="C966" s="8">
        <f t="shared" si="59"/>
        <v>37.511693954467646</v>
      </c>
      <c r="D966" s="8">
        <v>991</v>
      </c>
      <c r="E966" s="8">
        <v>17.534751892089801</v>
      </c>
      <c r="F966" s="8">
        <v>39.3637084960937</v>
      </c>
      <c r="G966" s="8"/>
      <c r="H966" s="8">
        <v>991</v>
      </c>
      <c r="I966" s="8">
        <v>15.5704803466796</v>
      </c>
      <c r="J966" s="8">
        <v>41.7874755859375</v>
      </c>
      <c r="K966" s="8"/>
      <c r="L966" s="8">
        <v>991</v>
      </c>
      <c r="M966" s="8">
        <v>4.4064617156982404</v>
      </c>
      <c r="N966" s="8">
        <v>39.116409301757798</v>
      </c>
      <c r="P966" s="8"/>
    </row>
    <row r="967" spans="1:16" x14ac:dyDescent="0.25">
      <c r="A967" s="8">
        <f t="shared" si="57"/>
        <v>992</v>
      </c>
      <c r="B967" s="8">
        <f t="shared" si="58"/>
        <v>1</v>
      </c>
      <c r="C967" s="8">
        <f t="shared" si="59"/>
        <v>5.7976191043853644</v>
      </c>
      <c r="D967" s="8">
        <v>992</v>
      </c>
      <c r="E967" s="8">
        <v>2.7321429252624498</v>
      </c>
      <c r="F967" s="8">
        <v>11.882530212402299</v>
      </c>
      <c r="G967" s="8"/>
      <c r="H967" s="8">
        <v>992</v>
      </c>
      <c r="I967" s="8">
        <v>2.2619047164916899</v>
      </c>
      <c r="J967" s="8">
        <v>12.1387128829956</v>
      </c>
      <c r="K967" s="8"/>
      <c r="L967" s="8">
        <v>992</v>
      </c>
      <c r="M967" s="8">
        <v>0.80357146263122503</v>
      </c>
      <c r="N967" s="8">
        <v>12.016974449157701</v>
      </c>
      <c r="P967" s="8"/>
    </row>
    <row r="968" spans="1:16" x14ac:dyDescent="0.25">
      <c r="A968" s="8">
        <f t="shared" si="57"/>
        <v>993</v>
      </c>
      <c r="B968" s="8">
        <f t="shared" si="58"/>
        <v>1</v>
      </c>
      <c r="C968" s="8">
        <f t="shared" si="59"/>
        <v>3.6022756099700857</v>
      </c>
      <c r="D968" s="8">
        <v>993</v>
      </c>
      <c r="E968" s="8">
        <v>1.48824274539947</v>
      </c>
      <c r="F968" s="8">
        <v>12.181300163269</v>
      </c>
      <c r="G968" s="8"/>
      <c r="H968" s="8">
        <v>993</v>
      </c>
      <c r="I968" s="8">
        <v>1.3585335016250599</v>
      </c>
      <c r="J968" s="8">
        <v>12.3462667465209</v>
      </c>
      <c r="K968" s="8"/>
      <c r="L968" s="8">
        <v>993</v>
      </c>
      <c r="M968" s="8">
        <v>0.75549936294555597</v>
      </c>
      <c r="N968" s="8">
        <v>12.2702236175537</v>
      </c>
      <c r="P968" s="8"/>
    </row>
    <row r="969" spans="1:16" x14ac:dyDescent="0.25">
      <c r="A969" s="8">
        <f t="shared" si="57"/>
        <v>994</v>
      </c>
      <c r="B969" s="8">
        <f t="shared" si="58"/>
        <v>1</v>
      </c>
      <c r="C969" s="8">
        <f t="shared" si="59"/>
        <v>26.677748680114721</v>
      </c>
      <c r="D969" s="8">
        <v>994</v>
      </c>
      <c r="E969" s="8">
        <v>11.8562774658203</v>
      </c>
      <c r="F969" s="8">
        <v>29.283412933349599</v>
      </c>
      <c r="G969" s="8"/>
      <c r="H969" s="8">
        <v>994</v>
      </c>
      <c r="I969" s="8">
        <v>9.4881381988525302</v>
      </c>
      <c r="J969" s="8">
        <v>30.076196670532202</v>
      </c>
      <c r="K969" s="8"/>
      <c r="L969" s="8">
        <v>994</v>
      </c>
      <c r="M969" s="8">
        <v>5.3333330154418901</v>
      </c>
      <c r="N969" s="8">
        <v>29.448951721191399</v>
      </c>
      <c r="P969" s="8"/>
    </row>
    <row r="970" spans="1:16" x14ac:dyDescent="0.25">
      <c r="A970" s="8">
        <f t="shared" si="57"/>
        <v>995</v>
      </c>
      <c r="B970" s="8">
        <f t="shared" si="58"/>
        <v>1</v>
      </c>
      <c r="C970" s="8">
        <f t="shared" si="59"/>
        <v>13.723873376846299</v>
      </c>
      <c r="D970" s="8">
        <v>995</v>
      </c>
      <c r="E970" s="8">
        <v>6.3464460372924796</v>
      </c>
      <c r="F970" s="8">
        <v>29.2245998382568</v>
      </c>
      <c r="G970" s="8"/>
      <c r="H970" s="8">
        <v>995</v>
      </c>
      <c r="I970" s="8">
        <v>4.1887135505676198</v>
      </c>
      <c r="J970" s="8">
        <v>31.2706489562988</v>
      </c>
      <c r="K970" s="8"/>
      <c r="L970" s="8">
        <v>995</v>
      </c>
      <c r="M970" s="8">
        <v>3.1887137889861998</v>
      </c>
      <c r="N970" s="8">
        <v>28.9954299926757</v>
      </c>
      <c r="P970" s="8"/>
    </row>
    <row r="971" spans="1:16" x14ac:dyDescent="0.25">
      <c r="A971" s="8">
        <f t="shared" si="57"/>
        <v>996</v>
      </c>
      <c r="B971" s="8">
        <f t="shared" si="58"/>
        <v>1</v>
      </c>
      <c r="C971" s="8">
        <f t="shared" si="59"/>
        <v>141.91119956970192</v>
      </c>
      <c r="D971" s="8">
        <v>996</v>
      </c>
      <c r="E971" s="8">
        <v>65.335052490234304</v>
      </c>
      <c r="F971" s="8">
        <v>38.762233734130803</v>
      </c>
      <c r="G971" s="8"/>
      <c r="H971" s="8">
        <v>996</v>
      </c>
      <c r="I971" s="8">
        <v>50.768756866455</v>
      </c>
      <c r="J971" s="8">
        <v>40.859424591064403</v>
      </c>
      <c r="K971" s="8"/>
      <c r="L971" s="8">
        <v>996</v>
      </c>
      <c r="M971" s="8">
        <v>25.807390213012599</v>
      </c>
      <c r="N971" s="8">
        <v>38.541248321533203</v>
      </c>
      <c r="P971" s="8"/>
    </row>
    <row r="972" spans="1:16" x14ac:dyDescent="0.25">
      <c r="A972" s="8">
        <f t="shared" si="57"/>
        <v>997</v>
      </c>
      <c r="B972" s="8">
        <f t="shared" si="58"/>
        <v>1</v>
      </c>
      <c r="C972" s="8">
        <f t="shared" si="59"/>
        <v>14.848719120025619</v>
      </c>
      <c r="D972" s="8">
        <v>997</v>
      </c>
      <c r="E972" s="8">
        <v>5.0410261154174796</v>
      </c>
      <c r="F972" s="8">
        <v>44.713424682617102</v>
      </c>
      <c r="G972" s="8"/>
      <c r="H972" s="8">
        <v>997</v>
      </c>
      <c r="I972" s="8">
        <v>5.3410258293151802</v>
      </c>
      <c r="J972" s="8">
        <v>45.437461853027301</v>
      </c>
      <c r="K972" s="8"/>
      <c r="L972" s="8">
        <v>997</v>
      </c>
      <c r="M972" s="8">
        <v>4.4666671752929599</v>
      </c>
      <c r="N972" s="8">
        <v>45.046501159667898</v>
      </c>
      <c r="P972" s="8"/>
    </row>
    <row r="973" spans="1:16" x14ac:dyDescent="0.25">
      <c r="A973" s="8">
        <f t="shared" si="57"/>
        <v>998</v>
      </c>
      <c r="B973" s="8">
        <f t="shared" si="58"/>
        <v>1</v>
      </c>
      <c r="C973" s="8">
        <f t="shared" si="59"/>
        <v>3.1153846979141231</v>
      </c>
      <c r="D973" s="8">
        <v>998</v>
      </c>
      <c r="E973" s="8">
        <v>1.14102566242218</v>
      </c>
      <c r="F973" s="8">
        <v>31.383726119995099</v>
      </c>
      <c r="G973" s="8"/>
      <c r="H973" s="8">
        <v>998</v>
      </c>
      <c r="I973" s="8">
        <v>0.97435903549194303</v>
      </c>
      <c r="J973" s="8">
        <v>32.036670684814403</v>
      </c>
      <c r="K973" s="8"/>
      <c r="L973" s="8">
        <v>998</v>
      </c>
      <c r="M973" s="8">
        <v>1</v>
      </c>
      <c r="N973" s="8">
        <v>31.629592895507798</v>
      </c>
      <c r="P973" s="8"/>
    </row>
    <row r="974" spans="1:16" x14ac:dyDescent="0.25">
      <c r="A974" s="8">
        <f t="shared" si="57"/>
        <v>999</v>
      </c>
      <c r="B974" s="8">
        <f t="shared" si="58"/>
        <v>1</v>
      </c>
      <c r="C974" s="8">
        <f t="shared" si="59"/>
        <v>31.832842826843219</v>
      </c>
      <c r="D974" s="8">
        <v>999</v>
      </c>
      <c r="E974" s="8">
        <v>12.125205039978001</v>
      </c>
      <c r="F974" s="8">
        <v>44.112335205078097</v>
      </c>
      <c r="G974" s="8"/>
      <c r="H974" s="8">
        <v>999</v>
      </c>
      <c r="I974" s="8">
        <v>11.2598009109497</v>
      </c>
      <c r="J974" s="8">
        <v>44.744804382324197</v>
      </c>
      <c r="K974" s="8"/>
      <c r="L974" s="8">
        <v>999</v>
      </c>
      <c r="M974" s="8">
        <v>8.4478368759155202</v>
      </c>
      <c r="N974" s="8">
        <v>44.206733703613203</v>
      </c>
      <c r="P974" s="8"/>
    </row>
    <row r="975" spans="1:16" x14ac:dyDescent="0.25">
      <c r="A975" s="8">
        <f t="shared" si="57"/>
        <v>1000</v>
      </c>
      <c r="B975" s="8">
        <f t="shared" si="58"/>
        <v>1</v>
      </c>
      <c r="C975" s="8">
        <f t="shared" si="59"/>
        <v>8.779615163803081</v>
      </c>
      <c r="D975" s="8">
        <v>1000</v>
      </c>
      <c r="E975" s="8">
        <v>4.6224837303161603</v>
      </c>
      <c r="F975" s="8">
        <v>33.045867919921797</v>
      </c>
      <c r="G975" s="8"/>
      <c r="H975" s="8">
        <v>1000</v>
      </c>
      <c r="I975" s="8">
        <v>3.00900673866271</v>
      </c>
      <c r="J975" s="8">
        <v>34.060512542724602</v>
      </c>
      <c r="K975" s="8"/>
      <c r="L975" s="8">
        <v>1000</v>
      </c>
      <c r="M975" s="8">
        <v>1.1481246948242101</v>
      </c>
      <c r="N975" s="8">
        <v>33.361454010009702</v>
      </c>
      <c r="P975" s="8"/>
    </row>
    <row r="976" spans="1:16" x14ac:dyDescent="0.25">
      <c r="A976" s="8">
        <f t="shared" si="57"/>
        <v>1001</v>
      </c>
      <c r="B976" s="8">
        <f t="shared" si="58"/>
        <v>1</v>
      </c>
      <c r="C976" s="8">
        <f t="shared" si="59"/>
        <v>28.363739013671779</v>
      </c>
      <c r="D976" s="8">
        <v>1001</v>
      </c>
      <c r="E976" s="8">
        <v>10.373329162597599</v>
      </c>
      <c r="F976" s="8">
        <v>46.768424987792898</v>
      </c>
      <c r="G976" s="8"/>
      <c r="H976" s="8">
        <v>1001</v>
      </c>
      <c r="I976" s="8">
        <v>10.6944484710693</v>
      </c>
      <c r="J976" s="8">
        <v>47.678939819335902</v>
      </c>
      <c r="K976" s="8"/>
      <c r="L976" s="8">
        <v>1001</v>
      </c>
      <c r="M976" s="8">
        <v>7.2959613800048801</v>
      </c>
      <c r="N976" s="8">
        <v>46.982246398925703</v>
      </c>
      <c r="P976" s="8"/>
    </row>
    <row r="977" spans="1:16" x14ac:dyDescent="0.25">
      <c r="A977" s="8">
        <f t="shared" si="57"/>
        <v>1002</v>
      </c>
      <c r="B977" s="8">
        <f t="shared" si="58"/>
        <v>1</v>
      </c>
      <c r="C977" s="8">
        <f t="shared" si="59"/>
        <v>48.443459510803095</v>
      </c>
      <c r="D977" s="8">
        <v>1002</v>
      </c>
      <c r="E977" s="8">
        <v>15.9801273345947</v>
      </c>
      <c r="F977" s="8">
        <v>35.078037261962798</v>
      </c>
      <c r="G977" s="8"/>
      <c r="H977" s="8">
        <v>1002</v>
      </c>
      <c r="I977" s="8">
        <v>18.748939514160099</v>
      </c>
      <c r="J977" s="8">
        <v>36.243770599365199</v>
      </c>
      <c r="K977" s="8"/>
      <c r="L977" s="8">
        <v>1002</v>
      </c>
      <c r="M977" s="8">
        <v>13.714392662048301</v>
      </c>
      <c r="N977" s="8">
        <v>35.600822448730398</v>
      </c>
      <c r="P977" s="8"/>
    </row>
    <row r="978" spans="1:16" x14ac:dyDescent="0.25">
      <c r="A978" s="8">
        <f t="shared" si="57"/>
        <v>1003</v>
      </c>
      <c r="B978" s="8">
        <f t="shared" si="58"/>
        <v>1</v>
      </c>
      <c r="C978" s="8">
        <f t="shared" si="59"/>
        <v>17.076359510421739</v>
      </c>
      <c r="D978" s="8">
        <v>1003</v>
      </c>
      <c r="E978" s="8">
        <v>8.0325679779052699</v>
      </c>
      <c r="F978" s="8">
        <v>60.012001037597599</v>
      </c>
      <c r="G978" s="8"/>
      <c r="H978" s="8">
        <v>1003</v>
      </c>
      <c r="I978" s="8">
        <v>5.4286179542541504</v>
      </c>
      <c r="J978" s="8">
        <v>60.895439147949197</v>
      </c>
      <c r="K978" s="8"/>
      <c r="L978" s="8">
        <v>1003</v>
      </c>
      <c r="M978" s="8">
        <v>3.6151735782623202</v>
      </c>
      <c r="N978" s="8">
        <v>60.114410400390597</v>
      </c>
      <c r="P978" s="8"/>
    </row>
    <row r="979" spans="1:16" x14ac:dyDescent="0.25">
      <c r="A979" s="8">
        <f t="shared" si="57"/>
        <v>1004</v>
      </c>
      <c r="B979" s="8">
        <f t="shared" si="58"/>
        <v>1</v>
      </c>
      <c r="C979" s="8">
        <f t="shared" si="59"/>
        <v>5.88437712192533</v>
      </c>
      <c r="D979" s="8">
        <v>1004</v>
      </c>
      <c r="E979" s="8">
        <v>1.24629318714141</v>
      </c>
      <c r="F979" s="8">
        <v>43.943504333496001</v>
      </c>
      <c r="G979" s="8"/>
      <c r="H979" s="8">
        <v>1004</v>
      </c>
      <c r="I979" s="8">
        <v>2.09948277473449</v>
      </c>
      <c r="J979" s="8">
        <v>44.5121459960937</v>
      </c>
      <c r="K979" s="8"/>
      <c r="L979" s="8">
        <v>1004</v>
      </c>
      <c r="M979" s="8">
        <v>2.53860116004943</v>
      </c>
      <c r="N979" s="8">
        <v>44.150283813476499</v>
      </c>
      <c r="P979" s="8"/>
    </row>
    <row r="980" spans="1:16" x14ac:dyDescent="0.25">
      <c r="A980" s="8">
        <f t="shared" si="57"/>
        <v>1005</v>
      </c>
      <c r="B980" s="8">
        <f t="shared" si="58"/>
        <v>1</v>
      </c>
      <c r="C980" s="8">
        <f t="shared" si="59"/>
        <v>18.459034442901601</v>
      </c>
      <c r="D980" s="8">
        <v>1005</v>
      </c>
      <c r="E980" s="8">
        <v>6.1966977119445801</v>
      </c>
      <c r="F980" s="8">
        <v>45.134979248046797</v>
      </c>
      <c r="G980" s="8"/>
      <c r="H980" s="8">
        <v>1005</v>
      </c>
      <c r="I980" s="8">
        <v>8.1109294891357404</v>
      </c>
      <c r="J980" s="8">
        <v>45.897876739501903</v>
      </c>
      <c r="K980" s="8"/>
      <c r="L980" s="8">
        <v>1005</v>
      </c>
      <c r="M980" s="8">
        <v>4.1514072418212802</v>
      </c>
      <c r="N980" s="8">
        <v>45.335197448730398</v>
      </c>
      <c r="P980" s="8"/>
    </row>
    <row r="981" spans="1:16" x14ac:dyDescent="0.25">
      <c r="A981" s="8">
        <f t="shared" si="57"/>
        <v>1006</v>
      </c>
      <c r="B981" s="8">
        <f t="shared" si="58"/>
        <v>1</v>
      </c>
      <c r="C981" s="8">
        <f t="shared" si="59"/>
        <v>65.634570121764995</v>
      </c>
      <c r="D981" s="8">
        <v>1006</v>
      </c>
      <c r="E981" s="8">
        <v>27.235698699951101</v>
      </c>
      <c r="F981" s="8">
        <v>59.220035552978501</v>
      </c>
      <c r="G981" s="8"/>
      <c r="H981" s="8">
        <v>1006</v>
      </c>
      <c r="I981" s="8">
        <v>23.1180515289306</v>
      </c>
      <c r="J981" s="8">
        <v>60.345775604247997</v>
      </c>
      <c r="K981" s="8"/>
      <c r="L981" s="8">
        <v>1006</v>
      </c>
      <c r="M981" s="8">
        <v>15.280819892883301</v>
      </c>
      <c r="N981" s="8">
        <v>59.875373840332003</v>
      </c>
      <c r="P981" s="8"/>
    </row>
    <row r="982" spans="1:16" x14ac:dyDescent="0.25">
      <c r="A982" s="8">
        <f t="shared" si="57"/>
        <v>1007</v>
      </c>
      <c r="B982" s="8">
        <f t="shared" si="58"/>
        <v>1</v>
      </c>
      <c r="C982" s="8">
        <f t="shared" si="59"/>
        <v>15.832853794097879</v>
      </c>
      <c r="D982" s="8">
        <v>1007</v>
      </c>
      <c r="E982" s="8">
        <v>6.5326838493347097</v>
      </c>
      <c r="F982" s="8">
        <v>41.3606147766113</v>
      </c>
      <c r="G982" s="8"/>
      <c r="H982" s="8">
        <v>1007</v>
      </c>
      <c r="I982" s="8">
        <v>5.8722171783447203</v>
      </c>
      <c r="J982" s="8">
        <v>41.987010955810497</v>
      </c>
      <c r="K982" s="8"/>
      <c r="L982" s="8">
        <v>1007</v>
      </c>
      <c r="M982" s="8">
        <v>3.4279527664184499</v>
      </c>
      <c r="N982" s="8">
        <v>41.719203948974602</v>
      </c>
      <c r="P982" s="8"/>
    </row>
    <row r="983" spans="1:16" x14ac:dyDescent="0.25">
      <c r="A983" s="8">
        <f t="shared" si="57"/>
        <v>1008</v>
      </c>
      <c r="B983" s="8">
        <f t="shared" si="58"/>
        <v>1</v>
      </c>
      <c r="C983" s="8">
        <f t="shared" si="59"/>
        <v>10.08247852325438</v>
      </c>
      <c r="D983" s="8">
        <v>1008</v>
      </c>
      <c r="E983" s="8">
        <v>3.0146214962005602</v>
      </c>
      <c r="F983" s="8">
        <v>46.252067565917898</v>
      </c>
      <c r="G983" s="8"/>
      <c r="H983" s="8">
        <v>1008</v>
      </c>
      <c r="I983" s="8">
        <v>3.5535714626312198</v>
      </c>
      <c r="J983" s="8">
        <v>46.826885223388601</v>
      </c>
      <c r="K983" s="8"/>
      <c r="L983" s="8">
        <v>1008</v>
      </c>
      <c r="M983" s="8">
        <v>3.5142855644225999</v>
      </c>
      <c r="N983" s="8">
        <v>46.619579315185497</v>
      </c>
      <c r="P983" s="8"/>
    </row>
    <row r="984" spans="1:16" x14ac:dyDescent="0.25">
      <c r="A984" s="8">
        <f t="shared" si="57"/>
        <v>1009</v>
      </c>
      <c r="B984" s="8">
        <f t="shared" si="58"/>
        <v>1</v>
      </c>
      <c r="C984" s="8">
        <f t="shared" si="59"/>
        <v>25.794990062713591</v>
      </c>
      <c r="D984" s="8">
        <v>1009</v>
      </c>
      <c r="E984" s="8">
        <v>11.238079071044901</v>
      </c>
      <c r="F984" s="8">
        <v>40.614383697509702</v>
      </c>
      <c r="G984" s="8"/>
      <c r="H984" s="8">
        <v>1009</v>
      </c>
      <c r="I984" s="8">
        <v>8.4183921813964808</v>
      </c>
      <c r="J984" s="8">
        <v>41.230716705322202</v>
      </c>
      <c r="K984" s="8"/>
      <c r="L984" s="8">
        <v>1009</v>
      </c>
      <c r="M984" s="8">
        <v>6.1385188102722097</v>
      </c>
      <c r="N984" s="8">
        <v>41.008190155029297</v>
      </c>
      <c r="P984" s="8"/>
    </row>
    <row r="985" spans="1:16" x14ac:dyDescent="0.25">
      <c r="A985" s="8">
        <f t="shared" si="57"/>
        <v>1010</v>
      </c>
      <c r="B985" s="8">
        <f t="shared" si="58"/>
        <v>1</v>
      </c>
      <c r="C985" s="8">
        <f t="shared" si="59"/>
        <v>49.630400657653695</v>
      </c>
      <c r="D985" s="8">
        <v>1010</v>
      </c>
      <c r="E985" s="8">
        <v>21.503698348998999</v>
      </c>
      <c r="F985" s="8">
        <v>30.014783859252901</v>
      </c>
      <c r="G985" s="8"/>
      <c r="H985" s="8">
        <v>1010</v>
      </c>
      <c r="I985" s="8">
        <v>17.040758132934499</v>
      </c>
      <c r="J985" s="8">
        <v>30.578966140746999</v>
      </c>
      <c r="K985" s="8"/>
      <c r="L985" s="8">
        <v>1010</v>
      </c>
      <c r="M985" s="8">
        <v>11.085944175720201</v>
      </c>
      <c r="N985" s="8">
        <v>30.325738906860298</v>
      </c>
      <c r="P985" s="8"/>
    </row>
    <row r="986" spans="1:16" x14ac:dyDescent="0.25">
      <c r="A986" s="8">
        <f t="shared" si="57"/>
        <v>1011</v>
      </c>
      <c r="B986" s="8">
        <f t="shared" si="58"/>
        <v>1</v>
      </c>
      <c r="C986" s="8">
        <f t="shared" si="59"/>
        <v>9.6566019058227397</v>
      </c>
      <c r="D986" s="8">
        <v>1011</v>
      </c>
      <c r="E986" s="8">
        <v>3.86724376678466</v>
      </c>
      <c r="F986" s="8">
        <v>32.822002410888601</v>
      </c>
      <c r="G986" s="8"/>
      <c r="H986" s="8">
        <v>1011</v>
      </c>
      <c r="I986" s="8">
        <v>3.6640694141387899</v>
      </c>
      <c r="J986" s="8">
        <v>33.406780242919901</v>
      </c>
      <c r="K986" s="8"/>
      <c r="L986" s="8">
        <v>1011</v>
      </c>
      <c r="M986" s="8">
        <v>2.1252887248992902</v>
      </c>
      <c r="N986" s="8">
        <v>33.106483459472599</v>
      </c>
      <c r="P986" s="8"/>
    </row>
    <row r="987" spans="1:16" x14ac:dyDescent="0.25">
      <c r="A987" s="8">
        <f t="shared" si="57"/>
        <v>1012</v>
      </c>
      <c r="B987" s="8">
        <f t="shared" si="58"/>
        <v>1</v>
      </c>
      <c r="C987" s="8">
        <f t="shared" si="59"/>
        <v>107.7688579559325</v>
      </c>
      <c r="D987" s="8">
        <v>1012</v>
      </c>
      <c r="E987" s="8">
        <v>46.103492736816399</v>
      </c>
      <c r="F987" s="8">
        <v>38.095645904541001</v>
      </c>
      <c r="G987" s="8"/>
      <c r="H987" s="8">
        <v>1012</v>
      </c>
      <c r="I987" s="8">
        <v>37.683486938476499</v>
      </c>
      <c r="J987" s="8">
        <v>38.961681365966797</v>
      </c>
      <c r="K987" s="8"/>
      <c r="L987" s="8">
        <v>1012</v>
      </c>
      <c r="M987" s="8">
        <v>23.981878280639599</v>
      </c>
      <c r="N987" s="8">
        <v>38.604190826416001</v>
      </c>
      <c r="P987" s="8"/>
    </row>
    <row r="988" spans="1:16" x14ac:dyDescent="0.25">
      <c r="A988" s="8">
        <f t="shared" si="57"/>
        <v>1013</v>
      </c>
      <c r="B988" s="8">
        <f t="shared" si="58"/>
        <v>1</v>
      </c>
      <c r="C988" s="8">
        <f t="shared" si="59"/>
        <v>32.943964958190747</v>
      </c>
      <c r="D988" s="8">
        <v>1013</v>
      </c>
      <c r="E988" s="8">
        <v>15.097160339355399</v>
      </c>
      <c r="F988" s="8">
        <v>80.943389892578097</v>
      </c>
      <c r="G988" s="8"/>
      <c r="H988" s="8">
        <v>1013</v>
      </c>
      <c r="I988" s="8">
        <v>11.424077987670801</v>
      </c>
      <c r="J988" s="8">
        <v>82.404075622558594</v>
      </c>
      <c r="K988" s="8"/>
      <c r="L988" s="8">
        <v>1013</v>
      </c>
      <c r="M988" s="8">
        <v>6.4227266311645499</v>
      </c>
      <c r="N988" s="8">
        <v>81.571258544921804</v>
      </c>
      <c r="P988" s="8"/>
    </row>
    <row r="989" spans="1:16" x14ac:dyDescent="0.25">
      <c r="A989" s="8">
        <f t="shared" si="57"/>
        <v>1014</v>
      </c>
      <c r="B989" s="8">
        <f t="shared" si="58"/>
        <v>1</v>
      </c>
      <c r="C989" s="8">
        <f t="shared" si="59"/>
        <v>23.39079904556273</v>
      </c>
      <c r="D989" s="8">
        <v>1014</v>
      </c>
      <c r="E989" s="8">
        <v>9.0038404464721609</v>
      </c>
      <c r="F989" s="8">
        <v>54.726478576660099</v>
      </c>
      <c r="G989" s="8"/>
      <c r="H989" s="8">
        <v>1014</v>
      </c>
      <c r="I989" s="8">
        <v>9.2926940917968697</v>
      </c>
      <c r="J989" s="8">
        <v>55.8930854797363</v>
      </c>
      <c r="K989" s="8"/>
      <c r="L989" s="8">
        <v>1014</v>
      </c>
      <c r="M989" s="8">
        <v>5.0942645072937003</v>
      </c>
      <c r="N989" s="8">
        <v>55.255229949951101</v>
      </c>
      <c r="P989" s="8"/>
    </row>
    <row r="990" spans="1:16" x14ac:dyDescent="0.25">
      <c r="A990" s="8">
        <f t="shared" si="57"/>
        <v>1015</v>
      </c>
      <c r="B990" s="8">
        <f t="shared" si="58"/>
        <v>1</v>
      </c>
      <c r="C990" s="8">
        <f t="shared" si="59"/>
        <v>56.437853813171202</v>
      </c>
      <c r="D990" s="8">
        <v>1015</v>
      </c>
      <c r="E990" s="8">
        <v>26.1326599121093</v>
      </c>
      <c r="F990" s="8">
        <v>65.871109008789006</v>
      </c>
      <c r="G990" s="8"/>
      <c r="H990" s="8">
        <v>1015</v>
      </c>
      <c r="I990" s="8">
        <v>17.920036315917901</v>
      </c>
      <c r="J990" s="8">
        <v>67.376434326171804</v>
      </c>
      <c r="K990" s="8"/>
      <c r="L990" s="8">
        <v>1015</v>
      </c>
      <c r="M990" s="8">
        <v>12.385157585144</v>
      </c>
      <c r="N990" s="8">
        <v>66.190826416015597</v>
      </c>
      <c r="P990" s="8"/>
    </row>
    <row r="991" spans="1:16" x14ac:dyDescent="0.25">
      <c r="A991" s="8">
        <f t="shared" si="57"/>
        <v>1016</v>
      </c>
      <c r="B991" s="8">
        <f t="shared" si="58"/>
        <v>1</v>
      </c>
      <c r="C991" s="8">
        <f t="shared" si="59"/>
        <v>23.671495914459218</v>
      </c>
      <c r="D991" s="8">
        <v>1016</v>
      </c>
      <c r="E991" s="8">
        <v>8.8573646545410103</v>
      </c>
      <c r="F991" s="8">
        <v>72.879058837890597</v>
      </c>
      <c r="G991" s="8"/>
      <c r="H991" s="8">
        <v>1016</v>
      </c>
      <c r="I991" s="8">
        <v>9.73834228515625</v>
      </c>
      <c r="J991" s="8">
        <v>73.503173828125</v>
      </c>
      <c r="K991" s="8"/>
      <c r="L991" s="8">
        <v>1016</v>
      </c>
      <c r="M991" s="8">
        <v>5.0757889747619602</v>
      </c>
      <c r="N991" s="8">
        <v>73.165603637695298</v>
      </c>
      <c r="P991" s="8"/>
    </row>
    <row r="992" spans="1:16" x14ac:dyDescent="0.25">
      <c r="A992" s="8">
        <f t="shared" si="57"/>
        <v>1017</v>
      </c>
      <c r="B992" s="8">
        <f t="shared" si="58"/>
        <v>1</v>
      </c>
      <c r="C992" s="8">
        <f t="shared" si="59"/>
        <v>98.432559967040802</v>
      </c>
      <c r="D992" s="8">
        <v>1017</v>
      </c>
      <c r="E992" s="8">
        <v>44.006729125976499</v>
      </c>
      <c r="F992" s="8">
        <v>87.960906982421804</v>
      </c>
      <c r="G992" s="8"/>
      <c r="H992" s="8">
        <v>1017</v>
      </c>
      <c r="I992" s="8">
        <v>33.308265686035099</v>
      </c>
      <c r="J992" s="8">
        <v>89.804443359375</v>
      </c>
      <c r="K992" s="8"/>
      <c r="L992" s="8">
        <v>1017</v>
      </c>
      <c r="M992" s="8">
        <v>21.117565155029201</v>
      </c>
      <c r="N992" s="8">
        <v>88.595352172851506</v>
      </c>
      <c r="P992" s="8"/>
    </row>
    <row r="993" spans="1:16" x14ac:dyDescent="0.25">
      <c r="A993" s="8">
        <f t="shared" si="57"/>
        <v>1018</v>
      </c>
      <c r="B993" s="8">
        <f t="shared" si="58"/>
        <v>1</v>
      </c>
      <c r="C993" s="8">
        <f t="shared" si="59"/>
        <v>10.70580589771269</v>
      </c>
      <c r="D993" s="8">
        <v>1018</v>
      </c>
      <c r="E993" s="8">
        <v>5.0236744880676198</v>
      </c>
      <c r="F993" s="8">
        <v>34.823455810546797</v>
      </c>
      <c r="G993" s="8"/>
      <c r="H993" s="8">
        <v>1018</v>
      </c>
      <c r="I993" s="8">
        <v>3.8090066909789999</v>
      </c>
      <c r="J993" s="8">
        <v>35.668750762939403</v>
      </c>
      <c r="K993" s="8"/>
      <c r="L993" s="8">
        <v>1018</v>
      </c>
      <c r="M993" s="8">
        <v>1.87312471866607</v>
      </c>
      <c r="N993" s="8">
        <v>35.170417785644503</v>
      </c>
      <c r="P993" s="8"/>
    </row>
    <row r="994" spans="1:16" x14ac:dyDescent="0.25">
      <c r="A994" s="8">
        <f t="shared" si="57"/>
        <v>1019</v>
      </c>
      <c r="B994" s="8">
        <f t="shared" si="58"/>
        <v>1</v>
      </c>
      <c r="C994" s="8">
        <f t="shared" si="59"/>
        <v>28.379732131957908</v>
      </c>
      <c r="D994" s="8">
        <v>1019</v>
      </c>
      <c r="E994" s="8">
        <v>9.3018398284912092</v>
      </c>
      <c r="F994" s="8">
        <v>52.127265930175703</v>
      </c>
      <c r="G994" s="8"/>
      <c r="H994" s="8">
        <v>1019</v>
      </c>
      <c r="I994" s="8">
        <v>11.227393150329499</v>
      </c>
      <c r="J994" s="8">
        <v>52.672904968261697</v>
      </c>
      <c r="K994" s="8"/>
      <c r="L994" s="8">
        <v>1019</v>
      </c>
      <c r="M994" s="8">
        <v>7.8504991531371999</v>
      </c>
      <c r="N994" s="8">
        <v>52.285789489746001</v>
      </c>
      <c r="P994" s="8"/>
    </row>
    <row r="995" spans="1:16" x14ac:dyDescent="0.25">
      <c r="A995" s="8">
        <f t="shared" si="57"/>
        <v>1020</v>
      </c>
      <c r="B995" s="8">
        <f t="shared" si="58"/>
        <v>1</v>
      </c>
      <c r="C995" s="8">
        <f t="shared" si="59"/>
        <v>26.923765182495053</v>
      </c>
      <c r="D995" s="8">
        <v>1020</v>
      </c>
      <c r="E995" s="8">
        <v>8.7599821090698207</v>
      </c>
      <c r="F995" s="8">
        <v>45.154556274413999</v>
      </c>
      <c r="G995" s="8"/>
      <c r="H995" s="8">
        <v>1020</v>
      </c>
      <c r="I995" s="8">
        <v>11.023702621459901</v>
      </c>
      <c r="J995" s="8">
        <v>46.098678588867102</v>
      </c>
      <c r="K995" s="8"/>
      <c r="L995" s="8">
        <v>1020</v>
      </c>
      <c r="M995" s="8">
        <v>7.1400804519653303</v>
      </c>
      <c r="N995" s="8">
        <v>45.517105102538999</v>
      </c>
      <c r="P995" s="8"/>
    </row>
    <row r="996" spans="1:16" x14ac:dyDescent="0.25">
      <c r="A996" s="8">
        <f t="shared" si="57"/>
        <v>1021</v>
      </c>
      <c r="B996" s="8">
        <f t="shared" si="58"/>
        <v>1</v>
      </c>
      <c r="C996" s="8">
        <f t="shared" si="59"/>
        <v>31.479810714721619</v>
      </c>
      <c r="D996" s="8">
        <v>1021</v>
      </c>
      <c r="E996" s="8">
        <v>10.863805770874</v>
      </c>
      <c r="F996" s="8">
        <v>47.9406127929687</v>
      </c>
      <c r="G996" s="8"/>
      <c r="H996" s="8">
        <v>1021</v>
      </c>
      <c r="I996" s="8">
        <v>12.3085374832153</v>
      </c>
      <c r="J996" s="8">
        <v>49.418289184570298</v>
      </c>
      <c r="K996" s="8"/>
      <c r="L996" s="8">
        <v>1021</v>
      </c>
      <c r="M996" s="8">
        <v>8.3074674606323207</v>
      </c>
      <c r="N996" s="8">
        <v>48.616233825683501</v>
      </c>
      <c r="P996" s="8"/>
    </row>
    <row r="997" spans="1:16" x14ac:dyDescent="0.25">
      <c r="A997" s="8">
        <f t="shared" si="57"/>
        <v>1022</v>
      </c>
      <c r="B997" s="8">
        <f t="shared" si="58"/>
        <v>1</v>
      </c>
      <c r="C997" s="8">
        <f t="shared" si="59"/>
        <v>24.808345794677727</v>
      </c>
      <c r="D997" s="8">
        <v>1022</v>
      </c>
      <c r="E997" s="8">
        <v>9.0709486007690394</v>
      </c>
      <c r="F997" s="8">
        <v>29.845464706420898</v>
      </c>
      <c r="G997" s="8"/>
      <c r="H997" s="8">
        <v>1022</v>
      </c>
      <c r="I997" s="8">
        <v>9.0712356567382795</v>
      </c>
      <c r="J997" s="8">
        <v>30.601411819458001</v>
      </c>
      <c r="K997" s="8"/>
      <c r="L997" s="8">
        <v>1022</v>
      </c>
      <c r="M997" s="8">
        <v>6.6661615371704102</v>
      </c>
      <c r="N997" s="8">
        <v>30.10595703125</v>
      </c>
      <c r="P997" s="8"/>
    </row>
    <row r="998" spans="1:16" x14ac:dyDescent="0.25">
      <c r="A998" s="8">
        <f t="shared" si="57"/>
        <v>1047</v>
      </c>
      <c r="B998" s="8">
        <f t="shared" si="58"/>
        <v>1</v>
      </c>
      <c r="C998" s="8">
        <f t="shared" si="59"/>
        <v>41.081770896911401</v>
      </c>
      <c r="D998" s="8">
        <v>1047</v>
      </c>
      <c r="E998" s="8">
        <v>14.0808897018432</v>
      </c>
      <c r="F998" s="8">
        <v>32.266521453857401</v>
      </c>
      <c r="G998" s="8"/>
      <c r="H998" s="8">
        <v>1047</v>
      </c>
      <c r="I998" s="8">
        <v>12.3715286254882</v>
      </c>
      <c r="J998" s="8">
        <v>32.528804779052699</v>
      </c>
      <c r="K998" s="8"/>
      <c r="L998" s="8">
        <v>1047</v>
      </c>
      <c r="M998" s="8">
        <v>14.62935256958</v>
      </c>
      <c r="N998" s="8">
        <v>32.4016723632812</v>
      </c>
      <c r="P998" s="8"/>
    </row>
    <row r="999" spans="1:16" x14ac:dyDescent="0.25">
      <c r="A999" s="8">
        <f t="shared" si="57"/>
        <v>1048</v>
      </c>
      <c r="B999" s="8">
        <f t="shared" si="58"/>
        <v>1</v>
      </c>
      <c r="C999" s="8">
        <f t="shared" si="59"/>
        <v>38.936573982238762</v>
      </c>
      <c r="D999" s="8">
        <v>1048</v>
      </c>
      <c r="E999" s="8">
        <v>16.966279983520501</v>
      </c>
      <c r="F999" s="8">
        <v>32.732818603515597</v>
      </c>
      <c r="G999" s="8"/>
      <c r="H999" s="8">
        <v>1048</v>
      </c>
      <c r="I999" s="8">
        <v>14.0413761138916</v>
      </c>
      <c r="J999" s="8">
        <v>33.096965789794901</v>
      </c>
      <c r="K999" s="8"/>
      <c r="L999" s="8">
        <v>1048</v>
      </c>
      <c r="M999" s="8">
        <v>7.9289178848266602</v>
      </c>
      <c r="N999" s="8">
        <v>32.942493438720703</v>
      </c>
      <c r="P999" s="8"/>
    </row>
    <row r="1000" spans="1:16" x14ac:dyDescent="0.25">
      <c r="A1000" s="8">
        <f t="shared" si="57"/>
        <v>1049</v>
      </c>
      <c r="B1000" s="8">
        <f t="shared" si="58"/>
        <v>1</v>
      </c>
      <c r="C1000" s="8">
        <f t="shared" si="59"/>
        <v>9.5062091350555296</v>
      </c>
      <c r="D1000" s="8">
        <v>1049</v>
      </c>
      <c r="E1000" s="8">
        <v>5</v>
      </c>
      <c r="F1000" s="8">
        <v>8.5200004577636701</v>
      </c>
      <c r="G1000" s="8"/>
      <c r="H1000" s="8">
        <v>1049</v>
      </c>
      <c r="I1000" s="8">
        <v>2.4062092304229701</v>
      </c>
      <c r="J1000" s="8">
        <v>8.5200004577636701</v>
      </c>
      <c r="K1000" s="8"/>
      <c r="L1000" s="8">
        <v>1049</v>
      </c>
      <c r="M1000" s="8">
        <v>2.0999999046325599</v>
      </c>
      <c r="N1000" s="8">
        <v>8.5200004577636701</v>
      </c>
      <c r="P1000" s="8"/>
    </row>
    <row r="1001" spans="1:16" x14ac:dyDescent="0.25">
      <c r="A1001" s="8">
        <f t="shared" si="57"/>
        <v>1050</v>
      </c>
      <c r="B1001" s="8">
        <f t="shared" si="58"/>
        <v>1</v>
      </c>
      <c r="C1001" s="8">
        <f t="shared" si="59"/>
        <v>8</v>
      </c>
      <c r="D1001" s="8">
        <v>1050</v>
      </c>
      <c r="E1001" s="8">
        <v>3</v>
      </c>
      <c r="F1001" s="8">
        <v>8.5200004577636701</v>
      </c>
      <c r="G1001" s="8"/>
      <c r="H1001" s="8">
        <v>1050</v>
      </c>
      <c r="I1001" s="8">
        <v>3</v>
      </c>
      <c r="J1001" s="8">
        <v>8.5200004577636701</v>
      </c>
      <c r="K1001" s="8"/>
      <c r="L1001" s="8">
        <v>1050</v>
      </c>
      <c r="M1001" s="8">
        <v>2</v>
      </c>
      <c r="N1001" s="8">
        <v>8.5200004577636701</v>
      </c>
      <c r="P1001" s="8"/>
    </row>
    <row r="1002" spans="1:16" x14ac:dyDescent="0.25">
      <c r="G1002" s="8"/>
      <c r="K1002" s="8"/>
    </row>
    <row r="1003" spans="1:16" x14ac:dyDescent="0.25">
      <c r="B1003" s="8" t="s">
        <v>2136</v>
      </c>
      <c r="C1003" s="8" t="s">
        <v>2137</v>
      </c>
    </row>
    <row r="1004" spans="1:16" x14ac:dyDescent="0.25">
      <c r="B1004" s="14" t="str">
        <f>IF(SUM(B2:B1001)&lt;&gt;COUNT(B2:B1001),"Mismatch Error","No Error")</f>
        <v>No Error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99"/>
  <sheetViews>
    <sheetView zoomScale="80" zoomScaleNormal="80" workbookViewId="0">
      <selection activeCell="O1" sqref="O1:O1048576"/>
    </sheetView>
  </sheetViews>
  <sheetFormatPr defaultRowHeight="15" x14ac:dyDescent="0.25"/>
  <cols>
    <col min="3" max="3" width="12.42578125" customWidth="1"/>
    <col min="4" max="4" width="11.28515625" bestFit="1" customWidth="1"/>
    <col min="6" max="6" width="22.28515625" bestFit="1" customWidth="1"/>
    <col min="8" max="8" width="11.7109375" bestFit="1" customWidth="1"/>
    <col min="9" max="9" width="13.28515625" bestFit="1" customWidth="1"/>
  </cols>
  <sheetData>
    <row r="1" spans="1:17" x14ac:dyDescent="0.25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40</v>
      </c>
      <c r="G1" t="s">
        <v>323</v>
      </c>
      <c r="H1" t="s">
        <v>324</v>
      </c>
      <c r="I1" t="s">
        <v>325</v>
      </c>
      <c r="J1" t="s">
        <v>39</v>
      </c>
      <c r="K1" t="s">
        <v>317</v>
      </c>
      <c r="N1" t="s">
        <v>2158</v>
      </c>
      <c r="O1" t="s">
        <v>2159</v>
      </c>
      <c r="P1" t="s">
        <v>2160</v>
      </c>
      <c r="Q1" t="s">
        <v>2157</v>
      </c>
    </row>
    <row r="2" spans="1:17" x14ac:dyDescent="0.25">
      <c r="A2">
        <v>331</v>
      </c>
      <c r="B2">
        <v>110001</v>
      </c>
      <c r="C2">
        <v>1</v>
      </c>
      <c r="D2" t="s">
        <v>866</v>
      </c>
      <c r="E2" t="s">
        <v>327</v>
      </c>
      <c r="F2" t="s">
        <v>866</v>
      </c>
      <c r="G2">
        <v>1</v>
      </c>
      <c r="H2">
        <v>1</v>
      </c>
      <c r="I2" t="s">
        <v>43</v>
      </c>
      <c r="J2">
        <v>1001</v>
      </c>
      <c r="K2">
        <f>SUMIF(SoundCast_Data!$A$2:$A$1001,RouteID_Conversion!$H$2:$H$999,SoundCast_Data!$C$2:$C$1001)</f>
        <v>195.3637733459471</v>
      </c>
      <c r="N2">
        <v>1</v>
      </c>
      <c r="O2" t="s">
        <v>43</v>
      </c>
      <c r="P2">
        <v>1001</v>
      </c>
      <c r="Q2" s="8">
        <f>SUMIF(SoundCast_Data!$Q$2:$Q$747,RouteID_Conversion!N2,SoundCast_Data!$P$2:$P$747)</f>
        <v>610.91570281982195</v>
      </c>
    </row>
    <row r="3" spans="1:17" x14ac:dyDescent="0.25">
      <c r="A3">
        <v>239</v>
      </c>
      <c r="B3">
        <v>110002</v>
      </c>
      <c r="C3">
        <v>1</v>
      </c>
      <c r="D3" t="s">
        <v>711</v>
      </c>
      <c r="E3" t="s">
        <v>327</v>
      </c>
      <c r="F3" t="s">
        <v>711</v>
      </c>
      <c r="G3">
        <v>1</v>
      </c>
      <c r="H3">
        <v>2</v>
      </c>
      <c r="I3" t="s">
        <v>43</v>
      </c>
      <c r="J3">
        <v>1001</v>
      </c>
      <c r="K3" s="8">
        <f>SUMIF(SoundCast_Data!$A$2:$A$1001,RouteID_Conversion!$H$2:$H$999,SoundCast_Data!$C$2:$C$1001)</f>
        <v>347.03031921386616</v>
      </c>
      <c r="N3">
        <v>2</v>
      </c>
      <c r="O3" t="s">
        <v>43</v>
      </c>
      <c r="P3">
        <v>1001</v>
      </c>
      <c r="Q3" s="8">
        <f>SUMIF(SoundCast_Data!$Q$2:$Q$747,RouteID_Conversion!N3,SoundCast_Data!$P$2:$P$747)</f>
        <v>502.50543975830021</v>
      </c>
    </row>
    <row r="4" spans="1:17" x14ac:dyDescent="0.25">
      <c r="A4">
        <v>4</v>
      </c>
      <c r="B4">
        <v>110003</v>
      </c>
      <c r="C4">
        <v>1</v>
      </c>
      <c r="D4" t="s">
        <v>330</v>
      </c>
      <c r="E4" t="s">
        <v>327</v>
      </c>
      <c r="F4" t="s">
        <v>330</v>
      </c>
      <c r="G4">
        <v>1</v>
      </c>
      <c r="H4">
        <v>3</v>
      </c>
      <c r="I4" t="s">
        <v>45</v>
      </c>
      <c r="J4">
        <v>1002</v>
      </c>
      <c r="K4" s="8">
        <f>SUMIF(SoundCast_Data!$A$2:$A$1001,RouteID_Conversion!$H$2:$H$999,SoundCast_Data!$C$2:$C$1001)</f>
        <v>133.55934906005839</v>
      </c>
      <c r="N4">
        <v>3</v>
      </c>
      <c r="O4" t="s">
        <v>45</v>
      </c>
      <c r="P4">
        <v>1002</v>
      </c>
      <c r="Q4" s="8">
        <f>SUMIF(SoundCast_Data!$Q$2:$Q$747,RouteID_Conversion!N4,SoundCast_Data!$P$2:$P$747)</f>
        <v>337.59547805786059</v>
      </c>
    </row>
    <row r="5" spans="1:17" x14ac:dyDescent="0.25">
      <c r="A5">
        <v>676</v>
      </c>
      <c r="B5">
        <v>110004</v>
      </c>
      <c r="C5">
        <v>1</v>
      </c>
      <c r="D5" t="s">
        <v>1342</v>
      </c>
      <c r="E5" t="s">
        <v>327</v>
      </c>
      <c r="F5" t="s">
        <v>1342</v>
      </c>
      <c r="G5">
        <v>1</v>
      </c>
      <c r="H5">
        <v>4</v>
      </c>
      <c r="I5" t="s">
        <v>45</v>
      </c>
      <c r="J5">
        <v>1002</v>
      </c>
      <c r="K5" s="8">
        <f>SUMIF(SoundCast_Data!$A$2:$A$1001,RouteID_Conversion!$H$2:$H$999,SoundCast_Data!$C$2:$C$1001)</f>
        <v>57.590538024902202</v>
      </c>
      <c r="N5">
        <v>4</v>
      </c>
      <c r="O5" t="s">
        <v>45</v>
      </c>
      <c r="P5">
        <v>1002</v>
      </c>
      <c r="Q5" s="8">
        <f>SUMIF(SoundCast_Data!$Q$2:$Q$747,RouteID_Conversion!N5,SoundCast_Data!$P$2:$P$747)</f>
        <v>489.52625274658141</v>
      </c>
    </row>
    <row r="6" spans="1:17" x14ac:dyDescent="0.25">
      <c r="A6">
        <v>258</v>
      </c>
      <c r="B6">
        <v>110005</v>
      </c>
      <c r="C6">
        <v>1</v>
      </c>
      <c r="D6" t="s">
        <v>730</v>
      </c>
      <c r="E6" t="s">
        <v>327</v>
      </c>
      <c r="F6" t="s">
        <v>730</v>
      </c>
      <c r="G6">
        <v>1</v>
      </c>
      <c r="H6">
        <v>5</v>
      </c>
      <c r="I6" t="s">
        <v>45</v>
      </c>
      <c r="J6">
        <v>1002</v>
      </c>
      <c r="K6" s="8">
        <f>SUMIF(SoundCast_Data!$A$2:$A$1001,RouteID_Conversion!$H$2:$H$999,SoundCast_Data!$C$2:$C$1001)</f>
        <v>369.60022735595601</v>
      </c>
      <c r="N6">
        <v>5</v>
      </c>
      <c r="O6" t="s">
        <v>45</v>
      </c>
      <c r="P6">
        <v>1002</v>
      </c>
      <c r="Q6" s="8">
        <f>SUMIF(SoundCast_Data!$Q$2:$Q$747,RouteID_Conversion!N6,SoundCast_Data!$P$2:$P$747)</f>
        <v>716.32262420654172</v>
      </c>
    </row>
    <row r="7" spans="1:17" x14ac:dyDescent="0.25">
      <c r="A7">
        <v>702</v>
      </c>
      <c r="B7">
        <v>110006</v>
      </c>
      <c r="C7">
        <v>1</v>
      </c>
      <c r="D7" t="s">
        <v>1372</v>
      </c>
      <c r="E7" t="s">
        <v>327</v>
      </c>
      <c r="F7" t="s">
        <v>1372</v>
      </c>
      <c r="G7">
        <v>1</v>
      </c>
      <c r="H7">
        <v>6</v>
      </c>
      <c r="I7" t="s">
        <v>45</v>
      </c>
      <c r="J7">
        <v>1002</v>
      </c>
      <c r="K7" s="8">
        <f>SUMIF(SoundCast_Data!$A$2:$A$1001,RouteID_Conversion!$H$2:$H$999,SoundCast_Data!$C$2:$C$1001)</f>
        <v>185.91749572753889</v>
      </c>
      <c r="N7">
        <v>6</v>
      </c>
      <c r="O7" t="s">
        <v>45</v>
      </c>
      <c r="P7">
        <v>1002</v>
      </c>
      <c r="Q7" s="8">
        <f>SUMIF(SoundCast_Data!$Q$2:$Q$747,RouteID_Conversion!N7,SoundCast_Data!$P$2:$P$747)</f>
        <v>638.12449645996026</v>
      </c>
    </row>
    <row r="8" spans="1:17" x14ac:dyDescent="0.25">
      <c r="A8">
        <v>259</v>
      </c>
      <c r="B8">
        <v>110007</v>
      </c>
      <c r="C8">
        <v>1</v>
      </c>
      <c r="D8" t="s">
        <v>731</v>
      </c>
      <c r="E8" t="s">
        <v>327</v>
      </c>
      <c r="F8" t="s">
        <v>731</v>
      </c>
      <c r="G8">
        <v>1</v>
      </c>
      <c r="H8">
        <v>7</v>
      </c>
      <c r="I8" t="s">
        <v>45</v>
      </c>
      <c r="J8">
        <v>1002</v>
      </c>
      <c r="K8" s="8">
        <f>SUMIF(SoundCast_Data!$A$2:$A$1001,RouteID_Conversion!$H$2:$H$999,SoundCast_Data!$C$2:$C$1001)</f>
        <v>145.3167648315428</v>
      </c>
      <c r="N8">
        <v>7</v>
      </c>
      <c r="O8" t="s">
        <v>47</v>
      </c>
      <c r="P8">
        <v>1003</v>
      </c>
      <c r="Q8" s="8">
        <f>SUMIF(SoundCast_Data!$Q$2:$Q$747,RouteID_Conversion!N8,SoundCast_Data!$P$2:$P$747)</f>
        <v>360.71101760864252</v>
      </c>
    </row>
    <row r="9" spans="1:17" x14ac:dyDescent="0.25">
      <c r="A9">
        <v>260</v>
      </c>
      <c r="B9">
        <v>110008</v>
      </c>
      <c r="C9">
        <v>1</v>
      </c>
      <c r="D9" t="s">
        <v>732</v>
      </c>
      <c r="E9" t="s">
        <v>327</v>
      </c>
      <c r="F9" t="s">
        <v>732</v>
      </c>
      <c r="G9">
        <v>1</v>
      </c>
      <c r="H9">
        <v>8</v>
      </c>
      <c r="I9" t="s">
        <v>45</v>
      </c>
      <c r="J9">
        <v>1002</v>
      </c>
      <c r="K9" s="8">
        <f>SUMIF(SoundCast_Data!$A$2:$A$1001,RouteID_Conversion!$H$2:$H$999,SoundCast_Data!$C$2:$C$1001)</f>
        <v>190.5170249938964</v>
      </c>
      <c r="N9">
        <v>8</v>
      </c>
      <c r="O9" t="s">
        <v>47</v>
      </c>
      <c r="P9">
        <v>1003</v>
      </c>
      <c r="Q9" s="8">
        <f>SUMIF(SoundCast_Data!$Q$2:$Q$747,RouteID_Conversion!N9,SoundCast_Data!$P$2:$P$747)</f>
        <v>344.33439254760651</v>
      </c>
    </row>
    <row r="10" spans="1:17" x14ac:dyDescent="0.25">
      <c r="A10">
        <v>682</v>
      </c>
      <c r="B10">
        <v>110009</v>
      </c>
      <c r="C10">
        <v>1</v>
      </c>
      <c r="D10" t="s">
        <v>1348</v>
      </c>
      <c r="E10" t="s">
        <v>327</v>
      </c>
      <c r="F10" t="s">
        <v>1348</v>
      </c>
      <c r="G10">
        <v>1</v>
      </c>
      <c r="H10">
        <v>9</v>
      </c>
      <c r="I10" t="s">
        <v>47</v>
      </c>
      <c r="J10">
        <v>1003</v>
      </c>
      <c r="K10" s="8">
        <f>SUMIF(SoundCast_Data!$A$2:$A$1001,RouteID_Conversion!$H$2:$H$999,SoundCast_Data!$C$2:$C$1001)</f>
        <v>105.9531002044677</v>
      </c>
      <c r="N10">
        <v>9</v>
      </c>
      <c r="O10" t="s">
        <v>47</v>
      </c>
      <c r="P10">
        <v>1003</v>
      </c>
      <c r="Q10" s="8">
        <f>SUMIF(SoundCast_Data!$Q$2:$Q$747,RouteID_Conversion!N10,SoundCast_Data!$P$2:$P$747)</f>
        <v>37.518789768218994</v>
      </c>
    </row>
    <row r="11" spans="1:17" x14ac:dyDescent="0.25">
      <c r="A11">
        <v>154</v>
      </c>
      <c r="B11">
        <v>110010</v>
      </c>
      <c r="C11">
        <v>1</v>
      </c>
      <c r="D11" t="s">
        <v>562</v>
      </c>
      <c r="E11" t="s">
        <v>327</v>
      </c>
      <c r="F11" t="s">
        <v>562</v>
      </c>
      <c r="G11">
        <v>1</v>
      </c>
      <c r="H11">
        <v>10</v>
      </c>
      <c r="I11" t="s">
        <v>47</v>
      </c>
      <c r="J11">
        <v>1003</v>
      </c>
      <c r="K11" s="8">
        <f>SUMIF(SoundCast_Data!$A$2:$A$1001,RouteID_Conversion!$H$2:$H$999,SoundCast_Data!$C$2:$C$1001)</f>
        <v>135.1108589172361</v>
      </c>
      <c r="N11">
        <v>10</v>
      </c>
      <c r="O11" t="s">
        <v>47</v>
      </c>
      <c r="P11">
        <v>1003</v>
      </c>
      <c r="Q11" s="8">
        <f>SUMIF(SoundCast_Data!$Q$2:$Q$747,RouteID_Conversion!N11,SoundCast_Data!$P$2:$P$747)</f>
        <v>343.56460571288972</v>
      </c>
    </row>
    <row r="12" spans="1:17" x14ac:dyDescent="0.25">
      <c r="A12">
        <v>266</v>
      </c>
      <c r="B12">
        <v>110011</v>
      </c>
      <c r="C12">
        <v>1</v>
      </c>
      <c r="D12" t="s">
        <v>739</v>
      </c>
      <c r="E12" t="s">
        <v>327</v>
      </c>
      <c r="F12" t="s">
        <v>739</v>
      </c>
      <c r="G12">
        <v>1</v>
      </c>
      <c r="H12">
        <v>11</v>
      </c>
      <c r="I12" t="s">
        <v>47</v>
      </c>
      <c r="J12">
        <v>1003</v>
      </c>
      <c r="K12" s="8">
        <f>SUMIF(SoundCast_Data!$A$2:$A$1001,RouteID_Conversion!$H$2:$H$999,SoundCast_Data!$C$2:$C$1001)</f>
        <v>60.632341384887596</v>
      </c>
      <c r="N12">
        <v>11</v>
      </c>
      <c r="O12" t="s">
        <v>47</v>
      </c>
      <c r="P12">
        <v>1003</v>
      </c>
      <c r="Q12" s="8">
        <f>SUMIF(SoundCast_Data!$Q$2:$Q$747,RouteID_Conversion!N12,SoundCast_Data!$P$2:$P$747)</f>
        <v>180.89018440246511</v>
      </c>
    </row>
    <row r="13" spans="1:17" x14ac:dyDescent="0.25">
      <c r="A13">
        <v>267</v>
      </c>
      <c r="B13">
        <v>110012</v>
      </c>
      <c r="C13">
        <v>1</v>
      </c>
      <c r="D13" t="s">
        <v>740</v>
      </c>
      <c r="E13" t="s">
        <v>327</v>
      </c>
      <c r="F13" t="s">
        <v>740</v>
      </c>
      <c r="G13">
        <v>1</v>
      </c>
      <c r="H13">
        <v>12</v>
      </c>
      <c r="I13" t="s">
        <v>47</v>
      </c>
      <c r="J13">
        <v>1003</v>
      </c>
      <c r="K13" s="8">
        <f>SUMIF(SoundCast_Data!$A$2:$A$1001,RouteID_Conversion!$H$2:$H$999,SoundCast_Data!$C$2:$C$1001)</f>
        <v>10.722002506256089</v>
      </c>
      <c r="N13">
        <v>12</v>
      </c>
      <c r="O13" t="s">
        <v>47</v>
      </c>
      <c r="P13">
        <v>1003</v>
      </c>
      <c r="Q13" s="8">
        <f>SUMIF(SoundCast_Data!$Q$2:$Q$747,RouteID_Conversion!N13,SoundCast_Data!$P$2:$P$747)</f>
        <v>222.07079696655239</v>
      </c>
    </row>
    <row r="14" spans="1:17" x14ac:dyDescent="0.25">
      <c r="A14">
        <v>361</v>
      </c>
      <c r="B14">
        <v>110013</v>
      </c>
      <c r="C14">
        <v>1</v>
      </c>
      <c r="D14" t="s">
        <v>896</v>
      </c>
      <c r="E14" t="s">
        <v>327</v>
      </c>
      <c r="F14" t="s">
        <v>896</v>
      </c>
      <c r="G14">
        <v>1</v>
      </c>
      <c r="H14">
        <v>13</v>
      </c>
      <c r="I14" t="s">
        <v>47</v>
      </c>
      <c r="J14">
        <v>1003</v>
      </c>
      <c r="K14" s="8">
        <f>SUMIF(SoundCast_Data!$A$2:$A$1001,RouteID_Conversion!$H$2:$H$999,SoundCast_Data!$C$2:$C$1001)</f>
        <v>124.65948867797829</v>
      </c>
      <c r="N14">
        <v>13</v>
      </c>
      <c r="O14" t="s">
        <v>47</v>
      </c>
      <c r="P14">
        <v>1003</v>
      </c>
      <c r="Q14" s="8">
        <f>SUMIF(SoundCast_Data!$Q$2:$Q$747,RouteID_Conversion!N14,SoundCast_Data!$P$2:$P$747)</f>
        <v>444.41144561767499</v>
      </c>
    </row>
    <row r="15" spans="1:17" x14ac:dyDescent="0.25">
      <c r="A15">
        <v>268</v>
      </c>
      <c r="B15">
        <v>110014</v>
      </c>
      <c r="C15">
        <v>1</v>
      </c>
      <c r="D15" t="s">
        <v>741</v>
      </c>
      <c r="E15" t="s">
        <v>327</v>
      </c>
      <c r="F15" t="s">
        <v>741</v>
      </c>
      <c r="G15">
        <v>1</v>
      </c>
      <c r="H15">
        <v>14</v>
      </c>
      <c r="I15" t="s">
        <v>47</v>
      </c>
      <c r="J15">
        <v>1003</v>
      </c>
      <c r="K15" s="8">
        <f>SUMIF(SoundCast_Data!$A$2:$A$1001,RouteID_Conversion!$H$2:$H$999,SoundCast_Data!$C$2:$C$1001)</f>
        <v>32.245671272277683</v>
      </c>
      <c r="N15">
        <v>14</v>
      </c>
      <c r="O15" t="s">
        <v>49</v>
      </c>
      <c r="P15">
        <v>1004</v>
      </c>
      <c r="Q15" s="8">
        <f>SUMIF(SoundCast_Data!$Q$2:$Q$747,RouteID_Conversion!N15,SoundCast_Data!$P$2:$P$747)</f>
        <v>395.38232040405211</v>
      </c>
    </row>
    <row r="16" spans="1:17" x14ac:dyDescent="0.25">
      <c r="A16">
        <v>362</v>
      </c>
      <c r="B16">
        <v>110015</v>
      </c>
      <c r="C16">
        <v>1</v>
      </c>
      <c r="D16" t="s">
        <v>897</v>
      </c>
      <c r="E16" t="s">
        <v>327</v>
      </c>
      <c r="F16" t="s">
        <v>897</v>
      </c>
      <c r="G16">
        <v>1</v>
      </c>
      <c r="H16">
        <v>15</v>
      </c>
      <c r="I16" t="s">
        <v>47</v>
      </c>
      <c r="J16">
        <v>1003</v>
      </c>
      <c r="K16" s="8">
        <f>SUMIF(SoundCast_Data!$A$2:$A$1001,RouteID_Conversion!$H$2:$H$999,SoundCast_Data!$C$2:$C$1001)</f>
        <v>55.690862655639499</v>
      </c>
      <c r="N16">
        <v>15</v>
      </c>
      <c r="O16" t="s">
        <v>49</v>
      </c>
      <c r="P16">
        <v>1004</v>
      </c>
      <c r="Q16" s="8">
        <f>SUMIF(SoundCast_Data!$Q$2:$Q$747,RouteID_Conversion!N16,SoundCast_Data!$P$2:$P$747)</f>
        <v>446.38105010986317</v>
      </c>
    </row>
    <row r="17" spans="1:17" x14ac:dyDescent="0.25">
      <c r="A17">
        <v>363</v>
      </c>
      <c r="B17">
        <v>110016</v>
      </c>
      <c r="C17">
        <v>1</v>
      </c>
      <c r="D17" t="s">
        <v>898</v>
      </c>
      <c r="E17" t="s">
        <v>327</v>
      </c>
      <c r="F17" t="s">
        <v>898</v>
      </c>
      <c r="G17">
        <v>1</v>
      </c>
      <c r="H17">
        <v>16</v>
      </c>
      <c r="I17" t="s">
        <v>47</v>
      </c>
      <c r="J17">
        <v>1003</v>
      </c>
      <c r="K17" s="8">
        <f>SUMIF(SoundCast_Data!$A$2:$A$1001,RouteID_Conversion!$H$2:$H$999,SoundCast_Data!$C$2:$C$1001)</f>
        <v>30.37487411499011</v>
      </c>
      <c r="N17">
        <v>16</v>
      </c>
      <c r="O17" t="s">
        <v>49</v>
      </c>
      <c r="P17">
        <v>1004</v>
      </c>
      <c r="Q17" s="8">
        <f>SUMIF(SoundCast_Data!$Q$2:$Q$747,RouteID_Conversion!N17,SoundCast_Data!$P$2:$P$747)</f>
        <v>286.17217636108313</v>
      </c>
    </row>
    <row r="18" spans="1:17" x14ac:dyDescent="0.25">
      <c r="A18">
        <v>269</v>
      </c>
      <c r="B18">
        <v>110017</v>
      </c>
      <c r="C18">
        <v>1</v>
      </c>
      <c r="D18" t="s">
        <v>742</v>
      </c>
      <c r="E18" t="s">
        <v>327</v>
      </c>
      <c r="F18" t="s">
        <v>742</v>
      </c>
      <c r="G18">
        <v>1</v>
      </c>
      <c r="H18">
        <v>17</v>
      </c>
      <c r="I18" t="s">
        <v>47</v>
      </c>
      <c r="J18">
        <v>1003</v>
      </c>
      <c r="K18" s="8">
        <f>SUMIF(SoundCast_Data!$A$2:$A$1001,RouteID_Conversion!$H$2:$H$999,SoundCast_Data!$C$2:$C$1001)</f>
        <v>11.2242166996002</v>
      </c>
      <c r="N18">
        <v>17</v>
      </c>
      <c r="O18" t="s">
        <v>49</v>
      </c>
      <c r="P18">
        <v>1004</v>
      </c>
      <c r="Q18" s="8">
        <f>SUMIF(SoundCast_Data!$Q$2:$Q$747,RouteID_Conversion!N18,SoundCast_Data!$P$2:$P$747)</f>
        <v>273.28649520873972</v>
      </c>
    </row>
    <row r="19" spans="1:17" x14ac:dyDescent="0.25">
      <c r="A19">
        <v>364</v>
      </c>
      <c r="B19">
        <v>110018</v>
      </c>
      <c r="C19">
        <v>1</v>
      </c>
      <c r="D19" t="s">
        <v>899</v>
      </c>
      <c r="E19" t="s">
        <v>327</v>
      </c>
      <c r="F19" t="s">
        <v>899</v>
      </c>
      <c r="G19">
        <v>1</v>
      </c>
      <c r="H19">
        <v>18</v>
      </c>
      <c r="I19" t="s">
        <v>47</v>
      </c>
      <c r="J19">
        <v>1003</v>
      </c>
      <c r="K19" s="8">
        <f>SUMIF(SoundCast_Data!$A$2:$A$1001,RouteID_Conversion!$H$2:$H$999,SoundCast_Data!$C$2:$C$1001)</f>
        <v>134.5743255615233</v>
      </c>
      <c r="N19">
        <v>18</v>
      </c>
      <c r="O19" t="s">
        <v>51</v>
      </c>
      <c r="P19">
        <v>1005</v>
      </c>
      <c r="Q19" s="8">
        <f>SUMIF(SoundCast_Data!$Q$2:$Q$747,RouteID_Conversion!N19,SoundCast_Data!$P$2:$P$747)</f>
        <v>1207.9058380126939</v>
      </c>
    </row>
    <row r="20" spans="1:17" x14ac:dyDescent="0.25">
      <c r="A20">
        <v>542</v>
      </c>
      <c r="B20">
        <v>110019</v>
      </c>
      <c r="C20">
        <v>1</v>
      </c>
      <c r="D20" t="s">
        <v>1155</v>
      </c>
      <c r="E20" t="s">
        <v>327</v>
      </c>
      <c r="F20" t="s">
        <v>1155</v>
      </c>
      <c r="G20">
        <v>1</v>
      </c>
      <c r="H20">
        <v>19</v>
      </c>
      <c r="I20" t="s">
        <v>49</v>
      </c>
      <c r="J20">
        <v>1004</v>
      </c>
      <c r="K20" s="8">
        <f>SUMIF(SoundCast_Data!$A$2:$A$1001,RouteID_Conversion!$H$2:$H$999,SoundCast_Data!$C$2:$C$1001)</f>
        <v>29.5765056610107</v>
      </c>
      <c r="N20">
        <v>19</v>
      </c>
      <c r="O20" t="s">
        <v>51</v>
      </c>
      <c r="P20">
        <v>1005</v>
      </c>
      <c r="Q20" s="8">
        <f>SUMIF(SoundCast_Data!$Q$2:$Q$747,RouteID_Conversion!N20,SoundCast_Data!$P$2:$P$747)</f>
        <v>186.1666412353508</v>
      </c>
    </row>
    <row r="21" spans="1:17" x14ac:dyDescent="0.25">
      <c r="A21">
        <v>170</v>
      </c>
      <c r="B21">
        <v>110020</v>
      </c>
      <c r="C21">
        <v>1</v>
      </c>
      <c r="D21" t="s">
        <v>584</v>
      </c>
      <c r="E21" t="s">
        <v>327</v>
      </c>
      <c r="F21" t="s">
        <v>584</v>
      </c>
      <c r="G21">
        <v>1</v>
      </c>
      <c r="H21">
        <v>20</v>
      </c>
      <c r="I21" t="s">
        <v>49</v>
      </c>
      <c r="J21">
        <v>1004</v>
      </c>
      <c r="K21" s="8">
        <f>SUMIF(SoundCast_Data!$A$2:$A$1001,RouteID_Conversion!$H$2:$H$999,SoundCast_Data!$C$2:$C$1001)</f>
        <v>27.022169589996238</v>
      </c>
      <c r="N21">
        <v>20</v>
      </c>
      <c r="O21" t="s">
        <v>51</v>
      </c>
      <c r="P21">
        <v>1005</v>
      </c>
      <c r="Q21" s="8">
        <f>SUMIF(SoundCast_Data!$Q$2:$Q$747,RouteID_Conversion!N21,SoundCast_Data!$P$2:$P$747)</f>
        <v>1015.4544219970689</v>
      </c>
    </row>
    <row r="22" spans="1:17" x14ac:dyDescent="0.25">
      <c r="A22">
        <v>543</v>
      </c>
      <c r="B22">
        <v>110021</v>
      </c>
      <c r="C22">
        <v>1</v>
      </c>
      <c r="D22" t="s">
        <v>1156</v>
      </c>
      <c r="E22" t="s">
        <v>327</v>
      </c>
      <c r="F22" t="s">
        <v>1156</v>
      </c>
      <c r="G22">
        <v>1</v>
      </c>
      <c r="H22">
        <v>21</v>
      </c>
      <c r="I22" t="s">
        <v>49</v>
      </c>
      <c r="J22">
        <v>1004</v>
      </c>
      <c r="K22" s="8">
        <f>SUMIF(SoundCast_Data!$A$2:$A$1001,RouteID_Conversion!$H$2:$H$999,SoundCast_Data!$C$2:$C$1001)</f>
        <v>202.69797134399408</v>
      </c>
      <c r="N22">
        <v>21</v>
      </c>
      <c r="O22" t="s">
        <v>51</v>
      </c>
      <c r="P22">
        <v>1005</v>
      </c>
      <c r="Q22" s="8">
        <f>SUMIF(SoundCast_Data!$Q$2:$Q$747,RouteID_Conversion!N22,SoundCast_Data!$P$2:$P$747)</f>
        <v>1048.954925537108</v>
      </c>
    </row>
    <row r="23" spans="1:17" x14ac:dyDescent="0.25">
      <c r="A23">
        <v>544</v>
      </c>
      <c r="B23">
        <v>110022</v>
      </c>
      <c r="C23">
        <v>1</v>
      </c>
      <c r="D23" t="s">
        <v>1157</v>
      </c>
      <c r="E23" t="s">
        <v>327</v>
      </c>
      <c r="F23" t="s">
        <v>1157</v>
      </c>
      <c r="G23">
        <v>1</v>
      </c>
      <c r="H23">
        <v>22</v>
      </c>
      <c r="I23" t="s">
        <v>49</v>
      </c>
      <c r="J23">
        <v>1004</v>
      </c>
      <c r="K23" s="8">
        <f>SUMIF(SoundCast_Data!$A$2:$A$1001,RouteID_Conversion!$H$2:$H$999,SoundCast_Data!$C$2:$C$1001)</f>
        <v>135.38142776489241</v>
      </c>
      <c r="N23">
        <v>22</v>
      </c>
      <c r="O23" t="s">
        <v>51</v>
      </c>
      <c r="P23">
        <v>1005</v>
      </c>
      <c r="Q23" s="8">
        <f>SUMIF(SoundCast_Data!$Q$2:$Q$747,RouteID_Conversion!N23,SoundCast_Data!$P$2:$P$747)</f>
        <v>1028.2211914062482</v>
      </c>
    </row>
    <row r="24" spans="1:17" x14ac:dyDescent="0.25">
      <c r="A24">
        <v>367</v>
      </c>
      <c r="B24">
        <v>110023</v>
      </c>
      <c r="C24">
        <v>1</v>
      </c>
      <c r="D24" t="s">
        <v>902</v>
      </c>
      <c r="E24" t="s">
        <v>327</v>
      </c>
      <c r="F24" t="s">
        <v>902</v>
      </c>
      <c r="G24">
        <v>1</v>
      </c>
      <c r="H24">
        <v>23</v>
      </c>
      <c r="I24" t="s">
        <v>49</v>
      </c>
      <c r="J24">
        <v>1004</v>
      </c>
      <c r="K24" s="8">
        <f>SUMIF(SoundCast_Data!$A$2:$A$1001,RouteID_Conversion!$H$2:$H$999,SoundCast_Data!$C$2:$C$1001)</f>
        <v>143.3319740295409</v>
      </c>
      <c r="N24">
        <v>23</v>
      </c>
      <c r="O24" t="s">
        <v>53</v>
      </c>
      <c r="P24">
        <v>1007</v>
      </c>
      <c r="Q24" s="8">
        <f>SUMIF(SoundCast_Data!$Q$2:$Q$747,RouteID_Conversion!N24,SoundCast_Data!$P$2:$P$747)</f>
        <v>47.461306095123213</v>
      </c>
    </row>
    <row r="25" spans="1:17" x14ac:dyDescent="0.25">
      <c r="A25">
        <v>368</v>
      </c>
      <c r="B25">
        <v>110024</v>
      </c>
      <c r="C25">
        <v>1</v>
      </c>
      <c r="D25" t="s">
        <v>903</v>
      </c>
      <c r="E25" t="s">
        <v>327</v>
      </c>
      <c r="F25" t="s">
        <v>903</v>
      </c>
      <c r="G25">
        <v>1</v>
      </c>
      <c r="H25">
        <v>24</v>
      </c>
      <c r="I25" t="s">
        <v>49</v>
      </c>
      <c r="J25">
        <v>1004</v>
      </c>
      <c r="K25" s="8">
        <f>SUMIF(SoundCast_Data!$A$2:$A$1001,RouteID_Conversion!$H$2:$H$999,SoundCast_Data!$C$2:$C$1001)</f>
        <v>67.214504241943203</v>
      </c>
      <c r="N25">
        <v>24</v>
      </c>
      <c r="O25" t="s">
        <v>53</v>
      </c>
      <c r="P25">
        <v>1007</v>
      </c>
      <c r="Q25" s="8">
        <f>SUMIF(SoundCast_Data!$Q$2:$Q$747,RouteID_Conversion!N25,SoundCast_Data!$P$2:$P$747)</f>
        <v>2065.5201416015589</v>
      </c>
    </row>
    <row r="26" spans="1:17" x14ac:dyDescent="0.25">
      <c r="A26">
        <v>369</v>
      </c>
      <c r="B26">
        <v>110025</v>
      </c>
      <c r="C26">
        <v>1</v>
      </c>
      <c r="D26" t="s">
        <v>904</v>
      </c>
      <c r="E26" t="s">
        <v>327</v>
      </c>
      <c r="F26" t="s">
        <v>904</v>
      </c>
      <c r="G26">
        <v>1</v>
      </c>
      <c r="H26">
        <v>25</v>
      </c>
      <c r="I26" t="s">
        <v>49</v>
      </c>
      <c r="J26">
        <v>1004</v>
      </c>
      <c r="K26" s="8">
        <f>SUMIF(SoundCast_Data!$A$2:$A$1001,RouteID_Conversion!$H$2:$H$999,SoundCast_Data!$C$2:$C$1001)</f>
        <v>34.048545837402223</v>
      </c>
      <c r="N26">
        <v>25</v>
      </c>
      <c r="O26" t="s">
        <v>53</v>
      </c>
      <c r="P26">
        <v>1007</v>
      </c>
      <c r="Q26" s="8">
        <f>SUMIF(SoundCast_Data!$Q$2:$Q$747,RouteID_Conversion!N26,SoundCast_Data!$P$2:$P$747)</f>
        <v>1050.008010864256</v>
      </c>
    </row>
    <row r="27" spans="1:17" x14ac:dyDescent="0.25">
      <c r="A27">
        <v>270</v>
      </c>
      <c r="B27">
        <v>110026</v>
      </c>
      <c r="C27">
        <v>1</v>
      </c>
      <c r="D27" t="s">
        <v>743</v>
      </c>
      <c r="E27" t="s">
        <v>327</v>
      </c>
      <c r="F27" t="s">
        <v>743</v>
      </c>
      <c r="G27">
        <v>1</v>
      </c>
      <c r="H27">
        <v>26</v>
      </c>
      <c r="I27" t="s">
        <v>49</v>
      </c>
      <c r="J27">
        <v>1004</v>
      </c>
      <c r="K27" s="8">
        <f>SUMIF(SoundCast_Data!$A$2:$A$1001,RouteID_Conversion!$H$2:$H$999,SoundCast_Data!$C$2:$C$1001)</f>
        <v>30.401848793029639</v>
      </c>
      <c r="N27">
        <v>26</v>
      </c>
      <c r="O27" t="s">
        <v>53</v>
      </c>
      <c r="P27">
        <v>1007</v>
      </c>
      <c r="Q27" s="8">
        <f>SUMIF(SoundCast_Data!$Q$2:$Q$747,RouteID_Conversion!N27,SoundCast_Data!$P$2:$P$747)</f>
        <v>533.07612609863145</v>
      </c>
    </row>
    <row r="28" spans="1:17" x14ac:dyDescent="0.25">
      <c r="A28">
        <v>685</v>
      </c>
      <c r="B28">
        <v>110027</v>
      </c>
      <c r="C28">
        <v>1</v>
      </c>
      <c r="D28" t="s">
        <v>1351</v>
      </c>
      <c r="E28" t="s">
        <v>327</v>
      </c>
      <c r="F28" t="s">
        <v>1351</v>
      </c>
      <c r="G28">
        <v>1</v>
      </c>
      <c r="H28">
        <v>27</v>
      </c>
      <c r="I28" t="s">
        <v>51</v>
      </c>
      <c r="J28">
        <v>1005</v>
      </c>
      <c r="K28" s="8">
        <f>SUMIF(SoundCast_Data!$A$2:$A$1001,RouteID_Conversion!$H$2:$H$999,SoundCast_Data!$C$2:$C$1001)</f>
        <v>82.772125244140398</v>
      </c>
      <c r="N28">
        <v>27</v>
      </c>
      <c r="O28" t="s">
        <v>55</v>
      </c>
      <c r="P28">
        <v>1008</v>
      </c>
      <c r="Q28" s="8">
        <f>SUMIF(SoundCast_Data!$Q$2:$Q$747,RouteID_Conversion!N28,SoundCast_Data!$P$2:$P$747)</f>
        <v>1593.398254394526</v>
      </c>
    </row>
    <row r="29" spans="1:17" x14ac:dyDescent="0.25">
      <c r="A29">
        <v>272</v>
      </c>
      <c r="B29">
        <v>110028</v>
      </c>
      <c r="C29">
        <v>1</v>
      </c>
      <c r="D29" t="s">
        <v>745</v>
      </c>
      <c r="E29" t="s">
        <v>327</v>
      </c>
      <c r="F29" t="s">
        <v>745</v>
      </c>
      <c r="G29">
        <v>1</v>
      </c>
      <c r="H29">
        <v>28</v>
      </c>
      <c r="I29" t="s">
        <v>51</v>
      </c>
      <c r="J29">
        <v>1005</v>
      </c>
      <c r="K29" s="8">
        <f>SUMIF(SoundCast_Data!$A$2:$A$1001,RouteID_Conversion!$H$2:$H$999,SoundCast_Data!$C$2:$C$1001)</f>
        <v>288.8497467041006</v>
      </c>
      <c r="N29">
        <v>28</v>
      </c>
      <c r="O29" t="s">
        <v>55</v>
      </c>
      <c r="P29">
        <v>1008</v>
      </c>
      <c r="Q29" s="8">
        <f>SUMIF(SoundCast_Data!$Q$2:$Q$747,RouteID_Conversion!N29,SoundCast_Data!$P$2:$P$747)</f>
        <v>1635.2332611083968</v>
      </c>
    </row>
    <row r="30" spans="1:17" x14ac:dyDescent="0.25">
      <c r="A30">
        <v>686</v>
      </c>
      <c r="B30">
        <v>110029</v>
      </c>
      <c r="C30">
        <v>1</v>
      </c>
      <c r="D30" t="s">
        <v>1352</v>
      </c>
      <c r="E30" t="s">
        <v>327</v>
      </c>
      <c r="F30" t="s">
        <v>1352</v>
      </c>
      <c r="G30">
        <v>1</v>
      </c>
      <c r="H30">
        <v>29</v>
      </c>
      <c r="I30" t="s">
        <v>51</v>
      </c>
      <c r="J30">
        <v>1005</v>
      </c>
      <c r="K30" s="8">
        <f>SUMIF(SoundCast_Data!$A$2:$A$1001,RouteID_Conversion!$H$2:$H$999,SoundCast_Data!$C$2:$C$1001)</f>
        <v>82.203859329223505</v>
      </c>
      <c r="N30">
        <v>29</v>
      </c>
      <c r="O30" t="s">
        <v>57</v>
      </c>
      <c r="P30">
        <v>1009</v>
      </c>
      <c r="Q30" s="8">
        <f>SUMIF(SoundCast_Data!$Q$2:$Q$747,RouteID_Conversion!N30,SoundCast_Data!$P$2:$P$747)</f>
        <v>333.59329986572226</v>
      </c>
    </row>
    <row r="31" spans="1:17" x14ac:dyDescent="0.25">
      <c r="A31">
        <v>179</v>
      </c>
      <c r="B31">
        <v>110030</v>
      </c>
      <c r="C31">
        <v>1</v>
      </c>
      <c r="D31" t="s">
        <v>593</v>
      </c>
      <c r="E31" t="s">
        <v>327</v>
      </c>
      <c r="F31" t="s">
        <v>593</v>
      </c>
      <c r="G31">
        <v>1</v>
      </c>
      <c r="H31">
        <v>30</v>
      </c>
      <c r="I31" t="s">
        <v>51</v>
      </c>
      <c r="J31">
        <v>1005</v>
      </c>
      <c r="K31" s="8">
        <f>SUMIF(SoundCast_Data!$A$2:$A$1001,RouteID_Conversion!$H$2:$H$999,SoundCast_Data!$C$2:$C$1001)</f>
        <v>281.93503570556618</v>
      </c>
      <c r="N31">
        <v>30</v>
      </c>
      <c r="O31" t="s">
        <v>57</v>
      </c>
      <c r="P31">
        <v>1009</v>
      </c>
      <c r="Q31" s="8">
        <f>SUMIF(SoundCast_Data!$Q$2:$Q$747,RouteID_Conversion!N31,SoundCast_Data!$P$2:$P$747)</f>
        <v>303.84830093383709</v>
      </c>
    </row>
    <row r="32" spans="1:17" x14ac:dyDescent="0.25">
      <c r="A32">
        <v>180</v>
      </c>
      <c r="B32">
        <v>110031</v>
      </c>
      <c r="C32">
        <v>1</v>
      </c>
      <c r="D32" t="s">
        <v>594</v>
      </c>
      <c r="E32" t="s">
        <v>327</v>
      </c>
      <c r="F32" t="s">
        <v>594</v>
      </c>
      <c r="G32">
        <v>1</v>
      </c>
      <c r="H32">
        <v>31</v>
      </c>
      <c r="I32" t="s">
        <v>51</v>
      </c>
      <c r="J32">
        <v>1005</v>
      </c>
      <c r="K32" s="8">
        <f>SUMIF(SoundCast_Data!$A$2:$A$1001,RouteID_Conversion!$H$2:$H$999,SoundCast_Data!$C$2:$C$1001)</f>
        <v>140.967517852783</v>
      </c>
      <c r="N32">
        <v>31</v>
      </c>
      <c r="O32" t="s">
        <v>59</v>
      </c>
      <c r="P32">
        <v>1010</v>
      </c>
      <c r="Q32" s="8">
        <f>SUMIF(SoundCast_Data!$Q$2:$Q$747,RouteID_Conversion!N32,SoundCast_Data!$P$2:$P$747)</f>
        <v>789.15534973144406</v>
      </c>
    </row>
    <row r="33" spans="1:17" x14ac:dyDescent="0.25">
      <c r="A33">
        <v>687</v>
      </c>
      <c r="B33">
        <v>110032</v>
      </c>
      <c r="C33">
        <v>1</v>
      </c>
      <c r="D33" t="s">
        <v>1353</v>
      </c>
      <c r="E33" t="s">
        <v>327</v>
      </c>
      <c r="F33" t="s">
        <v>1353</v>
      </c>
      <c r="G33">
        <v>1</v>
      </c>
      <c r="H33">
        <v>32</v>
      </c>
      <c r="I33" t="s">
        <v>51</v>
      </c>
      <c r="J33">
        <v>1005</v>
      </c>
      <c r="K33" s="8">
        <f>SUMIF(SoundCast_Data!$A$2:$A$1001,RouteID_Conversion!$H$2:$H$999,SoundCast_Data!$C$2:$C$1001)</f>
        <v>51.787373542785502</v>
      </c>
      <c r="N33">
        <v>32</v>
      </c>
      <c r="O33" t="s">
        <v>59</v>
      </c>
      <c r="P33">
        <v>1010</v>
      </c>
      <c r="Q33" s="8">
        <f>SUMIF(SoundCast_Data!$Q$2:$Q$747,RouteID_Conversion!N33,SoundCast_Data!$P$2:$P$747)</f>
        <v>917.37818908691293</v>
      </c>
    </row>
    <row r="34" spans="1:17" x14ac:dyDescent="0.25">
      <c r="A34">
        <v>688</v>
      </c>
      <c r="B34">
        <v>110033</v>
      </c>
      <c r="C34">
        <v>1</v>
      </c>
      <c r="D34" t="s">
        <v>1354</v>
      </c>
      <c r="E34" t="s">
        <v>327</v>
      </c>
      <c r="F34" t="s">
        <v>1354</v>
      </c>
      <c r="G34">
        <v>1</v>
      </c>
      <c r="H34">
        <v>33</v>
      </c>
      <c r="I34" t="s">
        <v>51</v>
      </c>
      <c r="J34">
        <v>1005</v>
      </c>
      <c r="K34" s="8">
        <f>SUMIF(SoundCast_Data!$A$2:$A$1001,RouteID_Conversion!$H$2:$H$999,SoundCast_Data!$C$2:$C$1001)</f>
        <v>162.95755386352522</v>
      </c>
      <c r="N34">
        <v>33</v>
      </c>
      <c r="O34" t="s">
        <v>59</v>
      </c>
      <c r="P34">
        <v>1010</v>
      </c>
      <c r="Q34" s="8">
        <f>SUMIF(SoundCast_Data!$Q$2:$Q$747,RouteID_Conversion!N34,SoundCast_Data!$P$2:$P$747)</f>
        <v>0</v>
      </c>
    </row>
    <row r="35" spans="1:17" x14ac:dyDescent="0.25">
      <c r="A35">
        <v>546</v>
      </c>
      <c r="B35">
        <v>110034</v>
      </c>
      <c r="C35">
        <v>1</v>
      </c>
      <c r="D35" t="s">
        <v>1159</v>
      </c>
      <c r="E35" t="s">
        <v>327</v>
      </c>
      <c r="F35" t="s">
        <v>1159</v>
      </c>
      <c r="G35">
        <v>1</v>
      </c>
      <c r="H35">
        <v>34</v>
      </c>
      <c r="I35" t="s">
        <v>51</v>
      </c>
      <c r="J35">
        <v>1005</v>
      </c>
      <c r="K35" s="8">
        <f>SUMIF(SoundCast_Data!$A$2:$A$1001,RouteID_Conversion!$H$2:$H$999,SoundCast_Data!$C$2:$C$1001)</f>
        <v>44.583509445190195</v>
      </c>
      <c r="N35">
        <v>34</v>
      </c>
      <c r="O35" t="s">
        <v>61</v>
      </c>
      <c r="P35">
        <v>1011</v>
      </c>
      <c r="Q35" s="8">
        <f>SUMIF(SoundCast_Data!$Q$2:$Q$747,RouteID_Conversion!N35,SoundCast_Data!$P$2:$P$747)</f>
        <v>556.61180877685456</v>
      </c>
    </row>
    <row r="36" spans="1:17" x14ac:dyDescent="0.25">
      <c r="A36">
        <v>181</v>
      </c>
      <c r="B36">
        <v>110035</v>
      </c>
      <c r="C36">
        <v>1</v>
      </c>
      <c r="D36" t="s">
        <v>595</v>
      </c>
      <c r="E36" t="s">
        <v>327</v>
      </c>
      <c r="F36" t="s">
        <v>595</v>
      </c>
      <c r="G36">
        <v>1</v>
      </c>
      <c r="H36">
        <v>35</v>
      </c>
      <c r="I36" t="s">
        <v>51</v>
      </c>
      <c r="J36">
        <v>1005</v>
      </c>
      <c r="K36" s="8">
        <f>SUMIF(SoundCast_Data!$A$2:$A$1001,RouteID_Conversion!$H$2:$H$999,SoundCast_Data!$C$2:$C$1001)</f>
        <v>227.43918228149408</v>
      </c>
      <c r="N36">
        <v>35</v>
      </c>
      <c r="O36" t="s">
        <v>61</v>
      </c>
      <c r="P36">
        <v>1011</v>
      </c>
      <c r="Q36" s="8">
        <f>SUMIF(SoundCast_Data!$Q$2:$Q$747,RouteID_Conversion!N36,SoundCast_Data!$P$2:$P$747)</f>
        <v>103.20180892944329</v>
      </c>
    </row>
    <row r="37" spans="1:17" x14ac:dyDescent="0.25">
      <c r="A37">
        <v>273</v>
      </c>
      <c r="B37">
        <v>110036</v>
      </c>
      <c r="C37">
        <v>1</v>
      </c>
      <c r="D37" t="s">
        <v>746</v>
      </c>
      <c r="E37" t="s">
        <v>327</v>
      </c>
      <c r="F37" t="s">
        <v>746</v>
      </c>
      <c r="G37">
        <v>1</v>
      </c>
      <c r="H37">
        <v>36</v>
      </c>
      <c r="I37" t="s">
        <v>51</v>
      </c>
      <c r="J37">
        <v>1005</v>
      </c>
      <c r="K37" s="8">
        <f>SUMIF(SoundCast_Data!$A$2:$A$1001,RouteID_Conversion!$H$2:$H$999,SoundCast_Data!$C$2:$C$1001)</f>
        <v>319.19596099853447</v>
      </c>
      <c r="N37">
        <v>36</v>
      </c>
      <c r="O37" t="s">
        <v>61</v>
      </c>
      <c r="P37">
        <v>1011</v>
      </c>
      <c r="Q37" s="8">
        <f>SUMIF(SoundCast_Data!$Q$2:$Q$747,RouteID_Conversion!N37,SoundCast_Data!$P$2:$P$747)</f>
        <v>614.33945465087811</v>
      </c>
    </row>
    <row r="38" spans="1:17" x14ac:dyDescent="0.25">
      <c r="A38">
        <v>182</v>
      </c>
      <c r="B38">
        <v>110037</v>
      </c>
      <c r="C38">
        <v>1</v>
      </c>
      <c r="D38" t="s">
        <v>596</v>
      </c>
      <c r="E38" t="s">
        <v>327</v>
      </c>
      <c r="F38" t="s">
        <v>596</v>
      </c>
      <c r="G38">
        <v>1</v>
      </c>
      <c r="H38">
        <v>37</v>
      </c>
      <c r="I38" t="s">
        <v>51</v>
      </c>
      <c r="J38">
        <v>1005</v>
      </c>
      <c r="K38" s="8">
        <f>SUMIF(SoundCast_Data!$A$2:$A$1001,RouteID_Conversion!$H$2:$H$999,SoundCast_Data!$C$2:$C$1001)</f>
        <v>107.803928375244</v>
      </c>
      <c r="N38">
        <v>37</v>
      </c>
      <c r="O38" t="s">
        <v>61</v>
      </c>
      <c r="P38">
        <v>1011</v>
      </c>
      <c r="Q38" s="8">
        <f>SUMIF(SoundCast_Data!$Q$2:$Q$747,RouteID_Conversion!N38,SoundCast_Data!$P$2:$P$747)</f>
        <v>65.971989631652647</v>
      </c>
    </row>
    <row r="39" spans="1:17" x14ac:dyDescent="0.25">
      <c r="A39">
        <v>66</v>
      </c>
      <c r="B39">
        <v>110038</v>
      </c>
      <c r="C39">
        <v>1</v>
      </c>
      <c r="D39" t="s">
        <v>422</v>
      </c>
      <c r="E39" t="s">
        <v>327</v>
      </c>
      <c r="F39" t="s">
        <v>422</v>
      </c>
      <c r="G39">
        <v>1</v>
      </c>
      <c r="H39">
        <v>38</v>
      </c>
      <c r="I39" t="s">
        <v>53</v>
      </c>
      <c r="J39">
        <v>1007</v>
      </c>
      <c r="K39" s="8">
        <f>SUMIF(SoundCast_Data!$A$2:$A$1001,RouteID_Conversion!$H$2:$H$999,SoundCast_Data!$C$2:$C$1001)</f>
        <v>47.667512893676701</v>
      </c>
      <c r="N39">
        <v>38</v>
      </c>
      <c r="O39" t="s">
        <v>63</v>
      </c>
      <c r="P39">
        <v>1012</v>
      </c>
      <c r="Q39" s="8">
        <f>SUMIF(SoundCast_Data!$Q$2:$Q$747,RouteID_Conversion!N39,SoundCast_Data!$P$2:$P$747)</f>
        <v>69.624105453491197</v>
      </c>
    </row>
    <row r="40" spans="1:17" x14ac:dyDescent="0.25">
      <c r="A40">
        <v>275</v>
      </c>
      <c r="B40">
        <v>110039</v>
      </c>
      <c r="C40">
        <v>1</v>
      </c>
      <c r="D40" t="s">
        <v>748</v>
      </c>
      <c r="E40" t="s">
        <v>327</v>
      </c>
      <c r="F40" t="s">
        <v>748</v>
      </c>
      <c r="G40">
        <v>1</v>
      </c>
      <c r="H40">
        <v>39</v>
      </c>
      <c r="I40" t="s">
        <v>53</v>
      </c>
      <c r="J40">
        <v>1007</v>
      </c>
      <c r="K40" s="8">
        <f>SUMIF(SoundCast_Data!$A$2:$A$1001,RouteID_Conversion!$H$2:$H$999,SoundCast_Data!$C$2:$C$1001)</f>
        <v>65.562891006469599</v>
      </c>
      <c r="N40">
        <v>39</v>
      </c>
      <c r="O40" t="s">
        <v>63</v>
      </c>
      <c r="P40">
        <v>1012</v>
      </c>
      <c r="Q40" s="8">
        <f>SUMIF(SoundCast_Data!$Q$2:$Q$747,RouteID_Conversion!N40,SoundCast_Data!$P$2:$P$747)</f>
        <v>57.802079200744593</v>
      </c>
    </row>
    <row r="41" spans="1:17" x14ac:dyDescent="0.25">
      <c r="A41">
        <v>61</v>
      </c>
      <c r="B41">
        <v>110040</v>
      </c>
      <c r="C41">
        <v>1</v>
      </c>
      <c r="D41" t="s">
        <v>417</v>
      </c>
      <c r="E41" t="s">
        <v>327</v>
      </c>
      <c r="F41" t="s">
        <v>417</v>
      </c>
      <c r="G41">
        <v>1</v>
      </c>
      <c r="H41">
        <v>40</v>
      </c>
      <c r="I41" t="s">
        <v>53</v>
      </c>
      <c r="J41">
        <v>1007</v>
      </c>
      <c r="K41" s="8">
        <f>SUMIF(SoundCast_Data!$A$2:$A$1001,RouteID_Conversion!$H$2:$H$999,SoundCast_Data!$C$2:$C$1001)</f>
        <v>933.72305297851506</v>
      </c>
      <c r="N41">
        <v>40</v>
      </c>
      <c r="O41" t="s">
        <v>63</v>
      </c>
      <c r="P41">
        <v>1012</v>
      </c>
      <c r="Q41" s="8">
        <f>SUMIF(SoundCast_Data!$Q$2:$Q$747,RouteID_Conversion!N41,SoundCast_Data!$P$2:$P$747)</f>
        <v>80.340729713439799</v>
      </c>
    </row>
    <row r="42" spans="1:17" x14ac:dyDescent="0.25">
      <c r="A42">
        <v>373</v>
      </c>
      <c r="B42">
        <v>110041</v>
      </c>
      <c r="C42">
        <v>1</v>
      </c>
      <c r="D42" t="s">
        <v>908</v>
      </c>
      <c r="E42" t="s">
        <v>327</v>
      </c>
      <c r="F42" t="s">
        <v>908</v>
      </c>
      <c r="G42">
        <v>1</v>
      </c>
      <c r="H42">
        <v>41</v>
      </c>
      <c r="I42" t="s">
        <v>53</v>
      </c>
      <c r="J42">
        <v>1007</v>
      </c>
      <c r="K42" s="8">
        <f>SUMIF(SoundCast_Data!$A$2:$A$1001,RouteID_Conversion!$H$2:$H$999,SoundCast_Data!$C$2:$C$1001)</f>
        <v>132.75821685791001</v>
      </c>
      <c r="N42">
        <v>41</v>
      </c>
      <c r="O42" t="s">
        <v>63</v>
      </c>
      <c r="P42">
        <v>1012</v>
      </c>
      <c r="Q42" s="8">
        <f>SUMIF(SoundCast_Data!$Q$2:$Q$747,RouteID_Conversion!N42,SoundCast_Data!$P$2:$P$747)</f>
        <v>24.115253210067689</v>
      </c>
    </row>
    <row r="43" spans="1:17" x14ac:dyDescent="0.25">
      <c r="A43">
        <v>62</v>
      </c>
      <c r="B43">
        <v>110042</v>
      </c>
      <c r="C43">
        <v>1</v>
      </c>
      <c r="D43" t="s">
        <v>418</v>
      </c>
      <c r="E43" t="s">
        <v>327</v>
      </c>
      <c r="F43" t="s">
        <v>418</v>
      </c>
      <c r="G43">
        <v>1</v>
      </c>
      <c r="H43">
        <v>42</v>
      </c>
      <c r="I43" t="s">
        <v>53</v>
      </c>
      <c r="J43">
        <v>1007</v>
      </c>
      <c r="K43" s="8">
        <f>SUMIF(SoundCast_Data!$A$2:$A$1001,RouteID_Conversion!$H$2:$H$999,SoundCast_Data!$C$2:$C$1001)</f>
        <v>103.7469978332518</v>
      </c>
      <c r="N43">
        <v>42</v>
      </c>
      <c r="O43" t="s">
        <v>65</v>
      </c>
      <c r="P43">
        <v>1013</v>
      </c>
      <c r="Q43" s="8">
        <f>SUMIF(SoundCast_Data!$Q$2:$Q$747,RouteID_Conversion!N43,SoundCast_Data!$P$2:$P$747)</f>
        <v>81.174561500549203</v>
      </c>
    </row>
    <row r="44" spans="1:17" x14ac:dyDescent="0.25">
      <c r="A44">
        <v>374</v>
      </c>
      <c r="B44">
        <v>110043</v>
      </c>
      <c r="C44">
        <v>1</v>
      </c>
      <c r="D44" t="s">
        <v>909</v>
      </c>
      <c r="E44" t="s">
        <v>327</v>
      </c>
      <c r="F44" t="s">
        <v>909</v>
      </c>
      <c r="G44">
        <v>1</v>
      </c>
      <c r="H44">
        <v>43</v>
      </c>
      <c r="I44" t="s">
        <v>53</v>
      </c>
      <c r="J44">
        <v>1007</v>
      </c>
      <c r="K44" s="8">
        <f>SUMIF(SoundCast_Data!$A$2:$A$1001,RouteID_Conversion!$H$2:$H$999,SoundCast_Data!$C$2:$C$1001)</f>
        <v>423.74866485595504</v>
      </c>
      <c r="N44">
        <v>43</v>
      </c>
      <c r="O44" t="s">
        <v>65</v>
      </c>
      <c r="P44">
        <v>1013</v>
      </c>
      <c r="Q44" s="8">
        <f>SUMIF(SoundCast_Data!$Q$2:$Q$747,RouteID_Conversion!N44,SoundCast_Data!$P$2:$P$747)</f>
        <v>412.66144180297772</v>
      </c>
    </row>
    <row r="45" spans="1:17" x14ac:dyDescent="0.25">
      <c r="A45">
        <v>276</v>
      </c>
      <c r="B45">
        <v>110044</v>
      </c>
      <c r="C45">
        <v>1</v>
      </c>
      <c r="D45" t="s">
        <v>749</v>
      </c>
      <c r="E45" t="s">
        <v>327</v>
      </c>
      <c r="F45" t="s">
        <v>749</v>
      </c>
      <c r="G45">
        <v>1</v>
      </c>
      <c r="H45">
        <v>44</v>
      </c>
      <c r="I45" t="s">
        <v>53</v>
      </c>
      <c r="J45">
        <v>1007</v>
      </c>
      <c r="K45" s="8">
        <f>SUMIF(SoundCast_Data!$A$2:$A$1001,RouteID_Conversion!$H$2:$H$999,SoundCast_Data!$C$2:$C$1001)</f>
        <v>201.7520866394041</v>
      </c>
      <c r="N45">
        <v>44</v>
      </c>
      <c r="O45" t="s">
        <v>65</v>
      </c>
      <c r="P45">
        <v>1013</v>
      </c>
      <c r="Q45" s="8">
        <f>SUMIF(SoundCast_Data!$Q$2:$Q$747,RouteID_Conversion!N45,SoundCast_Data!$P$2:$P$747)</f>
        <v>489.85252380371088</v>
      </c>
    </row>
    <row r="46" spans="1:17" x14ac:dyDescent="0.25">
      <c r="A46">
        <v>988</v>
      </c>
      <c r="B46">
        <v>110045</v>
      </c>
      <c r="C46">
        <v>1</v>
      </c>
      <c r="D46" t="s">
        <v>1821</v>
      </c>
      <c r="E46" t="s">
        <v>327</v>
      </c>
      <c r="F46" t="s">
        <v>1821</v>
      </c>
      <c r="G46">
        <v>1</v>
      </c>
      <c r="H46">
        <v>45</v>
      </c>
      <c r="I46" t="s">
        <v>55</v>
      </c>
      <c r="J46">
        <v>1008</v>
      </c>
      <c r="K46" s="8">
        <f>SUMIF(SoundCast_Data!$A$2:$A$1001,RouteID_Conversion!$H$2:$H$999,SoundCast_Data!$C$2:$C$1001)</f>
        <v>294.89077758788983</v>
      </c>
      <c r="N46">
        <v>45</v>
      </c>
      <c r="O46" t="s">
        <v>67</v>
      </c>
      <c r="P46">
        <v>1014</v>
      </c>
      <c r="Q46" s="8">
        <f>SUMIF(SoundCast_Data!$Q$2:$Q$747,RouteID_Conversion!N46,SoundCast_Data!$P$2:$P$747)</f>
        <v>133.30064010620112</v>
      </c>
    </row>
    <row r="47" spans="1:17" x14ac:dyDescent="0.25">
      <c r="A47">
        <v>989</v>
      </c>
      <c r="B47">
        <v>110046</v>
      </c>
      <c r="C47">
        <v>1</v>
      </c>
      <c r="D47" t="s">
        <v>1822</v>
      </c>
      <c r="E47" t="s">
        <v>327</v>
      </c>
      <c r="F47" t="s">
        <v>1822</v>
      </c>
      <c r="G47">
        <v>1</v>
      </c>
      <c r="H47">
        <v>46</v>
      </c>
      <c r="I47" t="s">
        <v>55</v>
      </c>
      <c r="J47">
        <v>1008</v>
      </c>
      <c r="K47" s="8">
        <f>SUMIF(SoundCast_Data!$A$2:$A$1001,RouteID_Conversion!$H$2:$H$999,SoundCast_Data!$C$2:$C$1001)</f>
        <v>597.5509490966781</v>
      </c>
      <c r="N47">
        <v>46</v>
      </c>
      <c r="O47" t="s">
        <v>67</v>
      </c>
      <c r="P47">
        <v>1014</v>
      </c>
      <c r="Q47" s="8">
        <f>SUMIF(SoundCast_Data!$Q$2:$Q$747,RouteID_Conversion!N47,SoundCast_Data!$P$2:$P$747)</f>
        <v>61.480580329894934</v>
      </c>
    </row>
    <row r="48" spans="1:17" x14ac:dyDescent="0.25">
      <c r="A48">
        <v>990</v>
      </c>
      <c r="B48">
        <v>110047</v>
      </c>
      <c r="C48">
        <v>1</v>
      </c>
      <c r="D48" t="s">
        <v>1823</v>
      </c>
      <c r="E48" t="s">
        <v>327</v>
      </c>
      <c r="F48" t="s">
        <v>1823</v>
      </c>
      <c r="G48">
        <v>1</v>
      </c>
      <c r="H48">
        <v>47</v>
      </c>
      <c r="I48" t="s">
        <v>57</v>
      </c>
      <c r="J48">
        <v>1009</v>
      </c>
      <c r="K48" s="8">
        <f>SUMIF(SoundCast_Data!$A$2:$A$1001,RouteID_Conversion!$H$2:$H$999,SoundCast_Data!$C$2:$C$1001)</f>
        <v>377.44923400878798</v>
      </c>
      <c r="N48">
        <v>47</v>
      </c>
      <c r="O48" t="s">
        <v>67</v>
      </c>
      <c r="P48">
        <v>1014</v>
      </c>
      <c r="Q48" s="8">
        <f>SUMIF(SoundCast_Data!$Q$2:$Q$747,RouteID_Conversion!N48,SoundCast_Data!$P$2:$P$747)</f>
        <v>244.95118713378821</v>
      </c>
    </row>
    <row r="49" spans="1:17" x14ac:dyDescent="0.25">
      <c r="A49">
        <v>991</v>
      </c>
      <c r="B49">
        <v>110048</v>
      </c>
      <c r="C49">
        <v>1</v>
      </c>
      <c r="D49" t="s">
        <v>1824</v>
      </c>
      <c r="E49" t="s">
        <v>327</v>
      </c>
      <c r="F49" t="s">
        <v>1824</v>
      </c>
      <c r="G49">
        <v>1</v>
      </c>
      <c r="H49">
        <v>48</v>
      </c>
      <c r="I49" t="s">
        <v>57</v>
      </c>
      <c r="J49">
        <v>1009</v>
      </c>
      <c r="K49" s="8">
        <f>SUMIF(SoundCast_Data!$A$2:$A$1001,RouteID_Conversion!$H$2:$H$999,SoundCast_Data!$C$2:$C$1001)</f>
        <v>60.815315246581896</v>
      </c>
      <c r="N49">
        <v>48</v>
      </c>
      <c r="O49" t="s">
        <v>67</v>
      </c>
      <c r="P49">
        <v>1014</v>
      </c>
      <c r="Q49" s="8">
        <f>SUMIF(SoundCast_Data!$Q$2:$Q$747,RouteID_Conversion!N49,SoundCast_Data!$P$2:$P$747)</f>
        <v>304.21778869628878</v>
      </c>
    </row>
    <row r="50" spans="1:17" x14ac:dyDescent="0.25">
      <c r="A50">
        <v>717</v>
      </c>
      <c r="B50">
        <v>110049</v>
      </c>
      <c r="C50">
        <v>1</v>
      </c>
      <c r="D50" t="s">
        <v>1401</v>
      </c>
      <c r="E50" t="s">
        <v>327</v>
      </c>
      <c r="F50" t="s">
        <v>1401</v>
      </c>
      <c r="G50">
        <v>1</v>
      </c>
      <c r="H50">
        <v>49</v>
      </c>
      <c r="I50" t="s">
        <v>59</v>
      </c>
      <c r="J50">
        <v>1010</v>
      </c>
      <c r="K50" s="8">
        <f>SUMIF(SoundCast_Data!$A$2:$A$1001,RouteID_Conversion!$H$2:$H$999,SoundCast_Data!$C$2:$C$1001)</f>
        <v>279.16323852538972</v>
      </c>
      <c r="N50">
        <v>49</v>
      </c>
      <c r="O50" t="s">
        <v>67</v>
      </c>
      <c r="P50">
        <v>1014</v>
      </c>
      <c r="Q50" s="8">
        <f>SUMIF(SoundCast_Data!$Q$2:$Q$747,RouteID_Conversion!N50,SoundCast_Data!$P$2:$P$747)</f>
        <v>15.91926050186151</v>
      </c>
    </row>
    <row r="51" spans="1:17" x14ac:dyDescent="0.25">
      <c r="A51">
        <v>718</v>
      </c>
      <c r="B51">
        <v>110050</v>
      </c>
      <c r="C51">
        <v>1</v>
      </c>
      <c r="D51" t="s">
        <v>1402</v>
      </c>
      <c r="E51" t="s">
        <v>327</v>
      </c>
      <c r="F51" t="s">
        <v>1402</v>
      </c>
      <c r="G51">
        <v>1</v>
      </c>
      <c r="H51">
        <v>50</v>
      </c>
      <c r="I51" t="s">
        <v>59</v>
      </c>
      <c r="J51">
        <v>1010</v>
      </c>
      <c r="K51" s="8">
        <f>SUMIF(SoundCast_Data!$A$2:$A$1001,RouteID_Conversion!$H$2:$H$999,SoundCast_Data!$C$2:$C$1001)</f>
        <v>63.140523910522305</v>
      </c>
      <c r="N51">
        <v>50</v>
      </c>
      <c r="O51" t="s">
        <v>69</v>
      </c>
      <c r="P51">
        <v>1015</v>
      </c>
      <c r="Q51" s="8">
        <f>SUMIF(SoundCast_Data!$Q$2:$Q$747,RouteID_Conversion!N51,SoundCast_Data!$P$2:$P$747)</f>
        <v>961.65196990966604</v>
      </c>
    </row>
    <row r="52" spans="1:17" x14ac:dyDescent="0.25">
      <c r="A52">
        <v>332</v>
      </c>
      <c r="B52">
        <v>110051</v>
      </c>
      <c r="C52">
        <v>1</v>
      </c>
      <c r="D52" t="s">
        <v>867</v>
      </c>
      <c r="E52" t="s">
        <v>327</v>
      </c>
      <c r="F52" t="s">
        <v>867</v>
      </c>
      <c r="G52">
        <v>1</v>
      </c>
      <c r="H52">
        <v>51</v>
      </c>
      <c r="I52" t="s">
        <v>59</v>
      </c>
      <c r="J52">
        <v>1010</v>
      </c>
      <c r="K52" s="8">
        <f>SUMIF(SoundCast_Data!$A$2:$A$1001,RouteID_Conversion!$H$2:$H$999,SoundCast_Data!$C$2:$C$1001)</f>
        <v>239.96397781372011</v>
      </c>
      <c r="N52">
        <v>51</v>
      </c>
      <c r="O52" t="s">
        <v>69</v>
      </c>
      <c r="P52">
        <v>1015</v>
      </c>
      <c r="Q52" s="8">
        <f>SUMIF(SoundCast_Data!$Q$2:$Q$747,RouteID_Conversion!N52,SoundCast_Data!$P$2:$P$747)</f>
        <v>1126.5193023681632</v>
      </c>
    </row>
    <row r="53" spans="1:17" x14ac:dyDescent="0.25">
      <c r="A53">
        <v>538</v>
      </c>
      <c r="B53">
        <v>110052</v>
      </c>
      <c r="C53">
        <v>1</v>
      </c>
      <c r="D53" t="s">
        <v>1151</v>
      </c>
      <c r="E53" t="s">
        <v>327</v>
      </c>
      <c r="F53" t="s">
        <v>1151</v>
      </c>
      <c r="G53">
        <v>1</v>
      </c>
      <c r="H53">
        <v>52</v>
      </c>
      <c r="I53" t="s">
        <v>59</v>
      </c>
      <c r="J53">
        <v>1010</v>
      </c>
      <c r="K53" s="8">
        <f>SUMIF(SoundCast_Data!$A$2:$A$1001,RouteID_Conversion!$H$2:$H$999,SoundCast_Data!$C$2:$C$1001)</f>
        <v>0</v>
      </c>
      <c r="N53">
        <v>52</v>
      </c>
      <c r="O53" t="s">
        <v>69</v>
      </c>
      <c r="P53">
        <v>1015</v>
      </c>
      <c r="Q53" s="8">
        <f>SUMIF(SoundCast_Data!$Q$2:$Q$747,RouteID_Conversion!N53,SoundCast_Data!$P$2:$P$747)</f>
        <v>145.7507362365721</v>
      </c>
    </row>
    <row r="54" spans="1:17" x14ac:dyDescent="0.25">
      <c r="A54">
        <v>539</v>
      </c>
      <c r="B54">
        <v>110053</v>
      </c>
      <c r="C54">
        <v>1</v>
      </c>
      <c r="D54" t="s">
        <v>1152</v>
      </c>
      <c r="E54" t="s">
        <v>327</v>
      </c>
      <c r="F54" t="s">
        <v>1152</v>
      </c>
      <c r="G54">
        <v>1</v>
      </c>
      <c r="H54">
        <v>53</v>
      </c>
      <c r="I54" t="s">
        <v>61</v>
      </c>
      <c r="J54">
        <v>1011</v>
      </c>
      <c r="K54" s="8">
        <f>SUMIF(SoundCast_Data!$A$2:$A$1001,RouteID_Conversion!$H$2:$H$999,SoundCast_Data!$C$2:$C$1001)</f>
        <v>313.9335632324204</v>
      </c>
      <c r="N54">
        <v>53</v>
      </c>
      <c r="O54" t="s">
        <v>69</v>
      </c>
      <c r="P54">
        <v>1015</v>
      </c>
      <c r="Q54" s="8">
        <f>SUMIF(SoundCast_Data!$Q$2:$Q$747,RouteID_Conversion!N54,SoundCast_Data!$P$2:$P$747)</f>
        <v>138.02840423583979</v>
      </c>
    </row>
    <row r="55" spans="1:17" x14ac:dyDescent="0.25">
      <c r="A55">
        <v>663</v>
      </c>
      <c r="B55">
        <v>110054</v>
      </c>
      <c r="C55">
        <v>1</v>
      </c>
      <c r="D55" t="s">
        <v>1329</v>
      </c>
      <c r="E55" t="s">
        <v>327</v>
      </c>
      <c r="F55" t="s">
        <v>1329</v>
      </c>
      <c r="G55">
        <v>1</v>
      </c>
      <c r="H55">
        <v>54</v>
      </c>
      <c r="I55" t="s">
        <v>61</v>
      </c>
      <c r="J55">
        <v>1011</v>
      </c>
      <c r="K55" s="8">
        <f>SUMIF(SoundCast_Data!$A$2:$A$1001,RouteID_Conversion!$H$2:$H$999,SoundCast_Data!$C$2:$C$1001)</f>
        <v>22.05624485015867</v>
      </c>
      <c r="N55">
        <v>54</v>
      </c>
      <c r="O55" t="s">
        <v>69</v>
      </c>
      <c r="P55">
        <v>1015</v>
      </c>
      <c r="Q55" s="8">
        <f>SUMIF(SoundCast_Data!$Q$2:$Q$747,RouteID_Conversion!N55,SoundCast_Data!$P$2:$P$747)</f>
        <v>34.523366928100508</v>
      </c>
    </row>
    <row r="56" spans="1:17" x14ac:dyDescent="0.25">
      <c r="A56">
        <v>664</v>
      </c>
      <c r="B56">
        <v>110055</v>
      </c>
      <c r="C56">
        <v>1</v>
      </c>
      <c r="D56" t="s">
        <v>1330</v>
      </c>
      <c r="E56" t="s">
        <v>327</v>
      </c>
      <c r="F56" t="s">
        <v>1330</v>
      </c>
      <c r="G56">
        <v>1</v>
      </c>
      <c r="H56">
        <v>55</v>
      </c>
      <c r="I56" t="s">
        <v>61</v>
      </c>
      <c r="J56">
        <v>1011</v>
      </c>
      <c r="K56" s="8">
        <f>SUMIF(SoundCast_Data!$A$2:$A$1001,RouteID_Conversion!$H$2:$H$999,SoundCast_Data!$C$2:$C$1001)</f>
        <v>96.868049621581889</v>
      </c>
      <c r="N56">
        <v>55</v>
      </c>
      <c r="O56" t="s">
        <v>71</v>
      </c>
      <c r="P56">
        <v>1016</v>
      </c>
      <c r="Q56" s="8">
        <f>SUMIF(SoundCast_Data!$Q$2:$Q$747,RouteID_Conversion!N56,SoundCast_Data!$P$2:$P$747)</f>
        <v>1333.606018066404</v>
      </c>
    </row>
    <row r="57" spans="1:17" x14ac:dyDescent="0.25">
      <c r="A57">
        <v>540</v>
      </c>
      <c r="B57">
        <v>110056</v>
      </c>
      <c r="C57">
        <v>1</v>
      </c>
      <c r="D57" t="s">
        <v>1153</v>
      </c>
      <c r="E57" t="s">
        <v>327</v>
      </c>
      <c r="F57" t="s">
        <v>1153</v>
      </c>
      <c r="G57">
        <v>1</v>
      </c>
      <c r="H57">
        <v>56</v>
      </c>
      <c r="I57" t="s">
        <v>61</v>
      </c>
      <c r="J57">
        <v>1011</v>
      </c>
      <c r="K57" s="8">
        <f>SUMIF(SoundCast_Data!$A$2:$A$1001,RouteID_Conversion!$H$2:$H$999,SoundCast_Data!$C$2:$C$1001)</f>
        <v>355.50489044189305</v>
      </c>
      <c r="N57">
        <v>56</v>
      </c>
      <c r="O57" t="s">
        <v>71</v>
      </c>
      <c r="P57">
        <v>1016</v>
      </c>
      <c r="Q57" s="8">
        <f>SUMIF(SoundCast_Data!$Q$2:$Q$747,RouteID_Conversion!N57,SoundCast_Data!$P$2:$P$747)</f>
        <v>154.17710685729958</v>
      </c>
    </row>
    <row r="58" spans="1:17" x14ac:dyDescent="0.25">
      <c r="A58">
        <v>63</v>
      </c>
      <c r="B58">
        <v>110057</v>
      </c>
      <c r="C58">
        <v>1</v>
      </c>
      <c r="D58" t="s">
        <v>419</v>
      </c>
      <c r="E58" t="s">
        <v>327</v>
      </c>
      <c r="F58" t="s">
        <v>419</v>
      </c>
      <c r="G58">
        <v>1</v>
      </c>
      <c r="H58">
        <v>57</v>
      </c>
      <c r="I58" t="s">
        <v>63</v>
      </c>
      <c r="J58">
        <v>1012</v>
      </c>
      <c r="K58" s="8">
        <f>SUMIF(SoundCast_Data!$A$2:$A$1001,RouteID_Conversion!$H$2:$H$999,SoundCast_Data!$C$2:$C$1001)</f>
        <v>120.6431560516356</v>
      </c>
      <c r="N58">
        <v>57</v>
      </c>
      <c r="O58" t="s">
        <v>71</v>
      </c>
      <c r="P58">
        <v>1016</v>
      </c>
      <c r="Q58" s="8">
        <f>SUMIF(SoundCast_Data!$Q$2:$Q$747,RouteID_Conversion!N58,SoundCast_Data!$P$2:$P$747)</f>
        <v>1559.1991577148419</v>
      </c>
    </row>
    <row r="59" spans="1:17" x14ac:dyDescent="0.25">
      <c r="A59">
        <v>334</v>
      </c>
      <c r="B59">
        <v>110058</v>
      </c>
      <c r="C59">
        <v>1</v>
      </c>
      <c r="D59" t="s">
        <v>869</v>
      </c>
      <c r="E59" t="s">
        <v>327</v>
      </c>
      <c r="F59" t="s">
        <v>869</v>
      </c>
      <c r="G59">
        <v>1</v>
      </c>
      <c r="H59">
        <v>58</v>
      </c>
      <c r="I59" t="s">
        <v>63</v>
      </c>
      <c r="J59">
        <v>1012</v>
      </c>
      <c r="K59" s="8">
        <f>SUMIF(SoundCast_Data!$A$2:$A$1001,RouteID_Conversion!$H$2:$H$999,SoundCast_Data!$C$2:$C$1001)</f>
        <v>51.212328910827502</v>
      </c>
      <c r="N59">
        <v>58</v>
      </c>
      <c r="O59" t="s">
        <v>73</v>
      </c>
      <c r="P59">
        <v>1017</v>
      </c>
      <c r="Q59" s="8">
        <f>SUMIF(SoundCast_Data!$Q$2:$Q$747,RouteID_Conversion!N59,SoundCast_Data!$P$2:$P$747)</f>
        <v>238.58084106445247</v>
      </c>
    </row>
    <row r="60" spans="1:17" x14ac:dyDescent="0.25">
      <c r="A60">
        <v>241</v>
      </c>
      <c r="B60">
        <v>110059</v>
      </c>
      <c r="C60">
        <v>1</v>
      </c>
      <c r="D60" t="s">
        <v>713</v>
      </c>
      <c r="E60" t="s">
        <v>327</v>
      </c>
      <c r="F60" t="s">
        <v>713</v>
      </c>
      <c r="G60">
        <v>1</v>
      </c>
      <c r="H60">
        <v>59</v>
      </c>
      <c r="I60" t="s">
        <v>63</v>
      </c>
      <c r="J60">
        <v>1012</v>
      </c>
      <c r="K60" s="8">
        <f>SUMIF(SoundCast_Data!$A$2:$A$1001,RouteID_Conversion!$H$2:$H$999,SoundCast_Data!$C$2:$C$1001)</f>
        <v>88.680051803588697</v>
      </c>
      <c r="N60">
        <v>59</v>
      </c>
      <c r="O60" t="s">
        <v>73</v>
      </c>
      <c r="P60">
        <v>1017</v>
      </c>
      <c r="Q60" s="8">
        <f>SUMIF(SoundCast_Data!$Q$2:$Q$747,RouteID_Conversion!N60,SoundCast_Data!$P$2:$P$747)</f>
        <v>367.20085144042957</v>
      </c>
    </row>
    <row r="61" spans="1:17" x14ac:dyDescent="0.25">
      <c r="A61">
        <v>335</v>
      </c>
      <c r="B61">
        <v>110060</v>
      </c>
      <c r="C61">
        <v>1</v>
      </c>
      <c r="D61" t="s">
        <v>870</v>
      </c>
      <c r="E61" t="s">
        <v>327</v>
      </c>
      <c r="F61" t="s">
        <v>870</v>
      </c>
      <c r="G61">
        <v>1</v>
      </c>
      <c r="H61">
        <v>60</v>
      </c>
      <c r="I61" t="s">
        <v>63</v>
      </c>
      <c r="J61">
        <v>1012</v>
      </c>
      <c r="K61" s="8">
        <f>SUMIF(SoundCast_Data!$A$2:$A$1001,RouteID_Conversion!$H$2:$H$999,SoundCast_Data!$C$2:$C$1001)</f>
        <v>0.23303870111703778</v>
      </c>
      <c r="N61">
        <v>60</v>
      </c>
      <c r="O61" t="s">
        <v>75</v>
      </c>
      <c r="P61">
        <v>1018</v>
      </c>
      <c r="Q61" s="8">
        <f>SUMIF(SoundCast_Data!$Q$2:$Q$747,RouteID_Conversion!N61,SoundCast_Data!$P$2:$P$747)</f>
        <v>609.45571899413983</v>
      </c>
    </row>
    <row r="62" spans="1:17" x14ac:dyDescent="0.25">
      <c r="A62">
        <v>64</v>
      </c>
      <c r="B62">
        <v>110061</v>
      </c>
      <c r="C62">
        <v>1</v>
      </c>
      <c r="D62" t="s">
        <v>420</v>
      </c>
      <c r="E62" t="s">
        <v>327</v>
      </c>
      <c r="F62" t="s">
        <v>420</v>
      </c>
      <c r="G62">
        <v>1</v>
      </c>
      <c r="H62">
        <v>61</v>
      </c>
      <c r="I62" t="s">
        <v>63</v>
      </c>
      <c r="J62">
        <v>1012</v>
      </c>
      <c r="K62" s="8">
        <f>SUMIF(SoundCast_Data!$A$2:$A$1001,RouteID_Conversion!$H$2:$H$999,SoundCast_Data!$C$2:$C$1001)</f>
        <v>24.128632068634019</v>
      </c>
      <c r="N62">
        <v>61</v>
      </c>
      <c r="O62" t="s">
        <v>75</v>
      </c>
      <c r="P62">
        <v>1018</v>
      </c>
      <c r="Q62" s="8">
        <f>SUMIF(SoundCast_Data!$Q$2:$Q$747,RouteID_Conversion!N62,SoundCast_Data!$P$2:$P$747)</f>
        <v>551.19349670410065</v>
      </c>
    </row>
    <row r="63" spans="1:17" x14ac:dyDescent="0.25">
      <c r="A63">
        <v>242</v>
      </c>
      <c r="B63">
        <v>110062</v>
      </c>
      <c r="C63">
        <v>1</v>
      </c>
      <c r="D63" t="s">
        <v>714</v>
      </c>
      <c r="E63" t="s">
        <v>327</v>
      </c>
      <c r="F63" t="s">
        <v>714</v>
      </c>
      <c r="G63">
        <v>1</v>
      </c>
      <c r="H63">
        <v>62</v>
      </c>
      <c r="I63" t="s">
        <v>63</v>
      </c>
      <c r="J63">
        <v>1012</v>
      </c>
      <c r="K63" s="8">
        <f>SUMIF(SoundCast_Data!$A$2:$A$1001,RouteID_Conversion!$H$2:$H$999,SoundCast_Data!$C$2:$C$1001)</f>
        <v>20.484930992126451</v>
      </c>
      <c r="N63">
        <v>62</v>
      </c>
      <c r="O63" t="s">
        <v>75</v>
      </c>
      <c r="P63">
        <v>1018</v>
      </c>
      <c r="Q63" s="8">
        <f>SUMIF(SoundCast_Data!$Q$2:$Q$747,RouteID_Conversion!N63,SoundCast_Data!$P$2:$P$747)</f>
        <v>504.4221572875968</v>
      </c>
    </row>
    <row r="64" spans="1:17" x14ac:dyDescent="0.25">
      <c r="A64">
        <v>665</v>
      </c>
      <c r="B64">
        <v>110063</v>
      </c>
      <c r="C64">
        <v>1</v>
      </c>
      <c r="D64" t="s">
        <v>1331</v>
      </c>
      <c r="E64" t="s">
        <v>327</v>
      </c>
      <c r="F64" t="s">
        <v>1331</v>
      </c>
      <c r="G64">
        <v>1</v>
      </c>
      <c r="H64">
        <v>63</v>
      </c>
      <c r="I64" t="s">
        <v>65</v>
      </c>
      <c r="J64">
        <v>1013</v>
      </c>
      <c r="K64" s="8">
        <f>SUMIF(SoundCast_Data!$A$2:$A$1001,RouteID_Conversion!$H$2:$H$999,SoundCast_Data!$C$2:$C$1001)</f>
        <v>322.88397979736169</v>
      </c>
      <c r="N64">
        <v>63</v>
      </c>
      <c r="O64" t="s">
        <v>75</v>
      </c>
      <c r="P64">
        <v>1018</v>
      </c>
      <c r="Q64" s="8">
        <f>SUMIF(SoundCast_Data!$Q$2:$Q$747,RouteID_Conversion!N64,SoundCast_Data!$P$2:$P$747)</f>
        <v>301.51689147949151</v>
      </c>
    </row>
    <row r="65" spans="1:17" x14ac:dyDescent="0.25">
      <c r="A65">
        <v>338</v>
      </c>
      <c r="B65">
        <v>110064</v>
      </c>
      <c r="C65">
        <v>1</v>
      </c>
      <c r="D65" t="s">
        <v>873</v>
      </c>
      <c r="E65" t="s">
        <v>327</v>
      </c>
      <c r="F65" t="s">
        <v>873</v>
      </c>
      <c r="G65">
        <v>1</v>
      </c>
      <c r="H65">
        <v>64</v>
      </c>
      <c r="I65" t="s">
        <v>65</v>
      </c>
      <c r="J65">
        <v>1013</v>
      </c>
      <c r="K65" s="8">
        <f>SUMIF(SoundCast_Data!$A$2:$A$1001,RouteID_Conversion!$H$2:$H$999,SoundCast_Data!$C$2:$C$1001)</f>
        <v>185.31090927124009</v>
      </c>
      <c r="N65">
        <v>64</v>
      </c>
      <c r="O65" t="s">
        <v>79</v>
      </c>
      <c r="P65">
        <v>1021</v>
      </c>
      <c r="Q65" s="8">
        <f>SUMIF(SoundCast_Data!$Q$2:$Q$747,RouteID_Conversion!N65,SoundCast_Data!$P$2:$P$747)</f>
        <v>171.90643310546861</v>
      </c>
    </row>
    <row r="66" spans="1:17" x14ac:dyDescent="0.25">
      <c r="A66">
        <v>666</v>
      </c>
      <c r="B66">
        <v>110065</v>
      </c>
      <c r="C66">
        <v>1</v>
      </c>
      <c r="D66" t="s">
        <v>1332</v>
      </c>
      <c r="E66" t="s">
        <v>327</v>
      </c>
      <c r="F66" t="s">
        <v>1332</v>
      </c>
      <c r="G66">
        <v>1</v>
      </c>
      <c r="H66">
        <v>65</v>
      </c>
      <c r="I66" t="s">
        <v>65</v>
      </c>
      <c r="J66">
        <v>1013</v>
      </c>
      <c r="K66" s="8">
        <f>SUMIF(SoundCast_Data!$A$2:$A$1001,RouteID_Conversion!$H$2:$H$999,SoundCast_Data!$C$2:$C$1001)</f>
        <v>55.036229133605801</v>
      </c>
      <c r="N66">
        <v>65</v>
      </c>
      <c r="O66" t="s">
        <v>79</v>
      </c>
      <c r="P66">
        <v>1021</v>
      </c>
      <c r="Q66" s="8">
        <f>SUMIF(SoundCast_Data!$Q$2:$Q$747,RouteID_Conversion!N66,SoundCast_Data!$P$2:$P$747)</f>
        <v>61.304274559020861</v>
      </c>
    </row>
    <row r="67" spans="1:17" x14ac:dyDescent="0.25">
      <c r="A67">
        <v>2</v>
      </c>
      <c r="B67">
        <v>110066</v>
      </c>
      <c r="C67">
        <v>1</v>
      </c>
      <c r="D67" t="s">
        <v>328</v>
      </c>
      <c r="E67" t="s">
        <v>327</v>
      </c>
      <c r="F67" t="s">
        <v>328</v>
      </c>
      <c r="G67">
        <v>1</v>
      </c>
      <c r="H67">
        <v>66</v>
      </c>
      <c r="I67" t="s">
        <v>65</v>
      </c>
      <c r="J67">
        <v>1013</v>
      </c>
      <c r="K67" s="8">
        <f>SUMIF(SoundCast_Data!$A$2:$A$1001,RouteID_Conversion!$H$2:$H$999,SoundCast_Data!$C$2:$C$1001)</f>
        <v>176.0864906311034</v>
      </c>
      <c r="N67">
        <v>66</v>
      </c>
      <c r="O67" t="s">
        <v>79</v>
      </c>
      <c r="P67">
        <v>1021</v>
      </c>
      <c r="Q67" s="8">
        <f>SUMIF(SoundCast_Data!$Q$2:$Q$747,RouteID_Conversion!N67,SoundCast_Data!$P$2:$P$747)</f>
        <v>234.04221725463842</v>
      </c>
    </row>
    <row r="68" spans="1:17" x14ac:dyDescent="0.25">
      <c r="A68">
        <v>249</v>
      </c>
      <c r="B68">
        <v>110067</v>
      </c>
      <c r="C68">
        <v>1</v>
      </c>
      <c r="D68" t="s">
        <v>721</v>
      </c>
      <c r="E68" t="s">
        <v>327</v>
      </c>
      <c r="F68" t="s">
        <v>721</v>
      </c>
      <c r="G68">
        <v>1</v>
      </c>
      <c r="H68">
        <v>67</v>
      </c>
      <c r="I68" t="s">
        <v>67</v>
      </c>
      <c r="J68">
        <v>1014</v>
      </c>
      <c r="K68" s="8">
        <f>SUMIF(SoundCast_Data!$A$2:$A$1001,RouteID_Conversion!$H$2:$H$999,SoundCast_Data!$C$2:$C$1001)</f>
        <v>6.6362719535827495</v>
      </c>
      <c r="N68">
        <v>67</v>
      </c>
      <c r="O68" t="s">
        <v>79</v>
      </c>
      <c r="P68">
        <v>1021</v>
      </c>
      <c r="Q68" s="8">
        <f>SUMIF(SoundCast_Data!$Q$2:$Q$747,RouteID_Conversion!N68,SoundCast_Data!$P$2:$P$747)</f>
        <v>196.05826187133712</v>
      </c>
    </row>
    <row r="69" spans="1:17" x14ac:dyDescent="0.25">
      <c r="A69">
        <v>339</v>
      </c>
      <c r="B69">
        <v>110068</v>
      </c>
      <c r="C69">
        <v>1</v>
      </c>
      <c r="D69" t="s">
        <v>874</v>
      </c>
      <c r="E69" t="s">
        <v>327</v>
      </c>
      <c r="F69" t="s">
        <v>874</v>
      </c>
      <c r="G69">
        <v>1</v>
      </c>
      <c r="H69">
        <v>68</v>
      </c>
      <c r="I69" t="s">
        <v>67</v>
      </c>
      <c r="J69">
        <v>1014</v>
      </c>
      <c r="K69" s="8">
        <f>SUMIF(SoundCast_Data!$A$2:$A$1001,RouteID_Conversion!$H$2:$H$999,SoundCast_Data!$C$2:$C$1001)</f>
        <v>92.812667846679489</v>
      </c>
      <c r="N69">
        <v>68</v>
      </c>
      <c r="O69" t="s">
        <v>81</v>
      </c>
      <c r="P69">
        <v>1022</v>
      </c>
      <c r="Q69" s="8">
        <f>SUMIF(SoundCast_Data!$Q$2:$Q$747,RouteID_Conversion!N69,SoundCast_Data!$P$2:$P$747)</f>
        <v>260.22368240356411</v>
      </c>
    </row>
    <row r="70" spans="1:17" x14ac:dyDescent="0.25">
      <c r="A70">
        <v>340</v>
      </c>
      <c r="B70">
        <v>110069</v>
      </c>
      <c r="C70">
        <v>1</v>
      </c>
      <c r="D70" t="s">
        <v>875</v>
      </c>
      <c r="E70" t="s">
        <v>327</v>
      </c>
      <c r="F70" t="s">
        <v>875</v>
      </c>
      <c r="G70">
        <v>1</v>
      </c>
      <c r="H70">
        <v>69</v>
      </c>
      <c r="I70" t="s">
        <v>67</v>
      </c>
      <c r="J70">
        <v>1014</v>
      </c>
      <c r="K70" s="8">
        <f>SUMIF(SoundCast_Data!$A$2:$A$1001,RouteID_Conversion!$H$2:$H$999,SoundCast_Data!$C$2:$C$1001)</f>
        <v>39.817632675170699</v>
      </c>
      <c r="N70">
        <v>69</v>
      </c>
      <c r="O70" t="s">
        <v>81</v>
      </c>
      <c r="P70">
        <v>1022</v>
      </c>
      <c r="Q70" s="8">
        <f>SUMIF(SoundCast_Data!$Q$2:$Q$747,RouteID_Conversion!N70,SoundCast_Data!$P$2:$P$747)</f>
        <v>514.60866546630814</v>
      </c>
    </row>
    <row r="71" spans="1:17" x14ac:dyDescent="0.25">
      <c r="A71">
        <v>57</v>
      </c>
      <c r="B71">
        <v>110070</v>
      </c>
      <c r="C71">
        <v>1</v>
      </c>
      <c r="D71" t="s">
        <v>413</v>
      </c>
      <c r="E71" t="s">
        <v>327</v>
      </c>
      <c r="F71" t="s">
        <v>413</v>
      </c>
      <c r="G71">
        <v>1</v>
      </c>
      <c r="H71">
        <v>70</v>
      </c>
      <c r="I71" t="s">
        <v>67</v>
      </c>
      <c r="J71">
        <v>1014</v>
      </c>
      <c r="K71" s="8">
        <f>SUMIF(SoundCast_Data!$A$2:$A$1001,RouteID_Conversion!$H$2:$H$999,SoundCast_Data!$C$2:$C$1001)</f>
        <v>1.2490644156932811</v>
      </c>
      <c r="N71">
        <v>70</v>
      </c>
      <c r="O71" t="s">
        <v>83</v>
      </c>
      <c r="P71">
        <v>1023</v>
      </c>
      <c r="Q71" s="8">
        <f>SUMIF(SoundCast_Data!$Q$2:$Q$747,RouteID_Conversion!N71,SoundCast_Data!$P$2:$P$747)</f>
        <v>336.17658233642538</v>
      </c>
    </row>
    <row r="72" spans="1:17" x14ac:dyDescent="0.25">
      <c r="A72">
        <v>58</v>
      </c>
      <c r="B72">
        <v>110071</v>
      </c>
      <c r="C72">
        <v>1</v>
      </c>
      <c r="D72" t="s">
        <v>414</v>
      </c>
      <c r="E72" t="s">
        <v>327</v>
      </c>
      <c r="F72" t="s">
        <v>414</v>
      </c>
      <c r="G72">
        <v>1</v>
      </c>
      <c r="H72">
        <v>71</v>
      </c>
      <c r="I72" t="s">
        <v>67</v>
      </c>
      <c r="J72">
        <v>1014</v>
      </c>
      <c r="K72" s="8">
        <f>SUMIF(SoundCast_Data!$A$2:$A$1001,RouteID_Conversion!$H$2:$H$999,SoundCast_Data!$C$2:$C$1001)</f>
        <v>23.12714862823486</v>
      </c>
      <c r="N72">
        <v>71</v>
      </c>
      <c r="O72" t="s">
        <v>83</v>
      </c>
      <c r="P72">
        <v>1023</v>
      </c>
      <c r="Q72" s="8">
        <f>SUMIF(SoundCast_Data!$Q$2:$Q$747,RouteID_Conversion!N72,SoundCast_Data!$P$2:$P$747)</f>
        <v>179.00296592712309</v>
      </c>
    </row>
    <row r="73" spans="1:17" x14ac:dyDescent="0.25">
      <c r="A73">
        <v>59</v>
      </c>
      <c r="B73">
        <v>110072</v>
      </c>
      <c r="C73">
        <v>1</v>
      </c>
      <c r="D73" t="s">
        <v>415</v>
      </c>
      <c r="E73" t="s">
        <v>327</v>
      </c>
      <c r="F73" t="s">
        <v>415</v>
      </c>
      <c r="G73">
        <v>1</v>
      </c>
      <c r="H73">
        <v>72</v>
      </c>
      <c r="I73" t="s">
        <v>67</v>
      </c>
      <c r="J73">
        <v>1014</v>
      </c>
      <c r="K73" s="8">
        <f>SUMIF(SoundCast_Data!$A$2:$A$1001,RouteID_Conversion!$H$2:$H$999,SoundCast_Data!$C$2:$C$1001)</f>
        <v>218.71411132812491</v>
      </c>
      <c r="N73">
        <v>72</v>
      </c>
      <c r="O73" t="s">
        <v>85</v>
      </c>
      <c r="P73">
        <v>1024</v>
      </c>
      <c r="Q73" s="8">
        <f>SUMIF(SoundCast_Data!$Q$2:$Q$747,RouteID_Conversion!N73,SoundCast_Data!$P$2:$P$747)</f>
        <v>504.85378265380763</v>
      </c>
    </row>
    <row r="74" spans="1:17" x14ac:dyDescent="0.25">
      <c r="A74">
        <v>341</v>
      </c>
      <c r="B74">
        <v>110073</v>
      </c>
      <c r="C74">
        <v>1</v>
      </c>
      <c r="D74" t="s">
        <v>876</v>
      </c>
      <c r="E74" t="s">
        <v>327</v>
      </c>
      <c r="F74" t="s">
        <v>876</v>
      </c>
      <c r="G74">
        <v>1</v>
      </c>
      <c r="H74">
        <v>73</v>
      </c>
      <c r="I74" t="s">
        <v>67</v>
      </c>
      <c r="J74">
        <v>1014</v>
      </c>
      <c r="K74" s="8">
        <f>SUMIF(SoundCast_Data!$A$2:$A$1001,RouteID_Conversion!$H$2:$H$999,SoundCast_Data!$C$2:$C$1001)</f>
        <v>140.98360061645499</v>
      </c>
      <c r="N74">
        <v>73</v>
      </c>
      <c r="O74" t="s">
        <v>85</v>
      </c>
      <c r="P74">
        <v>1024</v>
      </c>
      <c r="Q74" s="8">
        <f>SUMIF(SoundCast_Data!$Q$2:$Q$747,RouteID_Conversion!N74,SoundCast_Data!$P$2:$P$747)</f>
        <v>530.4752426147453</v>
      </c>
    </row>
    <row r="75" spans="1:17" x14ac:dyDescent="0.25">
      <c r="A75">
        <v>130</v>
      </c>
      <c r="B75">
        <v>110074</v>
      </c>
      <c r="C75">
        <v>1</v>
      </c>
      <c r="D75" t="s">
        <v>534</v>
      </c>
      <c r="E75" t="s">
        <v>327</v>
      </c>
      <c r="F75" t="s">
        <v>534</v>
      </c>
      <c r="G75">
        <v>1</v>
      </c>
      <c r="H75">
        <v>74</v>
      </c>
      <c r="I75" t="s">
        <v>67</v>
      </c>
      <c r="J75">
        <v>1014</v>
      </c>
      <c r="K75" s="8">
        <f>SUMIF(SoundCast_Data!$A$2:$A$1001,RouteID_Conversion!$H$2:$H$999,SoundCast_Data!$C$2:$C$1001)</f>
        <v>27.00042629241943</v>
      </c>
      <c r="N75">
        <v>74</v>
      </c>
      <c r="O75" t="s">
        <v>87</v>
      </c>
      <c r="P75">
        <v>1025</v>
      </c>
      <c r="Q75" s="8">
        <f>SUMIF(SoundCast_Data!$Q$2:$Q$747,RouteID_Conversion!N75,SoundCast_Data!$P$2:$P$747)</f>
        <v>40.242261886596573</v>
      </c>
    </row>
    <row r="76" spans="1:17" x14ac:dyDescent="0.25">
      <c r="A76">
        <v>342</v>
      </c>
      <c r="B76">
        <v>110075</v>
      </c>
      <c r="C76">
        <v>1</v>
      </c>
      <c r="D76" t="s">
        <v>877</v>
      </c>
      <c r="E76" t="s">
        <v>327</v>
      </c>
      <c r="F76" t="s">
        <v>877</v>
      </c>
      <c r="G76">
        <v>1</v>
      </c>
      <c r="H76">
        <v>75</v>
      </c>
      <c r="I76" t="s">
        <v>67</v>
      </c>
      <c r="J76">
        <v>1014</v>
      </c>
      <c r="K76" s="8">
        <f>SUMIF(SoundCast_Data!$A$2:$A$1001,RouteID_Conversion!$H$2:$H$999,SoundCast_Data!$C$2:$C$1001)</f>
        <v>21.162202358245832</v>
      </c>
      <c r="N76">
        <v>75</v>
      </c>
      <c r="O76" t="s">
        <v>87</v>
      </c>
      <c r="P76">
        <v>1025</v>
      </c>
      <c r="Q76" s="8">
        <f>SUMIF(SoundCast_Data!$Q$2:$Q$747,RouteID_Conversion!N76,SoundCast_Data!$P$2:$P$747)</f>
        <v>55.878439903259206</v>
      </c>
    </row>
    <row r="77" spans="1:17" x14ac:dyDescent="0.25">
      <c r="A77">
        <v>697</v>
      </c>
      <c r="B77">
        <v>110076</v>
      </c>
      <c r="C77">
        <v>1</v>
      </c>
      <c r="D77" t="s">
        <v>1367</v>
      </c>
      <c r="E77" t="s">
        <v>327</v>
      </c>
      <c r="F77" t="s">
        <v>1367</v>
      </c>
      <c r="G77">
        <v>1</v>
      </c>
      <c r="H77">
        <v>76</v>
      </c>
      <c r="I77" t="s">
        <v>69</v>
      </c>
      <c r="J77">
        <v>1015</v>
      </c>
      <c r="K77" s="8">
        <f>SUMIF(SoundCast_Data!$A$2:$A$1001,RouteID_Conversion!$H$2:$H$999,SoundCast_Data!$C$2:$C$1001)</f>
        <v>258.0462341308592</v>
      </c>
      <c r="N77">
        <v>76</v>
      </c>
      <c r="O77" t="s">
        <v>87</v>
      </c>
      <c r="P77">
        <v>1025</v>
      </c>
      <c r="Q77" s="8">
        <f>SUMIF(SoundCast_Data!$Q$2:$Q$747,RouteID_Conversion!N77,SoundCast_Data!$P$2:$P$747)</f>
        <v>55.878439903259206</v>
      </c>
    </row>
    <row r="78" spans="1:17" x14ac:dyDescent="0.25">
      <c r="A78">
        <v>735</v>
      </c>
      <c r="B78">
        <v>110077</v>
      </c>
      <c r="C78">
        <v>1</v>
      </c>
      <c r="D78" t="s">
        <v>1430</v>
      </c>
      <c r="E78" t="s">
        <v>327</v>
      </c>
      <c r="F78" t="s">
        <v>1430</v>
      </c>
      <c r="G78">
        <v>1</v>
      </c>
      <c r="H78">
        <v>77</v>
      </c>
      <c r="I78" t="s">
        <v>69</v>
      </c>
      <c r="J78">
        <v>1015</v>
      </c>
      <c r="K78" s="8">
        <f>SUMIF(SoundCast_Data!$A$2:$A$1001,RouteID_Conversion!$H$2:$H$999,SoundCast_Data!$C$2:$C$1001)</f>
        <v>524.711486816405</v>
      </c>
      <c r="N78">
        <v>77</v>
      </c>
      <c r="O78" t="s">
        <v>87</v>
      </c>
      <c r="P78">
        <v>1025</v>
      </c>
      <c r="Q78" s="8">
        <f>SUMIF(SoundCast_Data!$Q$2:$Q$747,RouteID_Conversion!N78,SoundCast_Data!$P$2:$P$747)</f>
        <v>112.19055366516091</v>
      </c>
    </row>
    <row r="79" spans="1:17" x14ac:dyDescent="0.25">
      <c r="A79">
        <v>667</v>
      </c>
      <c r="B79">
        <v>110078</v>
      </c>
      <c r="C79">
        <v>1</v>
      </c>
      <c r="D79" t="s">
        <v>1333</v>
      </c>
      <c r="E79" t="s">
        <v>327</v>
      </c>
      <c r="F79" t="s">
        <v>1333</v>
      </c>
      <c r="G79">
        <v>1</v>
      </c>
      <c r="H79">
        <v>78</v>
      </c>
      <c r="I79" t="s">
        <v>69</v>
      </c>
      <c r="J79">
        <v>1015</v>
      </c>
      <c r="K79" s="8">
        <f>SUMIF(SoundCast_Data!$A$2:$A$1001,RouteID_Conversion!$H$2:$H$999,SoundCast_Data!$C$2:$C$1001)</f>
        <v>334.96613311767499</v>
      </c>
      <c r="N79">
        <v>78</v>
      </c>
      <c r="O79" t="s">
        <v>87</v>
      </c>
      <c r="P79">
        <v>1025</v>
      </c>
      <c r="Q79" s="8">
        <f>SUMIF(SoundCast_Data!$Q$2:$Q$747,RouteID_Conversion!N79,SoundCast_Data!$P$2:$P$747)</f>
        <v>67.688538551330495</v>
      </c>
    </row>
    <row r="80" spans="1:17" x14ac:dyDescent="0.25">
      <c r="A80">
        <v>668</v>
      </c>
      <c r="B80">
        <v>110079</v>
      </c>
      <c r="C80">
        <v>1</v>
      </c>
      <c r="D80" t="s">
        <v>1334</v>
      </c>
      <c r="E80" t="s">
        <v>327</v>
      </c>
      <c r="F80" t="s">
        <v>1334</v>
      </c>
      <c r="G80">
        <v>1</v>
      </c>
      <c r="H80">
        <v>79</v>
      </c>
      <c r="I80" t="s">
        <v>69</v>
      </c>
      <c r="J80">
        <v>1015</v>
      </c>
      <c r="K80" s="8">
        <f>SUMIF(SoundCast_Data!$A$2:$A$1001,RouteID_Conversion!$H$2:$H$999,SoundCast_Data!$C$2:$C$1001)</f>
        <v>130.6750488281248</v>
      </c>
      <c r="N80">
        <v>79</v>
      </c>
      <c r="O80" t="s">
        <v>87</v>
      </c>
      <c r="P80">
        <v>1025</v>
      </c>
      <c r="Q80" s="8">
        <f>SUMIF(SoundCast_Data!$Q$2:$Q$747,RouteID_Conversion!N80,SoundCast_Data!$P$2:$P$747)</f>
        <v>67.688538551330495</v>
      </c>
    </row>
    <row r="81" spans="1:17" x14ac:dyDescent="0.25">
      <c r="A81">
        <v>669</v>
      </c>
      <c r="B81">
        <v>110080</v>
      </c>
      <c r="C81">
        <v>1</v>
      </c>
      <c r="D81" t="s">
        <v>1335</v>
      </c>
      <c r="E81" t="s">
        <v>327</v>
      </c>
      <c r="F81" t="s">
        <v>1335</v>
      </c>
      <c r="G81">
        <v>1</v>
      </c>
      <c r="H81">
        <v>80</v>
      </c>
      <c r="I81" t="s">
        <v>69</v>
      </c>
      <c r="J81">
        <v>1015</v>
      </c>
      <c r="K81" s="8">
        <f>SUMIF(SoundCast_Data!$A$2:$A$1001,RouteID_Conversion!$H$2:$H$999,SoundCast_Data!$C$2:$C$1001)</f>
        <v>43.558356285095101</v>
      </c>
      <c r="N81">
        <v>80</v>
      </c>
      <c r="O81" t="s">
        <v>89</v>
      </c>
      <c r="P81">
        <v>1026</v>
      </c>
      <c r="Q81" s="8">
        <f>SUMIF(SoundCast_Data!$Q$2:$Q$747,RouteID_Conversion!N81,SoundCast_Data!$P$2:$P$747)</f>
        <v>312.26155471801712</v>
      </c>
    </row>
    <row r="82" spans="1:17" x14ac:dyDescent="0.25">
      <c r="A82">
        <v>698</v>
      </c>
      <c r="B82">
        <v>110081</v>
      </c>
      <c r="C82">
        <v>1</v>
      </c>
      <c r="D82" t="s">
        <v>1368</v>
      </c>
      <c r="E82" t="s">
        <v>327</v>
      </c>
      <c r="F82" t="s">
        <v>1368</v>
      </c>
      <c r="G82">
        <v>1</v>
      </c>
      <c r="H82">
        <v>81</v>
      </c>
      <c r="I82" t="s">
        <v>71</v>
      </c>
      <c r="J82">
        <v>1016</v>
      </c>
      <c r="K82" s="8">
        <f>SUMIF(SoundCast_Data!$A$2:$A$1001,RouteID_Conversion!$H$2:$H$999,SoundCast_Data!$C$2:$C$1001)</f>
        <v>417.66870117187403</v>
      </c>
      <c r="N82">
        <v>81</v>
      </c>
      <c r="O82" t="s">
        <v>89</v>
      </c>
      <c r="P82">
        <v>1026</v>
      </c>
      <c r="Q82" s="8">
        <f>SUMIF(SoundCast_Data!$Q$2:$Q$747,RouteID_Conversion!N82,SoundCast_Data!$P$2:$P$747)</f>
        <v>451.38218688964815</v>
      </c>
    </row>
    <row r="83" spans="1:17" x14ac:dyDescent="0.25">
      <c r="A83">
        <v>699</v>
      </c>
      <c r="B83">
        <v>110082</v>
      </c>
      <c r="C83">
        <v>1</v>
      </c>
      <c r="D83" t="s">
        <v>1369</v>
      </c>
      <c r="E83" t="s">
        <v>327</v>
      </c>
      <c r="F83" t="s">
        <v>1369</v>
      </c>
      <c r="G83">
        <v>1</v>
      </c>
      <c r="H83">
        <v>82</v>
      </c>
      <c r="I83" t="s">
        <v>71</v>
      </c>
      <c r="J83">
        <v>1016</v>
      </c>
      <c r="K83" s="8">
        <f>SUMIF(SoundCast_Data!$A$2:$A$1001,RouteID_Conversion!$H$2:$H$999,SoundCast_Data!$C$2:$C$1001)</f>
        <v>493.91931152343602</v>
      </c>
      <c r="N83">
        <v>82</v>
      </c>
      <c r="O83" t="s">
        <v>91</v>
      </c>
      <c r="P83">
        <v>1027</v>
      </c>
      <c r="Q83" s="8">
        <f>SUMIF(SoundCast_Data!$Q$2:$Q$747,RouteID_Conversion!N83,SoundCast_Data!$P$2:$P$747)</f>
        <v>189.90595245361237</v>
      </c>
    </row>
    <row r="84" spans="1:17" x14ac:dyDescent="0.25">
      <c r="A84">
        <v>700</v>
      </c>
      <c r="B84">
        <v>110083</v>
      </c>
      <c r="C84">
        <v>1</v>
      </c>
      <c r="D84" t="s">
        <v>1370</v>
      </c>
      <c r="E84" t="s">
        <v>327</v>
      </c>
      <c r="F84" t="s">
        <v>1370</v>
      </c>
      <c r="G84">
        <v>1</v>
      </c>
      <c r="H84">
        <v>83</v>
      </c>
      <c r="I84" t="s">
        <v>71</v>
      </c>
      <c r="J84">
        <v>1016</v>
      </c>
      <c r="K84" s="8">
        <f>SUMIF(SoundCast_Data!$A$2:$A$1001,RouteID_Conversion!$H$2:$H$999,SoundCast_Data!$C$2:$C$1001)</f>
        <v>120.7358245849608</v>
      </c>
      <c r="N84">
        <v>83</v>
      </c>
      <c r="O84" t="s">
        <v>91</v>
      </c>
      <c r="P84">
        <v>1027</v>
      </c>
      <c r="Q84" s="8">
        <f>SUMIF(SoundCast_Data!$Q$2:$Q$747,RouteID_Conversion!N84,SoundCast_Data!$P$2:$P$747)</f>
        <v>75.182633399963294</v>
      </c>
    </row>
    <row r="85" spans="1:17" x14ac:dyDescent="0.25">
      <c r="A85">
        <v>252</v>
      </c>
      <c r="B85">
        <v>110084</v>
      </c>
      <c r="C85">
        <v>1</v>
      </c>
      <c r="D85" t="s">
        <v>724</v>
      </c>
      <c r="E85" t="s">
        <v>327</v>
      </c>
      <c r="F85" t="s">
        <v>724</v>
      </c>
      <c r="G85">
        <v>1</v>
      </c>
      <c r="H85">
        <v>84</v>
      </c>
      <c r="I85" t="s">
        <v>73</v>
      </c>
      <c r="J85">
        <v>1017</v>
      </c>
      <c r="K85" s="8">
        <f>SUMIF(SoundCast_Data!$A$2:$A$1001,RouteID_Conversion!$H$2:$H$999,SoundCast_Data!$C$2:$C$1001)</f>
        <v>202.19485092163069</v>
      </c>
      <c r="N85">
        <v>84</v>
      </c>
      <c r="O85" t="s">
        <v>93</v>
      </c>
      <c r="P85">
        <v>1028</v>
      </c>
      <c r="Q85" s="8">
        <f>SUMIF(SoundCast_Data!$Q$2:$Q$747,RouteID_Conversion!N85,SoundCast_Data!$P$2:$P$747)</f>
        <v>414.73065185546801</v>
      </c>
    </row>
    <row r="86" spans="1:17" x14ac:dyDescent="0.25">
      <c r="A86">
        <v>346</v>
      </c>
      <c r="B86">
        <v>110085</v>
      </c>
      <c r="C86">
        <v>1</v>
      </c>
      <c r="D86" t="s">
        <v>881</v>
      </c>
      <c r="E86" t="s">
        <v>327</v>
      </c>
      <c r="F86" t="s">
        <v>881</v>
      </c>
      <c r="G86">
        <v>1</v>
      </c>
      <c r="H86">
        <v>85</v>
      </c>
      <c r="I86" t="s">
        <v>73</v>
      </c>
      <c r="J86">
        <v>1017</v>
      </c>
      <c r="K86" s="8">
        <f>SUMIF(SoundCast_Data!$A$2:$A$1001,RouteID_Conversion!$H$2:$H$999,SoundCast_Data!$C$2:$C$1001)</f>
        <v>139.13292694091791</v>
      </c>
      <c r="N86">
        <v>85</v>
      </c>
      <c r="O86" t="s">
        <v>93</v>
      </c>
      <c r="P86">
        <v>1028</v>
      </c>
      <c r="Q86" s="8">
        <f>SUMIF(SoundCast_Data!$Q$2:$Q$747,RouteID_Conversion!N86,SoundCast_Data!$P$2:$P$747)</f>
        <v>456.54358673095612</v>
      </c>
    </row>
    <row r="87" spans="1:17" x14ac:dyDescent="0.25">
      <c r="A87">
        <v>347</v>
      </c>
      <c r="B87">
        <v>110086</v>
      </c>
      <c r="C87">
        <v>1</v>
      </c>
      <c r="D87" t="s">
        <v>882</v>
      </c>
      <c r="E87" t="s">
        <v>327</v>
      </c>
      <c r="F87" t="s">
        <v>882</v>
      </c>
      <c r="G87">
        <v>1</v>
      </c>
      <c r="H87">
        <v>86</v>
      </c>
      <c r="I87" t="s">
        <v>73</v>
      </c>
      <c r="J87">
        <v>1017</v>
      </c>
      <c r="K87" s="8">
        <f>SUMIF(SoundCast_Data!$A$2:$A$1001,RouteID_Conversion!$H$2:$H$999,SoundCast_Data!$C$2:$C$1001)</f>
        <v>271.04414367675724</v>
      </c>
      <c r="N87">
        <v>86</v>
      </c>
      <c r="O87" t="s">
        <v>95</v>
      </c>
      <c r="P87">
        <v>1030</v>
      </c>
      <c r="Q87" s="8">
        <f>SUMIF(SoundCast_Data!$Q$2:$Q$747,RouteID_Conversion!N87,SoundCast_Data!$P$2:$P$747)</f>
        <v>362.76525115966712</v>
      </c>
    </row>
    <row r="88" spans="1:17" x14ac:dyDescent="0.25">
      <c r="A88">
        <v>670</v>
      </c>
      <c r="B88">
        <v>110087</v>
      </c>
      <c r="C88">
        <v>1</v>
      </c>
      <c r="D88" t="s">
        <v>1336</v>
      </c>
      <c r="E88" t="s">
        <v>327</v>
      </c>
      <c r="F88" t="s">
        <v>1336</v>
      </c>
      <c r="G88">
        <v>1</v>
      </c>
      <c r="H88">
        <v>87</v>
      </c>
      <c r="I88" t="s">
        <v>73</v>
      </c>
      <c r="J88">
        <v>1017</v>
      </c>
      <c r="K88" s="8">
        <f>SUMIF(SoundCast_Data!$A$2:$A$1001,RouteID_Conversion!$H$2:$H$999,SoundCast_Data!$C$2:$C$1001)</f>
        <v>76.785028457641502</v>
      </c>
      <c r="N88">
        <v>87</v>
      </c>
      <c r="O88" t="s">
        <v>95</v>
      </c>
      <c r="P88">
        <v>1030</v>
      </c>
      <c r="Q88" s="8">
        <f>SUMIF(SoundCast_Data!$Q$2:$Q$747,RouteID_Conversion!N88,SoundCast_Data!$P$2:$P$747)</f>
        <v>691.60415649413903</v>
      </c>
    </row>
    <row r="89" spans="1:17" x14ac:dyDescent="0.25">
      <c r="A89">
        <v>671</v>
      </c>
      <c r="B89">
        <v>110088</v>
      </c>
      <c r="C89">
        <v>1</v>
      </c>
      <c r="D89" t="s">
        <v>1337</v>
      </c>
      <c r="E89" t="s">
        <v>327</v>
      </c>
      <c r="F89" t="s">
        <v>1337</v>
      </c>
      <c r="G89">
        <v>1</v>
      </c>
      <c r="H89">
        <v>88</v>
      </c>
      <c r="I89" t="s">
        <v>73</v>
      </c>
      <c r="J89">
        <v>1017</v>
      </c>
      <c r="K89" s="8">
        <f>SUMIF(SoundCast_Data!$A$2:$A$1001,RouteID_Conversion!$H$2:$H$999,SoundCast_Data!$C$2:$C$1001)</f>
        <v>85.161472320556499</v>
      </c>
      <c r="N89">
        <v>88</v>
      </c>
      <c r="O89" t="s">
        <v>97</v>
      </c>
      <c r="P89">
        <v>1031</v>
      </c>
      <c r="Q89" s="8">
        <f>SUMIF(SoundCast_Data!$Q$2:$Q$747,RouteID_Conversion!N89,SoundCast_Data!$P$2:$P$747)</f>
        <v>343.67849349975529</v>
      </c>
    </row>
    <row r="90" spans="1:17" x14ac:dyDescent="0.25">
      <c r="A90">
        <v>253</v>
      </c>
      <c r="B90">
        <v>110089</v>
      </c>
      <c r="C90">
        <v>1</v>
      </c>
      <c r="D90" t="s">
        <v>725</v>
      </c>
      <c r="E90" t="s">
        <v>327</v>
      </c>
      <c r="F90" t="s">
        <v>725</v>
      </c>
      <c r="G90">
        <v>1</v>
      </c>
      <c r="H90">
        <v>89</v>
      </c>
      <c r="I90" t="s">
        <v>73</v>
      </c>
      <c r="J90">
        <v>1017</v>
      </c>
      <c r="K90" s="8">
        <f>SUMIF(SoundCast_Data!$A$2:$A$1001,RouteID_Conversion!$H$2:$H$999,SoundCast_Data!$C$2:$C$1001)</f>
        <v>29.761575698852432</v>
      </c>
      <c r="N90">
        <v>89</v>
      </c>
      <c r="O90" t="s">
        <v>97</v>
      </c>
      <c r="P90">
        <v>1031</v>
      </c>
      <c r="Q90" s="8">
        <f>SUMIF(SoundCast_Data!$Q$2:$Q$747,RouteID_Conversion!N90,SoundCast_Data!$P$2:$P$747)</f>
        <v>72.076668739318706</v>
      </c>
    </row>
    <row r="91" spans="1:17" x14ac:dyDescent="0.25">
      <c r="A91">
        <v>46</v>
      </c>
      <c r="B91">
        <v>110090</v>
      </c>
      <c r="C91">
        <v>1</v>
      </c>
      <c r="D91" t="s">
        <v>402</v>
      </c>
      <c r="E91" t="s">
        <v>327</v>
      </c>
      <c r="F91" t="s">
        <v>402</v>
      </c>
      <c r="G91">
        <v>1</v>
      </c>
      <c r="H91">
        <v>90</v>
      </c>
      <c r="I91" t="s">
        <v>75</v>
      </c>
      <c r="J91">
        <v>1018</v>
      </c>
      <c r="K91" s="8">
        <f>SUMIF(SoundCast_Data!$A$2:$A$1001,RouteID_Conversion!$H$2:$H$999,SoundCast_Data!$C$2:$C$1001)</f>
        <v>474.32614898681493</v>
      </c>
      <c r="N91">
        <v>90</v>
      </c>
      <c r="O91" t="s">
        <v>97</v>
      </c>
      <c r="P91">
        <v>1031</v>
      </c>
      <c r="Q91" s="8">
        <f>SUMIF(SoundCast_Data!$Q$2:$Q$747,RouteID_Conversion!N91,SoundCast_Data!$P$2:$P$747)</f>
        <v>420.11110305786042</v>
      </c>
    </row>
    <row r="92" spans="1:17" x14ac:dyDescent="0.25">
      <c r="A92">
        <v>672</v>
      </c>
      <c r="B92">
        <v>110091</v>
      </c>
      <c r="C92">
        <v>1</v>
      </c>
      <c r="D92" t="s">
        <v>1338</v>
      </c>
      <c r="E92" t="s">
        <v>327</v>
      </c>
      <c r="F92" t="s">
        <v>1338</v>
      </c>
      <c r="G92">
        <v>1</v>
      </c>
      <c r="H92">
        <v>91</v>
      </c>
      <c r="I92" t="s">
        <v>75</v>
      </c>
      <c r="J92">
        <v>1018</v>
      </c>
      <c r="K92" s="8">
        <f>SUMIF(SoundCast_Data!$A$2:$A$1001,RouteID_Conversion!$H$2:$H$999,SoundCast_Data!$C$2:$C$1001)</f>
        <v>83.074914932250806</v>
      </c>
      <c r="N92">
        <v>91</v>
      </c>
      <c r="O92" t="s">
        <v>99</v>
      </c>
      <c r="P92">
        <v>1033</v>
      </c>
      <c r="Q92" s="8">
        <f>SUMIF(SoundCast_Data!$Q$2:$Q$747,RouteID_Conversion!N92,SoundCast_Data!$P$2:$P$747)</f>
        <v>372.91473388671784</v>
      </c>
    </row>
    <row r="93" spans="1:17" x14ac:dyDescent="0.25">
      <c r="A93">
        <v>673</v>
      </c>
      <c r="B93">
        <v>110092</v>
      </c>
      <c r="C93">
        <v>1</v>
      </c>
      <c r="D93" t="s">
        <v>1339</v>
      </c>
      <c r="E93" t="s">
        <v>327</v>
      </c>
      <c r="F93" t="s">
        <v>1339</v>
      </c>
      <c r="G93">
        <v>1</v>
      </c>
      <c r="H93">
        <v>92</v>
      </c>
      <c r="I93" t="s">
        <v>75</v>
      </c>
      <c r="J93">
        <v>1018</v>
      </c>
      <c r="K93" s="8">
        <f>SUMIF(SoundCast_Data!$A$2:$A$1001,RouteID_Conversion!$H$2:$H$999,SoundCast_Data!$C$2:$C$1001)</f>
        <v>147.8629074096678</v>
      </c>
      <c r="N93">
        <v>92</v>
      </c>
      <c r="O93" t="s">
        <v>99</v>
      </c>
      <c r="P93">
        <v>1033</v>
      </c>
      <c r="Q93" s="8">
        <f>SUMIF(SoundCast_Data!$Q$2:$Q$747,RouteID_Conversion!N93,SoundCast_Data!$P$2:$P$747)</f>
        <v>241.57933044433551</v>
      </c>
    </row>
    <row r="94" spans="1:17" x14ac:dyDescent="0.25">
      <c r="A94">
        <v>674</v>
      </c>
      <c r="B94">
        <v>110093</v>
      </c>
      <c r="C94">
        <v>1</v>
      </c>
      <c r="D94" t="s">
        <v>1340</v>
      </c>
      <c r="E94" t="s">
        <v>327</v>
      </c>
      <c r="F94" t="s">
        <v>1340</v>
      </c>
      <c r="G94">
        <v>1</v>
      </c>
      <c r="H94">
        <v>93</v>
      </c>
      <c r="I94" t="s">
        <v>75</v>
      </c>
      <c r="J94">
        <v>1018</v>
      </c>
      <c r="K94" s="8">
        <f>SUMIF(SoundCast_Data!$A$2:$A$1001,RouteID_Conversion!$H$2:$H$999,SoundCast_Data!$C$2:$C$1001)</f>
        <v>40.625304222106799</v>
      </c>
      <c r="N94">
        <v>93</v>
      </c>
      <c r="O94" t="s">
        <v>105</v>
      </c>
      <c r="P94">
        <v>1036</v>
      </c>
      <c r="Q94" s="8">
        <f>SUMIF(SoundCast_Data!$Q$2:$Q$747,RouteID_Conversion!N94,SoundCast_Data!$P$2:$P$747)</f>
        <v>673.78974914550599</v>
      </c>
    </row>
    <row r="95" spans="1:17" x14ac:dyDescent="0.25">
      <c r="A95">
        <v>701</v>
      </c>
      <c r="B95">
        <v>110094</v>
      </c>
      <c r="C95">
        <v>1</v>
      </c>
      <c r="D95" t="s">
        <v>1371</v>
      </c>
      <c r="E95" t="s">
        <v>327</v>
      </c>
      <c r="F95" t="s">
        <v>1371</v>
      </c>
      <c r="G95">
        <v>1</v>
      </c>
      <c r="H95">
        <v>94</v>
      </c>
      <c r="I95" t="s">
        <v>75</v>
      </c>
      <c r="J95">
        <v>1018</v>
      </c>
      <c r="K95" s="8">
        <f>SUMIF(SoundCast_Data!$A$2:$A$1001,RouteID_Conversion!$H$2:$H$999,SoundCast_Data!$C$2:$C$1001)</f>
        <v>204.93409729003889</v>
      </c>
      <c r="N95">
        <v>94</v>
      </c>
      <c r="O95" t="s">
        <v>105</v>
      </c>
      <c r="P95">
        <v>1036</v>
      </c>
      <c r="Q95" s="8">
        <f>SUMIF(SoundCast_Data!$Q$2:$Q$747,RouteID_Conversion!N95,SoundCast_Data!$P$2:$P$747)</f>
        <v>242.4388046264643</v>
      </c>
    </row>
    <row r="96" spans="1:17" x14ac:dyDescent="0.25">
      <c r="A96">
        <v>441</v>
      </c>
      <c r="B96">
        <v>110095</v>
      </c>
      <c r="C96">
        <v>1</v>
      </c>
      <c r="D96" t="s">
        <v>1011</v>
      </c>
      <c r="E96" t="s">
        <v>327</v>
      </c>
      <c r="F96" t="s">
        <v>1011</v>
      </c>
      <c r="G96">
        <v>1</v>
      </c>
      <c r="H96">
        <v>95</v>
      </c>
      <c r="I96" t="s">
        <v>77</v>
      </c>
      <c r="J96">
        <v>1019</v>
      </c>
      <c r="K96" s="8">
        <f>SUMIF(SoundCast_Data!$A$2:$A$1001,RouteID_Conversion!$H$2:$H$999,SoundCast_Data!$C$2:$C$1001)</f>
        <v>59.851793289184492</v>
      </c>
      <c r="N96">
        <v>95</v>
      </c>
      <c r="O96" t="s">
        <v>105</v>
      </c>
      <c r="P96">
        <v>1036</v>
      </c>
      <c r="Q96" s="8">
        <f>SUMIF(SoundCast_Data!$Q$2:$Q$747,RouteID_Conversion!N96,SoundCast_Data!$P$2:$P$747)</f>
        <v>664.18978881835801</v>
      </c>
    </row>
    <row r="97" spans="1:17" x14ac:dyDescent="0.25">
      <c r="A97">
        <v>675</v>
      </c>
      <c r="B97">
        <v>110096</v>
      </c>
      <c r="C97">
        <v>1</v>
      </c>
      <c r="D97" t="s">
        <v>1341</v>
      </c>
      <c r="E97" t="s">
        <v>327</v>
      </c>
      <c r="F97" t="s">
        <v>1341</v>
      </c>
      <c r="G97">
        <v>1</v>
      </c>
      <c r="H97">
        <v>96</v>
      </c>
      <c r="I97" t="s">
        <v>77</v>
      </c>
      <c r="J97">
        <v>1019</v>
      </c>
      <c r="K97" s="8">
        <f>SUMIF(SoundCast_Data!$A$2:$A$1001,RouteID_Conversion!$H$2:$H$999,SoundCast_Data!$C$2:$C$1001)</f>
        <v>62.905826568603402</v>
      </c>
      <c r="N97">
        <v>96</v>
      </c>
      <c r="O97" t="s">
        <v>105</v>
      </c>
      <c r="P97">
        <v>1036</v>
      </c>
      <c r="Q97" s="8">
        <f>SUMIF(SoundCast_Data!$Q$2:$Q$747,RouteID_Conversion!N97,SoundCast_Data!$P$2:$P$747)</f>
        <v>623.33467864990166</v>
      </c>
    </row>
    <row r="98" spans="1:17" x14ac:dyDescent="0.25">
      <c r="A98">
        <v>775</v>
      </c>
      <c r="B98">
        <v>110097</v>
      </c>
      <c r="C98">
        <v>1</v>
      </c>
      <c r="D98" t="s">
        <v>1492</v>
      </c>
      <c r="E98" t="s">
        <v>327</v>
      </c>
      <c r="F98" t="s">
        <v>1492</v>
      </c>
      <c r="G98">
        <v>1</v>
      </c>
      <c r="H98">
        <v>97</v>
      </c>
      <c r="I98" t="s">
        <v>79</v>
      </c>
      <c r="J98">
        <v>1021</v>
      </c>
      <c r="K98" s="8">
        <f>SUMIF(SoundCast_Data!$A$2:$A$1001,RouteID_Conversion!$H$2:$H$999,SoundCast_Data!$C$2:$C$1001)</f>
        <v>326.6977691650381</v>
      </c>
      <c r="N98">
        <v>97</v>
      </c>
      <c r="O98" t="s">
        <v>105</v>
      </c>
      <c r="P98">
        <v>1036</v>
      </c>
      <c r="Q98" s="8">
        <f>SUMIF(SoundCast_Data!$Q$2:$Q$747,RouteID_Conversion!N98,SoundCast_Data!$P$2:$P$747)</f>
        <v>161.85923194885169</v>
      </c>
    </row>
    <row r="99" spans="1:17" x14ac:dyDescent="0.25">
      <c r="A99">
        <v>776</v>
      </c>
      <c r="B99">
        <v>110098</v>
      </c>
      <c r="C99">
        <v>1</v>
      </c>
      <c r="D99" t="s">
        <v>1493</v>
      </c>
      <c r="E99" t="s">
        <v>327</v>
      </c>
      <c r="F99" t="s">
        <v>1493</v>
      </c>
      <c r="G99">
        <v>1</v>
      </c>
      <c r="H99">
        <v>98</v>
      </c>
      <c r="I99" t="s">
        <v>79</v>
      </c>
      <c r="J99">
        <v>1021</v>
      </c>
      <c r="K99" s="8">
        <f>SUMIF(SoundCast_Data!$A$2:$A$1001,RouteID_Conversion!$H$2:$H$999,SoundCast_Data!$C$2:$C$1001)</f>
        <v>104.24374580383281</v>
      </c>
      <c r="N99">
        <v>98</v>
      </c>
      <c r="O99" t="s">
        <v>105</v>
      </c>
      <c r="P99">
        <v>1036</v>
      </c>
      <c r="Q99" s="8">
        <f>SUMIF(SoundCast_Data!$Q$2:$Q$747,RouteID_Conversion!N99,SoundCast_Data!$P$2:$P$747)</f>
        <v>530.33366394042878</v>
      </c>
    </row>
    <row r="100" spans="1:17" x14ac:dyDescent="0.25">
      <c r="A100">
        <v>777</v>
      </c>
      <c r="B100">
        <v>110099</v>
      </c>
      <c r="C100">
        <v>1</v>
      </c>
      <c r="D100" t="s">
        <v>1494</v>
      </c>
      <c r="E100" t="s">
        <v>327</v>
      </c>
      <c r="F100" t="s">
        <v>1494</v>
      </c>
      <c r="G100">
        <v>1</v>
      </c>
      <c r="H100">
        <v>99</v>
      </c>
      <c r="I100" t="s">
        <v>79</v>
      </c>
      <c r="J100">
        <v>1021</v>
      </c>
      <c r="K100" s="8">
        <f>SUMIF(SoundCast_Data!$A$2:$A$1001,RouteID_Conversion!$H$2:$H$999,SoundCast_Data!$C$2:$C$1001)</f>
        <v>440.97077941894395</v>
      </c>
      <c r="N100">
        <v>99</v>
      </c>
      <c r="O100" t="s">
        <v>105</v>
      </c>
      <c r="P100">
        <v>1036</v>
      </c>
      <c r="Q100" s="8">
        <f>SUMIF(SoundCast_Data!$Q$2:$Q$747,RouteID_Conversion!N100,SoundCast_Data!$P$2:$P$747)</f>
        <v>21.102226257324201</v>
      </c>
    </row>
    <row r="101" spans="1:17" x14ac:dyDescent="0.25">
      <c r="A101">
        <v>778</v>
      </c>
      <c r="B101">
        <v>110100</v>
      </c>
      <c r="C101">
        <v>1</v>
      </c>
      <c r="D101" t="s">
        <v>1495</v>
      </c>
      <c r="E101" t="s">
        <v>327</v>
      </c>
      <c r="F101" t="s">
        <v>1495</v>
      </c>
      <c r="G101">
        <v>1</v>
      </c>
      <c r="H101">
        <v>100</v>
      </c>
      <c r="I101" t="s">
        <v>81</v>
      </c>
      <c r="J101">
        <v>1022</v>
      </c>
      <c r="K101" s="8">
        <f>SUMIF(SoundCast_Data!$A$2:$A$1001,RouteID_Conversion!$H$2:$H$999,SoundCast_Data!$C$2:$C$1001)</f>
        <v>100.49662399291981</v>
      </c>
      <c r="N101">
        <v>100</v>
      </c>
      <c r="O101" t="s">
        <v>107</v>
      </c>
      <c r="P101">
        <v>1037</v>
      </c>
      <c r="Q101" s="8">
        <f>SUMIF(SoundCast_Data!$Q$2:$Q$747,RouteID_Conversion!N101,SoundCast_Data!$P$2:$P$747)</f>
        <v>28.756560802459642</v>
      </c>
    </row>
    <row r="102" spans="1:17" x14ac:dyDescent="0.25">
      <c r="A102">
        <v>779</v>
      </c>
      <c r="B102">
        <v>110101</v>
      </c>
      <c r="C102">
        <v>1</v>
      </c>
      <c r="D102" t="s">
        <v>1496</v>
      </c>
      <c r="E102" t="s">
        <v>327</v>
      </c>
      <c r="F102" t="s">
        <v>1496</v>
      </c>
      <c r="G102">
        <v>1</v>
      </c>
      <c r="H102">
        <v>101</v>
      </c>
      <c r="I102" t="s">
        <v>81</v>
      </c>
      <c r="J102">
        <v>1022</v>
      </c>
      <c r="K102" s="8">
        <f>SUMIF(SoundCast_Data!$A$2:$A$1001,RouteID_Conversion!$H$2:$H$999,SoundCast_Data!$C$2:$C$1001)</f>
        <v>228.0790863037108</v>
      </c>
      <c r="N102">
        <v>101</v>
      </c>
      <c r="O102" t="s">
        <v>109</v>
      </c>
      <c r="P102">
        <v>1038</v>
      </c>
      <c r="Q102" s="8">
        <f>SUMIF(SoundCast_Data!$Q$2:$Q$747,RouteID_Conversion!N102,SoundCast_Data!$P$2:$P$747)</f>
        <v>7.2943942546844402</v>
      </c>
    </row>
    <row r="103" spans="1:17" x14ac:dyDescent="0.25">
      <c r="A103">
        <v>264</v>
      </c>
      <c r="B103">
        <v>110102</v>
      </c>
      <c r="C103">
        <v>1</v>
      </c>
      <c r="D103" t="s">
        <v>737</v>
      </c>
      <c r="E103" t="s">
        <v>327</v>
      </c>
      <c r="F103" t="s">
        <v>737</v>
      </c>
      <c r="G103">
        <v>1</v>
      </c>
      <c r="H103">
        <v>102</v>
      </c>
      <c r="I103" t="s">
        <v>83</v>
      </c>
      <c r="J103">
        <v>1023</v>
      </c>
      <c r="K103" s="8">
        <f>SUMIF(SoundCast_Data!$A$2:$A$1001,RouteID_Conversion!$H$2:$H$999,SoundCast_Data!$C$2:$C$1001)</f>
        <v>136.55352783203111</v>
      </c>
      <c r="N103">
        <v>102</v>
      </c>
      <c r="O103" t="s">
        <v>109</v>
      </c>
      <c r="P103">
        <v>1038</v>
      </c>
      <c r="Q103" s="8">
        <f>SUMIF(SoundCast_Data!$Q$2:$Q$747,RouteID_Conversion!N103,SoundCast_Data!$P$2:$P$747)</f>
        <v>11.023289442062373</v>
      </c>
    </row>
    <row r="104" spans="1:17" x14ac:dyDescent="0.25">
      <c r="A104">
        <v>265</v>
      </c>
      <c r="B104">
        <v>110103</v>
      </c>
      <c r="C104">
        <v>1</v>
      </c>
      <c r="D104" t="s">
        <v>738</v>
      </c>
      <c r="E104" t="s">
        <v>327</v>
      </c>
      <c r="F104" t="s">
        <v>738</v>
      </c>
      <c r="G104">
        <v>1</v>
      </c>
      <c r="H104">
        <v>103</v>
      </c>
      <c r="I104" t="s">
        <v>83</v>
      </c>
      <c r="J104">
        <v>1023</v>
      </c>
      <c r="K104" s="8">
        <f>SUMIF(SoundCast_Data!$A$2:$A$1001,RouteID_Conversion!$H$2:$H$999,SoundCast_Data!$C$2:$C$1001)</f>
        <v>260.02652359008772</v>
      </c>
      <c r="N104">
        <v>103</v>
      </c>
      <c r="O104" t="s">
        <v>111</v>
      </c>
      <c r="P104">
        <v>1039</v>
      </c>
      <c r="Q104" s="8">
        <f>SUMIF(SoundCast_Data!$Q$2:$Q$747,RouteID_Conversion!N104,SoundCast_Data!$P$2:$P$747)</f>
        <v>129.58236694335932</v>
      </c>
    </row>
    <row r="105" spans="1:17" x14ac:dyDescent="0.25">
      <c r="A105">
        <v>360</v>
      </c>
      <c r="B105">
        <v>110104</v>
      </c>
      <c r="C105">
        <v>1</v>
      </c>
      <c r="D105" t="s">
        <v>895</v>
      </c>
      <c r="E105" t="s">
        <v>327</v>
      </c>
      <c r="F105" t="s">
        <v>895</v>
      </c>
      <c r="G105">
        <v>1</v>
      </c>
      <c r="H105">
        <v>104</v>
      </c>
      <c r="I105" t="s">
        <v>83</v>
      </c>
      <c r="J105">
        <v>1023</v>
      </c>
      <c r="K105" s="8">
        <f>SUMIF(SoundCast_Data!$A$2:$A$1001,RouteID_Conversion!$H$2:$H$999,SoundCast_Data!$C$2:$C$1001)</f>
        <v>57.605482101440302</v>
      </c>
      <c r="N105">
        <v>104</v>
      </c>
      <c r="O105" t="s">
        <v>111</v>
      </c>
      <c r="P105">
        <v>1039</v>
      </c>
      <c r="Q105" s="8">
        <f>SUMIF(SoundCast_Data!$Q$2:$Q$747,RouteID_Conversion!N105,SoundCast_Data!$P$2:$P$747)</f>
        <v>106.1363458633422</v>
      </c>
    </row>
    <row r="106" spans="1:17" x14ac:dyDescent="0.25">
      <c r="A106">
        <v>677</v>
      </c>
      <c r="B106">
        <v>110105</v>
      </c>
      <c r="C106">
        <v>1</v>
      </c>
      <c r="D106" t="s">
        <v>1343</v>
      </c>
      <c r="E106" t="s">
        <v>327</v>
      </c>
      <c r="F106" t="s">
        <v>1343</v>
      </c>
      <c r="G106">
        <v>1</v>
      </c>
      <c r="H106">
        <v>105</v>
      </c>
      <c r="I106" t="s">
        <v>85</v>
      </c>
      <c r="J106">
        <v>1024</v>
      </c>
      <c r="K106" s="8">
        <f>SUMIF(SoundCast_Data!$A$2:$A$1001,RouteID_Conversion!$H$2:$H$999,SoundCast_Data!$C$2:$C$1001)</f>
        <v>91.24081039428691</v>
      </c>
      <c r="N106">
        <v>105</v>
      </c>
      <c r="O106" t="s">
        <v>113</v>
      </c>
      <c r="P106">
        <v>1041</v>
      </c>
      <c r="Q106" s="8">
        <f>SUMIF(SoundCast_Data!$Q$2:$Q$747,RouteID_Conversion!N106,SoundCast_Data!$P$2:$P$747)</f>
        <v>158.81549072265611</v>
      </c>
    </row>
    <row r="107" spans="1:17" x14ac:dyDescent="0.25">
      <c r="A107">
        <v>47</v>
      </c>
      <c r="B107">
        <v>110106</v>
      </c>
      <c r="C107">
        <v>1</v>
      </c>
      <c r="D107" t="s">
        <v>403</v>
      </c>
      <c r="E107" t="s">
        <v>327</v>
      </c>
      <c r="F107" t="s">
        <v>403</v>
      </c>
      <c r="G107">
        <v>1</v>
      </c>
      <c r="H107">
        <v>106</v>
      </c>
      <c r="I107" t="s">
        <v>85</v>
      </c>
      <c r="J107">
        <v>1024</v>
      </c>
      <c r="K107" s="8">
        <f>SUMIF(SoundCast_Data!$A$2:$A$1001,RouteID_Conversion!$H$2:$H$999,SoundCast_Data!$C$2:$C$1001)</f>
        <v>132.28014755249021</v>
      </c>
      <c r="N107">
        <v>106</v>
      </c>
      <c r="O107" t="s">
        <v>113</v>
      </c>
      <c r="P107">
        <v>1041</v>
      </c>
      <c r="Q107" s="8">
        <f>SUMIF(SoundCast_Data!$Q$2:$Q$747,RouteID_Conversion!N107,SoundCast_Data!$P$2:$P$747)</f>
        <v>713.20621109008755</v>
      </c>
    </row>
    <row r="108" spans="1:17" x14ac:dyDescent="0.25">
      <c r="A108">
        <v>48</v>
      </c>
      <c r="B108">
        <v>110107</v>
      </c>
      <c r="C108">
        <v>1</v>
      </c>
      <c r="D108" t="s">
        <v>404</v>
      </c>
      <c r="E108" t="s">
        <v>327</v>
      </c>
      <c r="F108" t="s">
        <v>404</v>
      </c>
      <c r="G108">
        <v>1</v>
      </c>
      <c r="H108">
        <v>107</v>
      </c>
      <c r="I108" t="s">
        <v>85</v>
      </c>
      <c r="J108">
        <v>1024</v>
      </c>
      <c r="K108" s="8">
        <f>SUMIF(SoundCast_Data!$A$2:$A$1001,RouteID_Conversion!$H$2:$H$999,SoundCast_Data!$C$2:$C$1001)</f>
        <v>104.1796054840086</v>
      </c>
      <c r="N108">
        <v>107</v>
      </c>
      <c r="O108" t="s">
        <v>113</v>
      </c>
      <c r="P108">
        <v>1041</v>
      </c>
      <c r="Q108" s="8">
        <f>SUMIF(SoundCast_Data!$Q$2:$Q$747,RouteID_Conversion!N108,SoundCast_Data!$P$2:$P$747)</f>
        <v>713.20621109008755</v>
      </c>
    </row>
    <row r="109" spans="1:17" x14ac:dyDescent="0.25">
      <c r="A109">
        <v>456</v>
      </c>
      <c r="B109">
        <v>110108</v>
      </c>
      <c r="C109">
        <v>1</v>
      </c>
      <c r="D109" t="s">
        <v>1035</v>
      </c>
      <c r="E109" t="s">
        <v>327</v>
      </c>
      <c r="F109" t="s">
        <v>1035</v>
      </c>
      <c r="G109">
        <v>1</v>
      </c>
      <c r="H109">
        <v>108</v>
      </c>
      <c r="I109" t="s">
        <v>85</v>
      </c>
      <c r="J109">
        <v>1024</v>
      </c>
      <c r="K109" s="8">
        <f>SUMIF(SoundCast_Data!$A$2:$A$1001,RouteID_Conversion!$H$2:$H$999,SoundCast_Data!$C$2:$C$1001)</f>
        <v>163.4278106689452</v>
      </c>
      <c r="N109">
        <v>108</v>
      </c>
      <c r="O109" t="s">
        <v>113</v>
      </c>
      <c r="P109">
        <v>1041</v>
      </c>
      <c r="Q109" s="8">
        <f>SUMIF(SoundCast_Data!$Q$2:$Q$747,RouteID_Conversion!N109,SoundCast_Data!$P$2:$P$747)</f>
        <v>101.88891887664788</v>
      </c>
    </row>
    <row r="110" spans="1:17" x14ac:dyDescent="0.25">
      <c r="A110">
        <v>457</v>
      </c>
      <c r="B110">
        <v>110109</v>
      </c>
      <c r="C110">
        <v>1</v>
      </c>
      <c r="D110" t="s">
        <v>1036</v>
      </c>
      <c r="E110" t="s">
        <v>327</v>
      </c>
      <c r="F110" t="s">
        <v>1036</v>
      </c>
      <c r="G110">
        <v>1</v>
      </c>
      <c r="H110">
        <v>109</v>
      </c>
      <c r="I110" t="s">
        <v>85</v>
      </c>
      <c r="J110">
        <v>1024</v>
      </c>
      <c r="K110" s="8">
        <f>SUMIF(SoundCast_Data!$A$2:$A$1001,RouteID_Conversion!$H$2:$H$999,SoundCast_Data!$C$2:$C$1001)</f>
        <v>122.57086181640619</v>
      </c>
      <c r="N110">
        <v>109</v>
      </c>
      <c r="O110" t="s">
        <v>113</v>
      </c>
      <c r="P110">
        <v>1041</v>
      </c>
      <c r="Q110" s="8">
        <f>SUMIF(SoundCast_Data!$Q$2:$Q$747,RouteID_Conversion!N110,SoundCast_Data!$P$2:$P$747)</f>
        <v>1687.2120971679649</v>
      </c>
    </row>
    <row r="111" spans="1:17" x14ac:dyDescent="0.25">
      <c r="A111">
        <v>137</v>
      </c>
      <c r="B111">
        <v>110110</v>
      </c>
      <c r="C111">
        <v>1</v>
      </c>
      <c r="D111" t="s">
        <v>544</v>
      </c>
      <c r="E111" t="s">
        <v>327</v>
      </c>
      <c r="F111" t="s">
        <v>544</v>
      </c>
      <c r="G111">
        <v>1</v>
      </c>
      <c r="H111">
        <v>110</v>
      </c>
      <c r="I111" t="s">
        <v>87</v>
      </c>
      <c r="J111">
        <v>1025</v>
      </c>
      <c r="K111" s="8">
        <f>SUMIF(SoundCast_Data!$A$2:$A$1001,RouteID_Conversion!$H$2:$H$999,SoundCast_Data!$C$2:$C$1001)</f>
        <v>200.1636428833007</v>
      </c>
      <c r="N111">
        <v>110</v>
      </c>
      <c r="O111" t="s">
        <v>113</v>
      </c>
      <c r="P111">
        <v>1041</v>
      </c>
      <c r="Q111" s="8">
        <f>SUMIF(SoundCast_Data!$Q$2:$Q$747,RouteID_Conversion!N111,SoundCast_Data!$P$2:$P$747)</f>
        <v>694.73438262939305</v>
      </c>
    </row>
    <row r="112" spans="1:17" x14ac:dyDescent="0.25">
      <c r="A112">
        <v>5</v>
      </c>
      <c r="B112">
        <v>110111</v>
      </c>
      <c r="C112">
        <v>1</v>
      </c>
      <c r="D112" t="s">
        <v>331</v>
      </c>
      <c r="E112" t="s">
        <v>327</v>
      </c>
      <c r="F112" t="s">
        <v>331</v>
      </c>
      <c r="G112">
        <v>1</v>
      </c>
      <c r="H112">
        <v>111</v>
      </c>
      <c r="I112" t="s">
        <v>87</v>
      </c>
      <c r="J112">
        <v>1025</v>
      </c>
      <c r="K112" s="8">
        <f>SUMIF(SoundCast_Data!$A$2:$A$1001,RouteID_Conversion!$H$2:$H$999,SoundCast_Data!$C$2:$C$1001)</f>
        <v>128.28788375854469</v>
      </c>
      <c r="N112">
        <v>111</v>
      </c>
      <c r="O112" t="s">
        <v>115</v>
      </c>
      <c r="P112">
        <v>1042</v>
      </c>
      <c r="Q112" s="8">
        <f>SUMIF(SoundCast_Data!$Q$2:$Q$747,RouteID_Conversion!N112,SoundCast_Data!$P$2:$P$747)</f>
        <v>45.575630187988189</v>
      </c>
    </row>
    <row r="113" spans="1:17" x14ac:dyDescent="0.25">
      <c r="A113">
        <v>873</v>
      </c>
      <c r="B113">
        <v>110112</v>
      </c>
      <c r="C113">
        <v>1</v>
      </c>
      <c r="D113" t="s">
        <v>1641</v>
      </c>
      <c r="E113" t="s">
        <v>327</v>
      </c>
      <c r="F113" t="s">
        <v>1641</v>
      </c>
      <c r="G113">
        <v>1</v>
      </c>
      <c r="H113">
        <v>112</v>
      </c>
      <c r="I113" t="s">
        <v>87</v>
      </c>
      <c r="J113">
        <v>1025</v>
      </c>
      <c r="K113" s="8">
        <f>SUMIF(SoundCast_Data!$A$2:$A$1001,RouteID_Conversion!$H$2:$H$999,SoundCast_Data!$C$2:$C$1001)</f>
        <v>40.576750755309902</v>
      </c>
      <c r="N113">
        <v>112</v>
      </c>
      <c r="O113" t="s">
        <v>115</v>
      </c>
      <c r="P113">
        <v>1042</v>
      </c>
      <c r="Q113" s="8">
        <f>SUMIF(SoundCast_Data!$Q$2:$Q$747,RouteID_Conversion!N113,SoundCast_Data!$P$2:$P$747)</f>
        <v>34.370878219604478</v>
      </c>
    </row>
    <row r="114" spans="1:17" x14ac:dyDescent="0.25">
      <c r="A114">
        <v>141</v>
      </c>
      <c r="B114">
        <v>110113</v>
      </c>
      <c r="C114">
        <v>1</v>
      </c>
      <c r="D114" t="s">
        <v>549</v>
      </c>
      <c r="E114" t="s">
        <v>327</v>
      </c>
      <c r="F114" t="s">
        <v>549</v>
      </c>
      <c r="G114">
        <v>1</v>
      </c>
      <c r="H114">
        <v>113</v>
      </c>
      <c r="I114" t="s">
        <v>89</v>
      </c>
      <c r="J114">
        <v>1026</v>
      </c>
      <c r="K114" s="8">
        <f>SUMIF(SoundCast_Data!$A$2:$A$1001,RouteID_Conversion!$H$2:$H$999,SoundCast_Data!$C$2:$C$1001)</f>
        <v>232.69533538818359</v>
      </c>
      <c r="N114">
        <v>113</v>
      </c>
      <c r="O114" t="s">
        <v>117</v>
      </c>
      <c r="P114">
        <v>1043</v>
      </c>
      <c r="Q114" s="8">
        <f>SUMIF(SoundCast_Data!$Q$2:$Q$747,RouteID_Conversion!N114,SoundCast_Data!$P$2:$P$747)</f>
        <v>1668.7338256835881</v>
      </c>
    </row>
    <row r="115" spans="1:17" x14ac:dyDescent="0.25">
      <c r="A115">
        <v>678</v>
      </c>
      <c r="B115">
        <v>110114</v>
      </c>
      <c r="C115">
        <v>1</v>
      </c>
      <c r="D115" t="s">
        <v>1344</v>
      </c>
      <c r="E115" t="s">
        <v>327</v>
      </c>
      <c r="F115" t="s">
        <v>1344</v>
      </c>
      <c r="G115">
        <v>1</v>
      </c>
      <c r="H115">
        <v>114</v>
      </c>
      <c r="I115" t="s">
        <v>89</v>
      </c>
      <c r="J115">
        <v>1026</v>
      </c>
      <c r="K115" s="8">
        <f>SUMIF(SoundCast_Data!$A$2:$A$1001,RouteID_Conversion!$H$2:$H$999,SoundCast_Data!$C$2:$C$1001)</f>
        <v>288.87000274658169</v>
      </c>
      <c r="N115">
        <v>114</v>
      </c>
      <c r="O115" t="s">
        <v>117</v>
      </c>
      <c r="P115">
        <v>1043</v>
      </c>
      <c r="Q115" s="8">
        <f>SUMIF(SoundCast_Data!$Q$2:$Q$747,RouteID_Conversion!N115,SoundCast_Data!$P$2:$P$747)</f>
        <v>82.809342384338308</v>
      </c>
    </row>
    <row r="116" spans="1:17" x14ac:dyDescent="0.25">
      <c r="A116">
        <v>142</v>
      </c>
      <c r="B116">
        <v>110115</v>
      </c>
      <c r="C116">
        <v>1</v>
      </c>
      <c r="D116" t="s">
        <v>550</v>
      </c>
      <c r="E116" t="s">
        <v>327</v>
      </c>
      <c r="F116" t="s">
        <v>550</v>
      </c>
      <c r="G116">
        <v>1</v>
      </c>
      <c r="H116">
        <v>115</v>
      </c>
      <c r="I116" t="s">
        <v>89</v>
      </c>
      <c r="J116">
        <v>1026</v>
      </c>
      <c r="K116" s="8">
        <f>SUMIF(SoundCast_Data!$A$2:$A$1001,RouteID_Conversion!$H$2:$H$999,SoundCast_Data!$C$2:$C$1001)</f>
        <v>264.76294708251879</v>
      </c>
      <c r="N116">
        <v>115</v>
      </c>
      <c r="O116" t="s">
        <v>117</v>
      </c>
      <c r="P116">
        <v>1043</v>
      </c>
      <c r="Q116" s="8">
        <f>SUMIF(SoundCast_Data!$Q$2:$Q$747,RouteID_Conversion!N116,SoundCast_Data!$P$2:$P$747)</f>
        <v>1168.92835998535</v>
      </c>
    </row>
    <row r="117" spans="1:17" x14ac:dyDescent="0.25">
      <c r="A117">
        <v>143</v>
      </c>
      <c r="B117">
        <v>110116</v>
      </c>
      <c r="C117">
        <v>1</v>
      </c>
      <c r="D117" t="s">
        <v>551</v>
      </c>
      <c r="E117" t="s">
        <v>327</v>
      </c>
      <c r="F117" t="s">
        <v>551</v>
      </c>
      <c r="G117">
        <v>1</v>
      </c>
      <c r="H117">
        <v>116</v>
      </c>
      <c r="I117" t="s">
        <v>89</v>
      </c>
      <c r="J117">
        <v>1026</v>
      </c>
      <c r="K117" s="8">
        <f>SUMIF(SoundCast_Data!$A$2:$A$1001,RouteID_Conversion!$H$2:$H$999,SoundCast_Data!$C$2:$C$1001)</f>
        <v>35.785812377929503</v>
      </c>
      <c r="N117">
        <v>116</v>
      </c>
      <c r="O117" t="s">
        <v>117</v>
      </c>
      <c r="P117">
        <v>1043</v>
      </c>
      <c r="Q117" s="8">
        <f>SUMIF(SoundCast_Data!$Q$2:$Q$747,RouteID_Conversion!N117,SoundCast_Data!$P$2:$P$747)</f>
        <v>84.095650672912399</v>
      </c>
    </row>
    <row r="118" spans="1:17" x14ac:dyDescent="0.25">
      <c r="A118">
        <v>56</v>
      </c>
      <c r="B118">
        <v>110117</v>
      </c>
      <c r="C118">
        <v>1</v>
      </c>
      <c r="D118" t="s">
        <v>412</v>
      </c>
      <c r="E118" t="s">
        <v>327</v>
      </c>
      <c r="F118" t="s">
        <v>412</v>
      </c>
      <c r="G118">
        <v>1</v>
      </c>
      <c r="H118">
        <v>117</v>
      </c>
      <c r="I118" t="s">
        <v>91</v>
      </c>
      <c r="J118">
        <v>1027</v>
      </c>
      <c r="K118" s="8">
        <f>SUMIF(SoundCast_Data!$A$2:$A$1001,RouteID_Conversion!$H$2:$H$999,SoundCast_Data!$C$2:$C$1001)</f>
        <v>9.891958951950059</v>
      </c>
      <c r="N118">
        <v>117</v>
      </c>
      <c r="O118" t="s">
        <v>117</v>
      </c>
      <c r="P118">
        <v>1043</v>
      </c>
      <c r="Q118" s="8">
        <f>SUMIF(SoundCast_Data!$Q$2:$Q$747,RouteID_Conversion!N118,SoundCast_Data!$P$2:$P$747)</f>
        <v>54.358266830444272</v>
      </c>
    </row>
    <row r="119" spans="1:17" x14ac:dyDescent="0.25">
      <c r="A119">
        <v>65</v>
      </c>
      <c r="B119">
        <v>110118</v>
      </c>
      <c r="C119">
        <v>1</v>
      </c>
      <c r="D119" t="s">
        <v>421</v>
      </c>
      <c r="E119" t="s">
        <v>327</v>
      </c>
      <c r="F119" t="s">
        <v>421</v>
      </c>
      <c r="G119">
        <v>1</v>
      </c>
      <c r="H119">
        <v>118</v>
      </c>
      <c r="I119" t="s">
        <v>91</v>
      </c>
      <c r="J119">
        <v>1027</v>
      </c>
      <c r="K119" s="8">
        <f>SUMIF(SoundCast_Data!$A$2:$A$1001,RouteID_Conversion!$H$2:$H$999,SoundCast_Data!$C$2:$C$1001)</f>
        <v>47.719164848327402</v>
      </c>
      <c r="N119">
        <v>118</v>
      </c>
      <c r="O119" t="s">
        <v>119</v>
      </c>
      <c r="P119">
        <v>1044</v>
      </c>
      <c r="Q119" s="8">
        <f>SUMIF(SoundCast_Data!$Q$2:$Q$747,RouteID_Conversion!N119,SoundCast_Data!$P$2:$P$747)</f>
        <v>63.097100257873421</v>
      </c>
    </row>
    <row r="120" spans="1:17" x14ac:dyDescent="0.25">
      <c r="A120">
        <v>60</v>
      </c>
      <c r="B120">
        <v>110119</v>
      </c>
      <c r="C120">
        <v>1</v>
      </c>
      <c r="D120" t="s">
        <v>416</v>
      </c>
      <c r="E120" t="s">
        <v>327</v>
      </c>
      <c r="F120" t="s">
        <v>416</v>
      </c>
      <c r="G120">
        <v>1</v>
      </c>
      <c r="H120">
        <v>119</v>
      </c>
      <c r="I120" t="s">
        <v>91</v>
      </c>
      <c r="J120">
        <v>1027</v>
      </c>
      <c r="K120" s="8">
        <f>SUMIF(SoundCast_Data!$A$2:$A$1001,RouteID_Conversion!$H$2:$H$999,SoundCast_Data!$C$2:$C$1001)</f>
        <v>24.274970531463566</v>
      </c>
      <c r="N120">
        <v>119</v>
      </c>
      <c r="O120" t="s">
        <v>119</v>
      </c>
      <c r="P120">
        <v>1044</v>
      </c>
      <c r="Q120" s="8">
        <f>SUMIF(SoundCast_Data!$Q$2:$Q$747,RouteID_Conversion!N120,SoundCast_Data!$P$2:$P$747)</f>
        <v>1011.497451782225</v>
      </c>
    </row>
    <row r="121" spans="1:17" x14ac:dyDescent="0.25">
      <c r="A121">
        <v>144</v>
      </c>
      <c r="B121">
        <v>110120</v>
      </c>
      <c r="C121">
        <v>1</v>
      </c>
      <c r="D121" t="s">
        <v>552</v>
      </c>
      <c r="E121" t="s">
        <v>327</v>
      </c>
      <c r="F121" t="s">
        <v>552</v>
      </c>
      <c r="G121">
        <v>1</v>
      </c>
      <c r="H121">
        <v>120</v>
      </c>
      <c r="I121" t="s">
        <v>93</v>
      </c>
      <c r="J121">
        <v>1028</v>
      </c>
      <c r="K121" s="8">
        <f>SUMIF(SoundCast_Data!$A$2:$A$1001,RouteID_Conversion!$H$2:$H$999,SoundCast_Data!$C$2:$C$1001)</f>
        <v>153.24828720092759</v>
      </c>
      <c r="N121">
        <v>120</v>
      </c>
      <c r="O121" t="s">
        <v>119</v>
      </c>
      <c r="P121">
        <v>1044</v>
      </c>
      <c r="Q121" s="8">
        <f>SUMIF(SoundCast_Data!$Q$2:$Q$747,RouteID_Conversion!N121,SoundCast_Data!$P$2:$P$747)</f>
        <v>1265.8921508789062</v>
      </c>
    </row>
    <row r="122" spans="1:17" x14ac:dyDescent="0.25">
      <c r="A122">
        <v>145</v>
      </c>
      <c r="B122">
        <v>110121</v>
      </c>
      <c r="C122">
        <v>1</v>
      </c>
      <c r="D122" t="s">
        <v>553</v>
      </c>
      <c r="E122" t="s">
        <v>327</v>
      </c>
      <c r="F122" t="s">
        <v>553</v>
      </c>
      <c r="G122">
        <v>1</v>
      </c>
      <c r="H122">
        <v>121</v>
      </c>
      <c r="I122" t="s">
        <v>93</v>
      </c>
      <c r="J122">
        <v>1028</v>
      </c>
      <c r="K122" s="8">
        <f>SUMIF(SoundCast_Data!$A$2:$A$1001,RouteID_Conversion!$H$2:$H$999,SoundCast_Data!$C$2:$C$1001)</f>
        <v>116.699810028076</v>
      </c>
      <c r="N122">
        <v>121</v>
      </c>
      <c r="O122" t="s">
        <v>123</v>
      </c>
      <c r="P122">
        <v>1046</v>
      </c>
      <c r="Q122" s="8">
        <f>SUMIF(SoundCast_Data!$Q$2:$Q$747,RouteID_Conversion!N122,SoundCast_Data!$P$2:$P$747)</f>
        <v>61.531455993652202</v>
      </c>
    </row>
    <row r="123" spans="1:17" x14ac:dyDescent="0.25">
      <c r="A123">
        <v>146</v>
      </c>
      <c r="B123">
        <v>110122</v>
      </c>
      <c r="C123">
        <v>1</v>
      </c>
      <c r="D123" t="s">
        <v>554</v>
      </c>
      <c r="E123" t="s">
        <v>327</v>
      </c>
      <c r="F123" t="s">
        <v>554</v>
      </c>
      <c r="G123">
        <v>1</v>
      </c>
      <c r="H123">
        <v>122</v>
      </c>
      <c r="I123" t="s">
        <v>93</v>
      </c>
      <c r="J123">
        <v>1028</v>
      </c>
      <c r="K123" s="8">
        <f>SUMIF(SoundCast_Data!$A$2:$A$1001,RouteID_Conversion!$H$2:$H$999,SoundCast_Data!$C$2:$C$1001)</f>
        <v>103.26778602600089</v>
      </c>
      <c r="N123">
        <v>122</v>
      </c>
      <c r="O123" t="s">
        <v>123</v>
      </c>
      <c r="P123">
        <v>1046</v>
      </c>
      <c r="Q123" s="8">
        <f>SUMIF(SoundCast_Data!$Q$2:$Q$747,RouteID_Conversion!N123,SoundCast_Data!$P$2:$P$747)</f>
        <v>22.492464065551651</v>
      </c>
    </row>
    <row r="124" spans="1:17" x14ac:dyDescent="0.25">
      <c r="A124">
        <v>679</v>
      </c>
      <c r="B124">
        <v>110123</v>
      </c>
      <c r="C124">
        <v>1</v>
      </c>
      <c r="D124" t="s">
        <v>1345</v>
      </c>
      <c r="E124" t="s">
        <v>327</v>
      </c>
      <c r="F124" t="s">
        <v>1345</v>
      </c>
      <c r="G124">
        <v>1</v>
      </c>
      <c r="H124">
        <v>123</v>
      </c>
      <c r="I124" t="s">
        <v>93</v>
      </c>
      <c r="J124">
        <v>1028</v>
      </c>
      <c r="K124" s="8">
        <f>SUMIF(SoundCast_Data!$A$2:$A$1001,RouteID_Conversion!$H$2:$H$999,SoundCast_Data!$C$2:$C$1001)</f>
        <v>89.437036514282099</v>
      </c>
      <c r="N124">
        <v>123</v>
      </c>
      <c r="O124" t="s">
        <v>125</v>
      </c>
      <c r="P124">
        <v>1048</v>
      </c>
      <c r="Q124" s="8">
        <f>SUMIF(SoundCast_Data!$Q$2:$Q$747,RouteID_Conversion!N124,SoundCast_Data!$P$2:$P$747)</f>
        <v>577.23398590087879</v>
      </c>
    </row>
    <row r="125" spans="1:17" x14ac:dyDescent="0.25">
      <c r="A125">
        <v>147</v>
      </c>
      <c r="B125">
        <v>110124</v>
      </c>
      <c r="C125">
        <v>1</v>
      </c>
      <c r="D125" t="s">
        <v>555</v>
      </c>
      <c r="E125" t="s">
        <v>327</v>
      </c>
      <c r="F125" t="s">
        <v>555</v>
      </c>
      <c r="G125">
        <v>1</v>
      </c>
      <c r="H125">
        <v>124</v>
      </c>
      <c r="I125" t="s">
        <v>93</v>
      </c>
      <c r="J125">
        <v>1028</v>
      </c>
      <c r="K125" s="8">
        <f>SUMIF(SoundCast_Data!$A$2:$A$1001,RouteID_Conversion!$H$2:$H$999,SoundCast_Data!$C$2:$C$1001)</f>
        <v>82.973438262939297</v>
      </c>
      <c r="N125">
        <v>124</v>
      </c>
      <c r="O125" t="s">
        <v>125</v>
      </c>
      <c r="P125">
        <v>1048</v>
      </c>
      <c r="Q125" s="8">
        <f>SUMIF(SoundCast_Data!$Q$2:$Q$747,RouteID_Conversion!N125,SoundCast_Data!$P$2:$P$747)</f>
        <v>4.5852216482162458</v>
      </c>
    </row>
    <row r="126" spans="1:17" x14ac:dyDescent="0.25">
      <c r="A126">
        <v>148</v>
      </c>
      <c r="B126">
        <v>110125</v>
      </c>
      <c r="C126">
        <v>1</v>
      </c>
      <c r="D126" t="s">
        <v>556</v>
      </c>
      <c r="E126" t="s">
        <v>327</v>
      </c>
      <c r="F126" t="s">
        <v>556</v>
      </c>
      <c r="G126">
        <v>1</v>
      </c>
      <c r="H126">
        <v>125</v>
      </c>
      <c r="I126" t="s">
        <v>93</v>
      </c>
      <c r="J126">
        <v>1028</v>
      </c>
      <c r="K126" s="8">
        <f>SUMIF(SoundCast_Data!$A$2:$A$1001,RouteID_Conversion!$H$2:$H$999,SoundCast_Data!$C$2:$C$1001)</f>
        <v>30.231349468231059</v>
      </c>
      <c r="N126">
        <v>125</v>
      </c>
      <c r="O126" t="s">
        <v>125</v>
      </c>
      <c r="P126">
        <v>1048</v>
      </c>
      <c r="Q126" s="8">
        <f>SUMIF(SoundCast_Data!$Q$2:$Q$747,RouteID_Conversion!N126,SoundCast_Data!$P$2:$P$747)</f>
        <v>1008.964263916014</v>
      </c>
    </row>
    <row r="127" spans="1:17" x14ac:dyDescent="0.25">
      <c r="A127">
        <v>149</v>
      </c>
      <c r="B127">
        <v>110126</v>
      </c>
      <c r="C127">
        <v>1</v>
      </c>
      <c r="D127" t="s">
        <v>557</v>
      </c>
      <c r="E127" t="s">
        <v>327</v>
      </c>
      <c r="F127" t="s">
        <v>557</v>
      </c>
      <c r="G127">
        <v>1</v>
      </c>
      <c r="H127">
        <v>126</v>
      </c>
      <c r="I127" t="s">
        <v>93</v>
      </c>
      <c r="J127">
        <v>1028</v>
      </c>
      <c r="K127" s="8">
        <f>SUMIF(SoundCast_Data!$A$2:$A$1001,RouteID_Conversion!$H$2:$H$999,SoundCast_Data!$C$2:$C$1001)</f>
        <v>36.014001846313377</v>
      </c>
      <c r="N127">
        <v>126</v>
      </c>
      <c r="O127" t="s">
        <v>125</v>
      </c>
      <c r="P127">
        <v>1048</v>
      </c>
      <c r="Q127" s="8">
        <f>SUMIF(SoundCast_Data!$Q$2:$Q$747,RouteID_Conversion!N127,SoundCast_Data!$P$2:$P$747)</f>
        <v>1123.442626953125</v>
      </c>
    </row>
    <row r="128" spans="1:17" x14ac:dyDescent="0.25">
      <c r="A128">
        <v>680</v>
      </c>
      <c r="B128">
        <v>110127</v>
      </c>
      <c r="C128">
        <v>1</v>
      </c>
      <c r="D128" t="s">
        <v>1346</v>
      </c>
      <c r="E128" t="s">
        <v>327</v>
      </c>
      <c r="F128" t="s">
        <v>1346</v>
      </c>
      <c r="G128">
        <v>1</v>
      </c>
      <c r="H128">
        <v>127</v>
      </c>
      <c r="I128" t="s">
        <v>93</v>
      </c>
      <c r="J128">
        <v>1028</v>
      </c>
      <c r="K128" s="8">
        <f>SUMIF(SoundCast_Data!$A$2:$A$1001,RouteID_Conversion!$H$2:$H$999,SoundCast_Data!$C$2:$C$1001)</f>
        <v>221.6946296691894</v>
      </c>
      <c r="N128">
        <v>127</v>
      </c>
      <c r="O128" t="s">
        <v>125</v>
      </c>
      <c r="P128">
        <v>1048</v>
      </c>
      <c r="Q128" s="8">
        <f>SUMIF(SoundCast_Data!$Q$2:$Q$747,RouteID_Conversion!N128,SoundCast_Data!$P$2:$P$747)</f>
        <v>1185.9318695068339</v>
      </c>
    </row>
    <row r="129" spans="1:17" x14ac:dyDescent="0.25">
      <c r="A129">
        <v>150</v>
      </c>
      <c r="B129">
        <v>110128</v>
      </c>
      <c r="C129">
        <v>1</v>
      </c>
      <c r="D129" t="s">
        <v>558</v>
      </c>
      <c r="E129" t="s">
        <v>327</v>
      </c>
      <c r="F129" t="s">
        <v>558</v>
      </c>
      <c r="G129">
        <v>1</v>
      </c>
      <c r="H129">
        <v>128</v>
      </c>
      <c r="I129" t="s">
        <v>93</v>
      </c>
      <c r="J129">
        <v>1028</v>
      </c>
      <c r="K129" s="8">
        <f>SUMIF(SoundCast_Data!$A$2:$A$1001,RouteID_Conversion!$H$2:$H$999,SoundCast_Data!$C$2:$C$1001)</f>
        <v>35.012708663940344</v>
      </c>
      <c r="N129">
        <v>128</v>
      </c>
      <c r="O129" t="s">
        <v>127</v>
      </c>
      <c r="P129">
        <v>1049</v>
      </c>
      <c r="Q129" s="8">
        <f>SUMIF(SoundCast_Data!$Q$2:$Q$747,RouteID_Conversion!N129,SoundCast_Data!$P$2:$P$747)</f>
        <v>1305.3799591064442</v>
      </c>
    </row>
    <row r="130" spans="1:17" x14ac:dyDescent="0.25">
      <c r="A130">
        <v>681</v>
      </c>
      <c r="B130">
        <v>110129</v>
      </c>
      <c r="C130">
        <v>1</v>
      </c>
      <c r="D130" t="s">
        <v>1347</v>
      </c>
      <c r="E130" t="s">
        <v>327</v>
      </c>
      <c r="F130" t="s">
        <v>1347</v>
      </c>
      <c r="G130">
        <v>1</v>
      </c>
      <c r="H130">
        <v>129</v>
      </c>
      <c r="I130" t="s">
        <v>93</v>
      </c>
      <c r="J130">
        <v>1028</v>
      </c>
      <c r="K130" s="8">
        <f>SUMIF(SoundCast_Data!$A$2:$A$1001,RouteID_Conversion!$H$2:$H$999,SoundCast_Data!$C$2:$C$1001)</f>
        <v>22.604830265045148</v>
      </c>
      <c r="N130">
        <v>129</v>
      </c>
      <c r="O130" t="s">
        <v>127</v>
      </c>
      <c r="P130">
        <v>1049</v>
      </c>
      <c r="Q130" s="8">
        <f>SUMIF(SoundCast_Data!$Q$2:$Q$747,RouteID_Conversion!N130,SoundCast_Data!$P$2:$P$747)</f>
        <v>1590.110153198237</v>
      </c>
    </row>
    <row r="131" spans="1:17" x14ac:dyDescent="0.25">
      <c r="A131">
        <v>151</v>
      </c>
      <c r="B131">
        <v>110130</v>
      </c>
      <c r="C131">
        <v>1</v>
      </c>
      <c r="D131" t="s">
        <v>559</v>
      </c>
      <c r="E131" t="s">
        <v>327</v>
      </c>
      <c r="F131" t="s">
        <v>559</v>
      </c>
      <c r="G131">
        <v>1</v>
      </c>
      <c r="H131">
        <v>130</v>
      </c>
      <c r="I131" t="s">
        <v>93</v>
      </c>
      <c r="J131">
        <v>1028</v>
      </c>
      <c r="K131" s="8">
        <f>SUMIF(SoundCast_Data!$A$2:$A$1001,RouteID_Conversion!$H$2:$H$999,SoundCast_Data!$C$2:$C$1001)</f>
        <v>38.312071800231799</v>
      </c>
      <c r="N131">
        <v>130</v>
      </c>
      <c r="O131" t="s">
        <v>129</v>
      </c>
      <c r="P131">
        <v>1051</v>
      </c>
      <c r="Q131" s="8">
        <f>SUMIF(SoundCast_Data!$Q$2:$Q$747,RouteID_Conversion!N131,SoundCast_Data!$P$2:$P$747)</f>
        <v>16.196546435356112</v>
      </c>
    </row>
    <row r="132" spans="1:17" x14ac:dyDescent="0.25">
      <c r="A132">
        <v>152</v>
      </c>
      <c r="B132">
        <v>110131</v>
      </c>
      <c r="C132">
        <v>1</v>
      </c>
      <c r="D132" t="s">
        <v>559</v>
      </c>
      <c r="E132" t="s">
        <v>327</v>
      </c>
      <c r="F132" t="s">
        <v>559</v>
      </c>
      <c r="G132">
        <v>1</v>
      </c>
      <c r="H132">
        <v>131</v>
      </c>
      <c r="I132" t="s">
        <v>93</v>
      </c>
      <c r="J132">
        <v>1028</v>
      </c>
      <c r="K132" s="8">
        <f>SUMIF(SoundCast_Data!$A$2:$A$1001,RouteID_Conversion!$H$2:$H$999,SoundCast_Data!$C$2:$C$1001)</f>
        <v>42.060132980346502</v>
      </c>
      <c r="N132">
        <v>131</v>
      </c>
      <c r="O132" t="s">
        <v>129</v>
      </c>
      <c r="P132">
        <v>1051</v>
      </c>
      <c r="Q132" s="8">
        <f>SUMIF(SoundCast_Data!$Q$2:$Q$747,RouteID_Conversion!N132,SoundCast_Data!$P$2:$P$747)</f>
        <v>12.74459433555602</v>
      </c>
    </row>
    <row r="133" spans="1:17" x14ac:dyDescent="0.25">
      <c r="A133">
        <v>522</v>
      </c>
      <c r="B133">
        <v>110132</v>
      </c>
      <c r="C133">
        <v>1</v>
      </c>
      <c r="D133" t="s">
        <v>1129</v>
      </c>
      <c r="E133" t="s">
        <v>327</v>
      </c>
      <c r="F133" t="s">
        <v>1129</v>
      </c>
      <c r="G133">
        <v>1</v>
      </c>
      <c r="H133">
        <v>132</v>
      </c>
      <c r="I133" t="s">
        <v>95</v>
      </c>
      <c r="J133">
        <v>1030</v>
      </c>
      <c r="K133" s="8">
        <f>SUMIF(SoundCast_Data!$A$2:$A$1001,RouteID_Conversion!$H$2:$H$999,SoundCast_Data!$C$2:$C$1001)</f>
        <v>130.33256912231431</v>
      </c>
      <c r="N133">
        <v>132</v>
      </c>
      <c r="O133" t="s">
        <v>131</v>
      </c>
      <c r="P133">
        <v>1053</v>
      </c>
      <c r="Q133" s="8">
        <f>SUMIF(SoundCast_Data!$Q$2:$Q$747,RouteID_Conversion!N133,SoundCast_Data!$P$2:$P$747)</f>
        <v>51.542281150817701</v>
      </c>
    </row>
    <row r="134" spans="1:17" x14ac:dyDescent="0.25">
      <c r="A134">
        <v>600</v>
      </c>
      <c r="B134">
        <v>110133</v>
      </c>
      <c r="C134">
        <v>1</v>
      </c>
      <c r="D134" t="s">
        <v>1250</v>
      </c>
      <c r="E134" t="s">
        <v>327</v>
      </c>
      <c r="F134" t="s">
        <v>1250</v>
      </c>
      <c r="G134">
        <v>1</v>
      </c>
      <c r="H134">
        <v>133</v>
      </c>
      <c r="I134" t="s">
        <v>95</v>
      </c>
      <c r="J134">
        <v>1030</v>
      </c>
      <c r="K134" s="8">
        <f>SUMIF(SoundCast_Data!$A$2:$A$1001,RouteID_Conversion!$H$2:$H$999,SoundCast_Data!$C$2:$C$1001)</f>
        <v>284.68369293212851</v>
      </c>
      <c r="N134">
        <v>133</v>
      </c>
      <c r="O134" t="s">
        <v>131</v>
      </c>
      <c r="P134">
        <v>1053</v>
      </c>
      <c r="Q134" s="8">
        <f>SUMIF(SoundCast_Data!$Q$2:$Q$747,RouteID_Conversion!N134,SoundCast_Data!$P$2:$P$747)</f>
        <v>3.3805390149354864</v>
      </c>
    </row>
    <row r="135" spans="1:17" x14ac:dyDescent="0.25">
      <c r="A135">
        <v>459</v>
      </c>
      <c r="B135">
        <v>110134</v>
      </c>
      <c r="C135">
        <v>1</v>
      </c>
      <c r="D135" t="s">
        <v>1038</v>
      </c>
      <c r="E135" t="s">
        <v>327</v>
      </c>
      <c r="F135" t="s">
        <v>1038</v>
      </c>
      <c r="G135">
        <v>1</v>
      </c>
      <c r="H135">
        <v>134</v>
      </c>
      <c r="I135" t="s">
        <v>97</v>
      </c>
      <c r="J135">
        <v>1031</v>
      </c>
      <c r="K135" s="8">
        <f>SUMIF(SoundCast_Data!$A$2:$A$1001,RouteID_Conversion!$H$2:$H$999,SoundCast_Data!$C$2:$C$1001)</f>
        <v>127.1211128234862</v>
      </c>
      <c r="N135">
        <v>134</v>
      </c>
      <c r="O135" t="s">
        <v>133</v>
      </c>
      <c r="P135">
        <v>1054</v>
      </c>
      <c r="Q135" s="8">
        <f>SUMIF(SoundCast_Data!$Q$2:$Q$747,RouteID_Conversion!N135,SoundCast_Data!$P$2:$P$747)</f>
        <v>105.243438720703</v>
      </c>
    </row>
    <row r="136" spans="1:17" x14ac:dyDescent="0.25">
      <c r="A136">
        <v>155</v>
      </c>
      <c r="B136">
        <v>110135</v>
      </c>
      <c r="C136">
        <v>1</v>
      </c>
      <c r="D136" t="s">
        <v>563</v>
      </c>
      <c r="E136" t="s">
        <v>327</v>
      </c>
      <c r="F136" t="s">
        <v>563</v>
      </c>
      <c r="G136">
        <v>1</v>
      </c>
      <c r="H136">
        <v>135</v>
      </c>
      <c r="I136" t="s">
        <v>97</v>
      </c>
      <c r="J136">
        <v>1031</v>
      </c>
      <c r="K136" s="8">
        <f>SUMIF(SoundCast_Data!$A$2:$A$1001,RouteID_Conversion!$H$2:$H$999,SoundCast_Data!$C$2:$C$1001)</f>
        <v>137.95156097412089</v>
      </c>
      <c r="N136">
        <v>135</v>
      </c>
      <c r="O136" t="s">
        <v>133</v>
      </c>
      <c r="P136">
        <v>1054</v>
      </c>
      <c r="Q136" s="8">
        <f>SUMIF(SoundCast_Data!$Q$2:$Q$747,RouteID_Conversion!N136,SoundCast_Data!$P$2:$P$747)</f>
        <v>626.73065948486237</v>
      </c>
    </row>
    <row r="137" spans="1:17" x14ac:dyDescent="0.25">
      <c r="A137">
        <v>156</v>
      </c>
      <c r="B137">
        <v>110136</v>
      </c>
      <c r="C137">
        <v>1</v>
      </c>
      <c r="D137" t="s">
        <v>564</v>
      </c>
      <c r="E137" t="s">
        <v>327</v>
      </c>
      <c r="F137" t="s">
        <v>564</v>
      </c>
      <c r="G137">
        <v>1</v>
      </c>
      <c r="H137">
        <v>136</v>
      </c>
      <c r="I137" t="s">
        <v>97</v>
      </c>
      <c r="J137">
        <v>1031</v>
      </c>
      <c r="K137" s="8">
        <f>SUMIF(SoundCast_Data!$A$2:$A$1001,RouteID_Conversion!$H$2:$H$999,SoundCast_Data!$C$2:$C$1001)</f>
        <v>146.4237899780272</v>
      </c>
      <c r="N137">
        <v>136</v>
      </c>
      <c r="O137" t="s">
        <v>133</v>
      </c>
      <c r="P137">
        <v>1054</v>
      </c>
      <c r="Q137" s="8">
        <f>SUMIF(SoundCast_Data!$Q$2:$Q$747,RouteID_Conversion!N137,SoundCast_Data!$P$2:$P$747)</f>
        <v>313.93345642089741</v>
      </c>
    </row>
    <row r="138" spans="1:17" x14ac:dyDescent="0.25">
      <c r="A138">
        <v>458</v>
      </c>
      <c r="B138">
        <v>110137</v>
      </c>
      <c r="C138">
        <v>1</v>
      </c>
      <c r="D138" t="s">
        <v>1037</v>
      </c>
      <c r="E138" t="s">
        <v>327</v>
      </c>
      <c r="F138" t="s">
        <v>1037</v>
      </c>
      <c r="G138">
        <v>1</v>
      </c>
      <c r="H138">
        <v>137</v>
      </c>
      <c r="I138" t="s">
        <v>99</v>
      </c>
      <c r="J138">
        <v>1033</v>
      </c>
      <c r="K138" s="8">
        <f>SUMIF(SoundCast_Data!$A$2:$A$1001,RouteID_Conversion!$H$2:$H$999,SoundCast_Data!$C$2:$C$1001)</f>
        <v>271.45663452148403</v>
      </c>
      <c r="N138">
        <v>137</v>
      </c>
      <c r="O138" t="s">
        <v>135</v>
      </c>
      <c r="P138">
        <v>1055</v>
      </c>
      <c r="Q138" s="8">
        <f>SUMIF(SoundCast_Data!$Q$2:$Q$747,RouteID_Conversion!N138,SoundCast_Data!$P$2:$P$747)</f>
        <v>466.01012420654246</v>
      </c>
    </row>
    <row r="139" spans="1:17" x14ac:dyDescent="0.25">
      <c r="A139">
        <v>683</v>
      </c>
      <c r="B139">
        <v>110138</v>
      </c>
      <c r="C139">
        <v>1</v>
      </c>
      <c r="D139" t="s">
        <v>1349</v>
      </c>
      <c r="E139" t="s">
        <v>327</v>
      </c>
      <c r="F139" t="s">
        <v>1349</v>
      </c>
      <c r="G139">
        <v>1</v>
      </c>
      <c r="H139">
        <v>138</v>
      </c>
      <c r="I139" t="s">
        <v>99</v>
      </c>
      <c r="J139">
        <v>1033</v>
      </c>
      <c r="K139" s="8">
        <f>SUMIF(SoundCast_Data!$A$2:$A$1001,RouteID_Conversion!$H$2:$H$999,SoundCast_Data!$C$2:$C$1001)</f>
        <v>47.848964691161996</v>
      </c>
      <c r="N139">
        <v>138</v>
      </c>
      <c r="O139" t="s">
        <v>135</v>
      </c>
      <c r="P139">
        <v>1055</v>
      </c>
      <c r="Q139" s="8">
        <f>SUMIF(SoundCast_Data!$Q$2:$Q$747,RouteID_Conversion!N139,SoundCast_Data!$P$2:$P$747)</f>
        <v>248.11556243896399</v>
      </c>
    </row>
    <row r="140" spans="1:17" x14ac:dyDescent="0.25">
      <c r="A140">
        <v>157</v>
      </c>
      <c r="B140">
        <v>110139</v>
      </c>
      <c r="C140">
        <v>1</v>
      </c>
      <c r="D140" t="s">
        <v>565</v>
      </c>
      <c r="E140" t="s">
        <v>327</v>
      </c>
      <c r="F140" t="s">
        <v>565</v>
      </c>
      <c r="G140">
        <v>1</v>
      </c>
      <c r="H140">
        <v>139</v>
      </c>
      <c r="I140" t="s">
        <v>99</v>
      </c>
      <c r="J140">
        <v>1033</v>
      </c>
      <c r="K140" s="8">
        <f>SUMIF(SoundCast_Data!$A$2:$A$1001,RouteID_Conversion!$H$2:$H$999,SoundCast_Data!$C$2:$C$1001)</f>
        <v>380.65249633788903</v>
      </c>
      <c r="N140">
        <v>139</v>
      </c>
      <c r="O140" t="s">
        <v>137</v>
      </c>
      <c r="P140">
        <v>1056</v>
      </c>
      <c r="Q140" s="8">
        <f>SUMIF(SoundCast_Data!$Q$2:$Q$747,RouteID_Conversion!N140,SoundCast_Data!$P$2:$P$747)</f>
        <v>355.36241912841791</v>
      </c>
    </row>
    <row r="141" spans="1:17" x14ac:dyDescent="0.25">
      <c r="A141">
        <v>365</v>
      </c>
      <c r="B141">
        <v>110140</v>
      </c>
      <c r="C141">
        <v>1</v>
      </c>
      <c r="D141" t="s">
        <v>900</v>
      </c>
      <c r="E141" t="s">
        <v>327</v>
      </c>
      <c r="F141" t="s">
        <v>900</v>
      </c>
      <c r="G141">
        <v>1</v>
      </c>
      <c r="H141">
        <v>140</v>
      </c>
      <c r="I141" t="s">
        <v>101</v>
      </c>
      <c r="J141">
        <v>1034</v>
      </c>
      <c r="K141" s="8">
        <f>SUMIF(SoundCast_Data!$A$2:$A$1001,RouteID_Conversion!$H$2:$H$999,SoundCast_Data!$C$2:$C$1001)</f>
        <v>79.392789840698001</v>
      </c>
      <c r="N141">
        <v>140</v>
      </c>
      <c r="O141" t="s">
        <v>137</v>
      </c>
      <c r="P141">
        <v>1056</v>
      </c>
      <c r="Q141" s="8">
        <f>SUMIF(SoundCast_Data!$Q$2:$Q$747,RouteID_Conversion!N141,SoundCast_Data!$P$2:$P$747)</f>
        <v>261.37966918945261</v>
      </c>
    </row>
    <row r="142" spans="1:17" x14ac:dyDescent="0.25">
      <c r="A142">
        <v>366</v>
      </c>
      <c r="B142">
        <v>110141</v>
      </c>
      <c r="C142">
        <v>1</v>
      </c>
      <c r="D142" t="s">
        <v>901</v>
      </c>
      <c r="E142" t="s">
        <v>327</v>
      </c>
      <c r="F142" t="s">
        <v>901</v>
      </c>
      <c r="G142">
        <v>1</v>
      </c>
      <c r="H142">
        <v>141</v>
      </c>
      <c r="I142" t="s">
        <v>103</v>
      </c>
      <c r="J142">
        <v>1035</v>
      </c>
      <c r="K142" s="8">
        <f>SUMIF(SoundCast_Data!$A$2:$A$1001,RouteID_Conversion!$H$2:$H$999,SoundCast_Data!$C$2:$C$1001)</f>
        <v>7.8236135244369391</v>
      </c>
      <c r="N142">
        <v>141</v>
      </c>
      <c r="O142" t="s">
        <v>141</v>
      </c>
      <c r="P142">
        <v>1060</v>
      </c>
      <c r="Q142" s="8">
        <f>SUMIF(SoundCast_Data!$Q$2:$Q$747,RouteID_Conversion!N142,SoundCast_Data!$P$2:$P$747)</f>
        <v>877.691879272459</v>
      </c>
    </row>
    <row r="143" spans="1:17" x14ac:dyDescent="0.25">
      <c r="A143">
        <v>633</v>
      </c>
      <c r="B143">
        <v>110142</v>
      </c>
      <c r="C143">
        <v>1</v>
      </c>
      <c r="D143" t="s">
        <v>1291</v>
      </c>
      <c r="E143" t="s">
        <v>327</v>
      </c>
      <c r="F143" t="s">
        <v>1291</v>
      </c>
      <c r="G143">
        <v>1</v>
      </c>
      <c r="H143">
        <v>142</v>
      </c>
      <c r="I143" t="s">
        <v>105</v>
      </c>
      <c r="J143">
        <v>1036</v>
      </c>
      <c r="K143" s="8">
        <f>SUMIF(SoundCast_Data!$A$2:$A$1001,RouteID_Conversion!$H$2:$H$999,SoundCast_Data!$C$2:$C$1001)</f>
        <v>511.86332702636605</v>
      </c>
      <c r="N143">
        <v>142</v>
      </c>
      <c r="O143" t="s">
        <v>141</v>
      </c>
      <c r="P143">
        <v>1060</v>
      </c>
      <c r="Q143" s="8">
        <f>SUMIF(SoundCast_Data!$Q$2:$Q$747,RouteID_Conversion!N143,SoundCast_Data!$P$2:$P$747)</f>
        <v>61.835282325744501</v>
      </c>
    </row>
    <row r="144" spans="1:17" x14ac:dyDescent="0.25">
      <c r="A144">
        <v>634</v>
      </c>
      <c r="B144">
        <v>110143</v>
      </c>
      <c r="C144">
        <v>1</v>
      </c>
      <c r="D144" t="s">
        <v>1292</v>
      </c>
      <c r="E144" t="s">
        <v>327</v>
      </c>
      <c r="F144" t="s">
        <v>1292</v>
      </c>
      <c r="G144">
        <v>1</v>
      </c>
      <c r="H144">
        <v>143</v>
      </c>
      <c r="I144" t="s">
        <v>105</v>
      </c>
      <c r="J144">
        <v>1036</v>
      </c>
      <c r="K144" s="8">
        <f>SUMIF(SoundCast_Data!$A$2:$A$1001,RouteID_Conversion!$H$2:$H$999,SoundCast_Data!$C$2:$C$1001)</f>
        <v>55.7368965148925</v>
      </c>
      <c r="N144">
        <v>143</v>
      </c>
      <c r="O144" t="s">
        <v>141</v>
      </c>
      <c r="P144">
        <v>1060</v>
      </c>
      <c r="Q144" s="8">
        <f>SUMIF(SoundCast_Data!$Q$2:$Q$747,RouteID_Conversion!N144,SoundCast_Data!$P$2:$P$747)</f>
        <v>614.0939178466781</v>
      </c>
    </row>
    <row r="145" spans="1:17" x14ac:dyDescent="0.25">
      <c r="A145">
        <v>635</v>
      </c>
      <c r="B145">
        <v>110144</v>
      </c>
      <c r="C145">
        <v>1</v>
      </c>
      <c r="D145" t="s">
        <v>1293</v>
      </c>
      <c r="E145" t="s">
        <v>327</v>
      </c>
      <c r="F145" t="s">
        <v>1293</v>
      </c>
      <c r="G145">
        <v>1</v>
      </c>
      <c r="H145">
        <v>144</v>
      </c>
      <c r="I145" t="s">
        <v>105</v>
      </c>
      <c r="J145">
        <v>1036</v>
      </c>
      <c r="K145" s="8">
        <f>SUMIF(SoundCast_Data!$A$2:$A$1001,RouteID_Conversion!$H$2:$H$999,SoundCast_Data!$C$2:$C$1001)</f>
        <v>652.68103027343602</v>
      </c>
      <c r="N145">
        <v>144</v>
      </c>
      <c r="O145" t="s">
        <v>145</v>
      </c>
      <c r="P145">
        <v>1065</v>
      </c>
      <c r="Q145" s="8">
        <f>SUMIF(SoundCast_Data!$Q$2:$Q$747,RouteID_Conversion!N145,SoundCast_Data!$P$2:$P$747)</f>
        <v>328.35818481445233</v>
      </c>
    </row>
    <row r="146" spans="1:17" x14ac:dyDescent="0.25">
      <c r="A146">
        <v>636</v>
      </c>
      <c r="B146">
        <v>110145</v>
      </c>
      <c r="C146">
        <v>1</v>
      </c>
      <c r="D146" t="s">
        <v>1294</v>
      </c>
      <c r="E146" t="s">
        <v>327</v>
      </c>
      <c r="F146" t="s">
        <v>1294</v>
      </c>
      <c r="G146">
        <v>1</v>
      </c>
      <c r="H146">
        <v>145</v>
      </c>
      <c r="I146" t="s">
        <v>105</v>
      </c>
      <c r="J146">
        <v>1036</v>
      </c>
      <c r="K146" s="8">
        <f>SUMIF(SoundCast_Data!$A$2:$A$1001,RouteID_Conversion!$H$2:$H$999,SoundCast_Data!$C$2:$C$1001)</f>
        <v>220.99206161499009</v>
      </c>
      <c r="N146">
        <v>145</v>
      </c>
      <c r="O146" t="s">
        <v>145</v>
      </c>
      <c r="P146">
        <v>1065</v>
      </c>
      <c r="Q146" s="8">
        <f>SUMIF(SoundCast_Data!$Q$2:$Q$747,RouteID_Conversion!N146,SoundCast_Data!$P$2:$P$747)</f>
        <v>292.77074050903258</v>
      </c>
    </row>
    <row r="147" spans="1:17" x14ac:dyDescent="0.25">
      <c r="A147">
        <v>637</v>
      </c>
      <c r="B147">
        <v>110146</v>
      </c>
      <c r="C147">
        <v>1</v>
      </c>
      <c r="D147" t="s">
        <v>1295</v>
      </c>
      <c r="E147" t="s">
        <v>327</v>
      </c>
      <c r="F147" t="s">
        <v>1295</v>
      </c>
      <c r="G147">
        <v>1</v>
      </c>
      <c r="H147">
        <v>146</v>
      </c>
      <c r="I147" t="s">
        <v>105</v>
      </c>
      <c r="J147">
        <v>1036</v>
      </c>
      <c r="K147" s="8">
        <f>SUMIF(SoundCast_Data!$A$2:$A$1001,RouteID_Conversion!$H$2:$H$999,SoundCast_Data!$C$2:$C$1001)</f>
        <v>73.298606872558395</v>
      </c>
      <c r="N147">
        <v>146</v>
      </c>
      <c r="O147" t="s">
        <v>147</v>
      </c>
      <c r="P147">
        <v>1066</v>
      </c>
      <c r="Q147" s="8">
        <f>SUMIF(SoundCast_Data!$Q$2:$Q$747,RouteID_Conversion!N147,SoundCast_Data!$P$2:$P$747)</f>
        <v>479.47885131835881</v>
      </c>
    </row>
    <row r="148" spans="1:17" x14ac:dyDescent="0.25">
      <c r="A148">
        <v>638</v>
      </c>
      <c r="B148">
        <v>110147</v>
      </c>
      <c r="C148">
        <v>1</v>
      </c>
      <c r="D148" t="s">
        <v>1296</v>
      </c>
      <c r="E148" t="s">
        <v>327</v>
      </c>
      <c r="F148" t="s">
        <v>1296</v>
      </c>
      <c r="G148">
        <v>1</v>
      </c>
      <c r="H148">
        <v>147</v>
      </c>
      <c r="I148" t="s">
        <v>105</v>
      </c>
      <c r="J148">
        <v>1036</v>
      </c>
      <c r="K148" s="8">
        <f>SUMIF(SoundCast_Data!$A$2:$A$1001,RouteID_Conversion!$H$2:$H$999,SoundCast_Data!$C$2:$C$1001)</f>
        <v>362.3002929687492</v>
      </c>
      <c r="N148">
        <v>147</v>
      </c>
      <c r="O148" t="s">
        <v>147</v>
      </c>
      <c r="P148">
        <v>1066</v>
      </c>
      <c r="Q148" s="8">
        <f>SUMIF(SoundCast_Data!$Q$2:$Q$747,RouteID_Conversion!N148,SoundCast_Data!$P$2:$P$747)</f>
        <v>735.36305236816202</v>
      </c>
    </row>
    <row r="149" spans="1:17" x14ac:dyDescent="0.25">
      <c r="A149">
        <v>639</v>
      </c>
      <c r="B149">
        <v>110148</v>
      </c>
      <c r="C149">
        <v>1</v>
      </c>
      <c r="D149" t="s">
        <v>1297</v>
      </c>
      <c r="E149" t="s">
        <v>327</v>
      </c>
      <c r="F149" t="s">
        <v>1297</v>
      </c>
      <c r="G149">
        <v>1</v>
      </c>
      <c r="H149">
        <v>148</v>
      </c>
      <c r="I149" t="s">
        <v>105</v>
      </c>
      <c r="J149">
        <v>1036</v>
      </c>
      <c r="K149" s="8">
        <f>SUMIF(SoundCast_Data!$A$2:$A$1001,RouteID_Conversion!$H$2:$H$999,SoundCast_Data!$C$2:$C$1001)</f>
        <v>7.2299294471740598</v>
      </c>
      <c r="N149">
        <v>148</v>
      </c>
      <c r="O149" t="s">
        <v>149</v>
      </c>
      <c r="P149">
        <v>1067</v>
      </c>
      <c r="Q149" s="8">
        <f>SUMIF(SoundCast_Data!$Q$2:$Q$747,RouteID_Conversion!N149,SoundCast_Data!$P$2:$P$747)</f>
        <v>173.5357971191404</v>
      </c>
    </row>
    <row r="150" spans="1:17" x14ac:dyDescent="0.25">
      <c r="A150">
        <v>780</v>
      </c>
      <c r="B150">
        <v>110149</v>
      </c>
      <c r="C150">
        <v>1</v>
      </c>
      <c r="D150" t="s">
        <v>1497</v>
      </c>
      <c r="E150" t="s">
        <v>327</v>
      </c>
      <c r="F150" t="s">
        <v>1497</v>
      </c>
      <c r="G150">
        <v>1</v>
      </c>
      <c r="H150">
        <v>149</v>
      </c>
      <c r="I150" t="s">
        <v>107</v>
      </c>
      <c r="J150">
        <v>1037</v>
      </c>
      <c r="K150" s="8">
        <f>SUMIF(SoundCast_Data!$A$2:$A$1001,RouteID_Conversion!$H$2:$H$999,SoundCast_Data!$C$2:$C$1001)</f>
        <v>280.35061645507767</v>
      </c>
      <c r="N150">
        <v>149</v>
      </c>
      <c r="O150" t="s">
        <v>149</v>
      </c>
      <c r="P150">
        <v>1067</v>
      </c>
      <c r="Q150" s="8">
        <f>SUMIF(SoundCast_Data!$Q$2:$Q$747,RouteID_Conversion!N150,SoundCast_Data!$P$2:$P$747)</f>
        <v>391.70007324218705</v>
      </c>
    </row>
    <row r="151" spans="1:17" x14ac:dyDescent="0.25">
      <c r="A151">
        <v>67</v>
      </c>
      <c r="B151">
        <v>110150</v>
      </c>
      <c r="C151">
        <v>1</v>
      </c>
      <c r="D151" t="s">
        <v>423</v>
      </c>
      <c r="E151" t="s">
        <v>327</v>
      </c>
      <c r="F151" t="s">
        <v>423</v>
      </c>
      <c r="G151">
        <v>1</v>
      </c>
      <c r="H151">
        <v>150</v>
      </c>
      <c r="I151" t="s">
        <v>109</v>
      </c>
      <c r="J151">
        <v>1038</v>
      </c>
      <c r="K151" s="8">
        <f>SUMIF(SoundCast_Data!$A$2:$A$1001,RouteID_Conversion!$H$2:$H$999,SoundCast_Data!$C$2:$C$1001)</f>
        <v>2.067737668752669</v>
      </c>
      <c r="N151">
        <v>150</v>
      </c>
      <c r="O151" t="s">
        <v>151</v>
      </c>
      <c r="P151">
        <v>1068</v>
      </c>
      <c r="Q151" s="8">
        <f>SUMIF(SoundCast_Data!$Q$2:$Q$747,RouteID_Conversion!N151,SoundCast_Data!$P$2:$P$747)</f>
        <v>402.04328536987282</v>
      </c>
    </row>
    <row r="152" spans="1:17" x14ac:dyDescent="0.25">
      <c r="A152">
        <v>68</v>
      </c>
      <c r="B152">
        <v>110151</v>
      </c>
      <c r="C152">
        <v>1</v>
      </c>
      <c r="D152" t="s">
        <v>424</v>
      </c>
      <c r="E152" t="s">
        <v>327</v>
      </c>
      <c r="F152" t="s">
        <v>424</v>
      </c>
      <c r="G152">
        <v>1</v>
      </c>
      <c r="H152">
        <v>151</v>
      </c>
      <c r="I152" t="s">
        <v>109</v>
      </c>
      <c r="J152">
        <v>1038</v>
      </c>
      <c r="K152" s="8">
        <f>SUMIF(SoundCast_Data!$A$2:$A$1001,RouteID_Conversion!$H$2:$H$999,SoundCast_Data!$C$2:$C$1001)</f>
        <v>1.132564276456832</v>
      </c>
      <c r="N152">
        <v>151</v>
      </c>
      <c r="O152" t="s">
        <v>151</v>
      </c>
      <c r="P152">
        <v>1068</v>
      </c>
      <c r="Q152" s="8">
        <f>SUMIF(SoundCast_Data!$Q$2:$Q$747,RouteID_Conversion!N152,SoundCast_Data!$P$2:$P$747)</f>
        <v>257.34969329833967</v>
      </c>
    </row>
    <row r="153" spans="1:17" x14ac:dyDescent="0.25">
      <c r="A153">
        <v>518</v>
      </c>
      <c r="B153">
        <v>110152</v>
      </c>
      <c r="C153">
        <v>1</v>
      </c>
      <c r="D153" t="s">
        <v>1125</v>
      </c>
      <c r="E153" t="s">
        <v>327</v>
      </c>
      <c r="F153" t="s">
        <v>1125</v>
      </c>
      <c r="G153">
        <v>1</v>
      </c>
      <c r="H153">
        <v>152</v>
      </c>
      <c r="I153" t="s">
        <v>111</v>
      </c>
      <c r="J153">
        <v>1039</v>
      </c>
      <c r="K153" s="8">
        <f>SUMIF(SoundCast_Data!$A$2:$A$1001,RouteID_Conversion!$H$2:$H$999,SoundCast_Data!$C$2:$C$1001)</f>
        <v>265.83329772949122</v>
      </c>
      <c r="N153">
        <v>152</v>
      </c>
      <c r="O153" t="s">
        <v>153</v>
      </c>
      <c r="P153">
        <v>1070</v>
      </c>
      <c r="Q153" s="8">
        <f>SUMIF(SoundCast_Data!$Q$2:$Q$747,RouteID_Conversion!N153,SoundCast_Data!$P$2:$P$747)</f>
        <v>1117.346435546873</v>
      </c>
    </row>
    <row r="154" spans="1:17" x14ac:dyDescent="0.25">
      <c r="A154">
        <v>519</v>
      </c>
      <c r="B154">
        <v>110153</v>
      </c>
      <c r="C154">
        <v>1</v>
      </c>
      <c r="D154" t="s">
        <v>1126</v>
      </c>
      <c r="E154" t="s">
        <v>327</v>
      </c>
      <c r="F154" t="s">
        <v>1126</v>
      </c>
      <c r="G154">
        <v>1</v>
      </c>
      <c r="H154">
        <v>153</v>
      </c>
      <c r="I154" t="s">
        <v>111</v>
      </c>
      <c r="J154">
        <v>1039</v>
      </c>
      <c r="K154" s="8">
        <f>SUMIF(SoundCast_Data!$A$2:$A$1001,RouteID_Conversion!$H$2:$H$999,SoundCast_Data!$C$2:$C$1001)</f>
        <v>180.9337844848632</v>
      </c>
      <c r="N154">
        <v>153</v>
      </c>
      <c r="O154" t="s">
        <v>153</v>
      </c>
      <c r="P154">
        <v>1070</v>
      </c>
      <c r="Q154" s="8">
        <f>SUMIF(SoundCast_Data!$Q$2:$Q$747,RouteID_Conversion!N154,SoundCast_Data!$P$2:$P$747)</f>
        <v>1061.3856506347638</v>
      </c>
    </row>
    <row r="155" spans="1:17" x14ac:dyDescent="0.25">
      <c r="A155">
        <v>520</v>
      </c>
      <c r="B155">
        <v>110154</v>
      </c>
      <c r="C155">
        <v>1</v>
      </c>
      <c r="D155" t="s">
        <v>1127</v>
      </c>
      <c r="E155" t="s">
        <v>327</v>
      </c>
      <c r="F155" t="s">
        <v>1127</v>
      </c>
      <c r="G155">
        <v>1</v>
      </c>
      <c r="H155">
        <v>154</v>
      </c>
      <c r="I155" t="s">
        <v>111</v>
      </c>
      <c r="J155">
        <v>1039</v>
      </c>
      <c r="K155" s="8">
        <f>SUMIF(SoundCast_Data!$A$2:$A$1001,RouteID_Conversion!$H$2:$H$999,SoundCast_Data!$C$2:$C$1001)</f>
        <v>21.61342239379881</v>
      </c>
      <c r="N155">
        <v>154</v>
      </c>
      <c r="O155" t="s">
        <v>153</v>
      </c>
      <c r="P155">
        <v>1070</v>
      </c>
      <c r="Q155" s="8">
        <f>SUMIF(SoundCast_Data!$Q$2:$Q$747,RouteID_Conversion!N155,SoundCast_Data!$P$2:$P$747)</f>
        <v>89.908341407775794</v>
      </c>
    </row>
    <row r="156" spans="1:17" x14ac:dyDescent="0.25">
      <c r="A156">
        <v>640</v>
      </c>
      <c r="B156">
        <v>110155</v>
      </c>
      <c r="C156">
        <v>1</v>
      </c>
      <c r="D156" t="s">
        <v>1298</v>
      </c>
      <c r="E156" t="s">
        <v>327</v>
      </c>
      <c r="F156" t="s">
        <v>1298</v>
      </c>
      <c r="G156">
        <v>1</v>
      </c>
      <c r="H156">
        <v>155</v>
      </c>
      <c r="I156" t="s">
        <v>113</v>
      </c>
      <c r="J156">
        <v>1041</v>
      </c>
      <c r="K156" s="8">
        <f>SUMIF(SoundCast_Data!$A$2:$A$1001,RouteID_Conversion!$H$2:$H$999,SoundCast_Data!$C$2:$C$1001)</f>
        <v>1095.1141967773419</v>
      </c>
      <c r="N156">
        <v>155</v>
      </c>
      <c r="O156" t="s">
        <v>155</v>
      </c>
      <c r="P156">
        <v>1071</v>
      </c>
      <c r="Q156" s="8">
        <f>SUMIF(SoundCast_Data!$Q$2:$Q$747,RouteID_Conversion!N156,SoundCast_Data!$P$2:$P$747)</f>
        <v>616.23672485351494</v>
      </c>
    </row>
    <row r="157" spans="1:17" x14ac:dyDescent="0.25">
      <c r="A157">
        <v>641</v>
      </c>
      <c r="B157">
        <v>110156</v>
      </c>
      <c r="C157">
        <v>1</v>
      </c>
      <c r="D157" t="s">
        <v>1299</v>
      </c>
      <c r="E157" t="s">
        <v>327</v>
      </c>
      <c r="F157" t="s">
        <v>1299</v>
      </c>
      <c r="G157">
        <v>1</v>
      </c>
      <c r="H157">
        <v>156</v>
      </c>
      <c r="I157" t="s">
        <v>113</v>
      </c>
      <c r="J157">
        <v>1041</v>
      </c>
      <c r="K157" s="8">
        <f>SUMIF(SoundCast_Data!$A$2:$A$1001,RouteID_Conversion!$H$2:$H$999,SoundCast_Data!$C$2:$C$1001)</f>
        <v>461.76999664306499</v>
      </c>
      <c r="N157">
        <v>156</v>
      </c>
      <c r="O157" t="s">
        <v>155</v>
      </c>
      <c r="P157">
        <v>1071</v>
      </c>
      <c r="Q157" s="8">
        <f>SUMIF(SoundCast_Data!$Q$2:$Q$747,RouteID_Conversion!N157,SoundCast_Data!$P$2:$P$747)</f>
        <v>208.81404113769429</v>
      </c>
    </row>
    <row r="158" spans="1:17" x14ac:dyDescent="0.25">
      <c r="A158">
        <v>931</v>
      </c>
      <c r="B158">
        <v>110157</v>
      </c>
      <c r="C158">
        <v>1</v>
      </c>
      <c r="D158" t="s">
        <v>1746</v>
      </c>
      <c r="E158" t="s">
        <v>327</v>
      </c>
      <c r="F158" t="s">
        <v>1746</v>
      </c>
      <c r="G158">
        <v>1</v>
      </c>
      <c r="H158">
        <v>157</v>
      </c>
      <c r="I158" t="s">
        <v>113</v>
      </c>
      <c r="J158">
        <v>1041</v>
      </c>
      <c r="K158" s="8">
        <f>SUMIF(SoundCast_Data!$A$2:$A$1001,RouteID_Conversion!$H$2:$H$999,SoundCast_Data!$C$2:$C$1001)</f>
        <v>355.13117980956804</v>
      </c>
      <c r="N158">
        <v>157</v>
      </c>
      <c r="O158" t="s">
        <v>155</v>
      </c>
      <c r="P158">
        <v>1071</v>
      </c>
      <c r="Q158" s="8">
        <f>SUMIF(SoundCast_Data!$Q$2:$Q$747,RouteID_Conversion!N158,SoundCast_Data!$P$2:$P$747)</f>
        <v>315.97288513183503</v>
      </c>
    </row>
    <row r="159" spans="1:17" x14ac:dyDescent="0.25">
      <c r="A159">
        <v>642</v>
      </c>
      <c r="B159">
        <v>110158</v>
      </c>
      <c r="C159">
        <v>1</v>
      </c>
      <c r="D159" t="s">
        <v>1300</v>
      </c>
      <c r="E159" t="s">
        <v>327</v>
      </c>
      <c r="F159" t="s">
        <v>1300</v>
      </c>
      <c r="G159">
        <v>1</v>
      </c>
      <c r="H159">
        <v>158</v>
      </c>
      <c r="I159" t="s">
        <v>113</v>
      </c>
      <c r="J159">
        <v>1041</v>
      </c>
      <c r="K159" s="8">
        <f>SUMIF(SoundCast_Data!$A$2:$A$1001,RouteID_Conversion!$H$2:$H$999,SoundCast_Data!$C$2:$C$1001)</f>
        <v>755.62361145019304</v>
      </c>
      <c r="N159">
        <v>158</v>
      </c>
      <c r="O159" t="s">
        <v>155</v>
      </c>
      <c r="P159">
        <v>1071</v>
      </c>
      <c r="Q159" s="8">
        <f>SUMIF(SoundCast_Data!$Q$2:$Q$747,RouteID_Conversion!N159,SoundCast_Data!$P$2:$P$747)</f>
        <v>347.13903427123967</v>
      </c>
    </row>
    <row r="160" spans="1:17" x14ac:dyDescent="0.25">
      <c r="A160">
        <v>643</v>
      </c>
      <c r="B160">
        <v>110159</v>
      </c>
      <c r="C160">
        <v>1</v>
      </c>
      <c r="D160" t="s">
        <v>1301</v>
      </c>
      <c r="E160" t="s">
        <v>327</v>
      </c>
      <c r="F160" t="s">
        <v>1301</v>
      </c>
      <c r="G160">
        <v>1</v>
      </c>
      <c r="H160">
        <v>159</v>
      </c>
      <c r="I160" t="s">
        <v>113</v>
      </c>
      <c r="J160">
        <v>1041</v>
      </c>
      <c r="K160" s="8">
        <f>SUMIF(SoundCast_Data!$A$2:$A$1001,RouteID_Conversion!$H$2:$H$999,SoundCast_Data!$C$2:$C$1001)</f>
        <v>292.03044128417866</v>
      </c>
      <c r="N160">
        <v>159</v>
      </c>
      <c r="O160" t="s">
        <v>157</v>
      </c>
      <c r="P160">
        <v>1072</v>
      </c>
      <c r="Q160" s="8">
        <f>SUMIF(SoundCast_Data!$Q$2:$Q$747,RouteID_Conversion!N160,SoundCast_Data!$P$2:$P$747)</f>
        <v>583.03865814208893</v>
      </c>
    </row>
    <row r="161" spans="1:17" x14ac:dyDescent="0.25">
      <c r="A161">
        <v>370</v>
      </c>
      <c r="B161">
        <v>110160</v>
      </c>
      <c r="C161">
        <v>1</v>
      </c>
      <c r="D161" t="s">
        <v>905</v>
      </c>
      <c r="E161" t="s">
        <v>327</v>
      </c>
      <c r="F161" t="s">
        <v>905</v>
      </c>
      <c r="G161">
        <v>1</v>
      </c>
      <c r="H161">
        <v>160</v>
      </c>
      <c r="I161" t="s">
        <v>115</v>
      </c>
      <c r="J161">
        <v>1042</v>
      </c>
      <c r="K161" s="8">
        <f>SUMIF(SoundCast_Data!$A$2:$A$1001,RouteID_Conversion!$H$2:$H$999,SoundCast_Data!$C$2:$C$1001)</f>
        <v>6.39763832092284</v>
      </c>
      <c r="N161">
        <v>160</v>
      </c>
      <c r="O161" t="s">
        <v>157</v>
      </c>
      <c r="P161">
        <v>1072</v>
      </c>
      <c r="Q161" s="8">
        <f>SUMIF(SoundCast_Data!$Q$2:$Q$747,RouteID_Conversion!N161,SoundCast_Data!$P$2:$P$747)</f>
        <v>197.7162742614745</v>
      </c>
    </row>
    <row r="162" spans="1:17" x14ac:dyDescent="0.25">
      <c r="A162">
        <v>371</v>
      </c>
      <c r="B162">
        <v>110161</v>
      </c>
      <c r="C162">
        <v>1</v>
      </c>
      <c r="D162" t="s">
        <v>906</v>
      </c>
      <c r="E162" t="s">
        <v>327</v>
      </c>
      <c r="F162" t="s">
        <v>906</v>
      </c>
      <c r="G162">
        <v>1</v>
      </c>
      <c r="H162">
        <v>161</v>
      </c>
      <c r="I162" t="s">
        <v>115</v>
      </c>
      <c r="J162">
        <v>1042</v>
      </c>
      <c r="K162" s="8">
        <f>SUMIF(SoundCast_Data!$A$2:$A$1001,RouteID_Conversion!$H$2:$H$999,SoundCast_Data!$C$2:$C$1001)</f>
        <v>6.2392203807830704</v>
      </c>
      <c r="N162">
        <v>161</v>
      </c>
      <c r="O162" t="s">
        <v>157</v>
      </c>
      <c r="P162">
        <v>1072</v>
      </c>
      <c r="Q162" s="8">
        <f>SUMIF(SoundCast_Data!$Q$2:$Q$747,RouteID_Conversion!N162,SoundCast_Data!$P$2:$P$747)</f>
        <v>405.84499359130848</v>
      </c>
    </row>
    <row r="163" spans="1:17" x14ac:dyDescent="0.25">
      <c r="A163">
        <v>271</v>
      </c>
      <c r="B163">
        <v>110162</v>
      </c>
      <c r="C163">
        <v>1</v>
      </c>
      <c r="D163" t="s">
        <v>744</v>
      </c>
      <c r="E163" t="s">
        <v>327</v>
      </c>
      <c r="F163" t="s">
        <v>744</v>
      </c>
      <c r="G163">
        <v>1</v>
      </c>
      <c r="H163">
        <v>162</v>
      </c>
      <c r="I163" t="s">
        <v>115</v>
      </c>
      <c r="J163">
        <v>1042</v>
      </c>
      <c r="K163" s="8">
        <f>SUMIF(SoundCast_Data!$A$2:$A$1001,RouteID_Conversion!$H$2:$H$999,SoundCast_Data!$C$2:$C$1001)</f>
        <v>6.2392203807830704</v>
      </c>
      <c r="N163">
        <v>162</v>
      </c>
      <c r="O163" t="s">
        <v>157</v>
      </c>
      <c r="P163">
        <v>1072</v>
      </c>
      <c r="Q163" s="8">
        <f>SUMIF(SoundCast_Data!$Q$2:$Q$747,RouteID_Conversion!N163,SoundCast_Data!$P$2:$P$747)</f>
        <v>370.43598175048737</v>
      </c>
    </row>
    <row r="164" spans="1:17" x14ac:dyDescent="0.25">
      <c r="A164">
        <v>171</v>
      </c>
      <c r="B164">
        <v>110163</v>
      </c>
      <c r="C164">
        <v>1</v>
      </c>
      <c r="D164" t="s">
        <v>585</v>
      </c>
      <c r="E164" t="s">
        <v>327</v>
      </c>
      <c r="F164" t="s">
        <v>585</v>
      </c>
      <c r="G164">
        <v>1</v>
      </c>
      <c r="H164">
        <v>163</v>
      </c>
      <c r="I164" t="s">
        <v>117</v>
      </c>
      <c r="J164">
        <v>1043</v>
      </c>
      <c r="K164" s="8">
        <f>SUMIF(SoundCast_Data!$A$2:$A$1001,RouteID_Conversion!$H$2:$H$999,SoundCast_Data!$C$2:$C$1001)</f>
        <v>473.62649536132699</v>
      </c>
      <c r="N164">
        <v>163</v>
      </c>
      <c r="O164" t="s">
        <v>159</v>
      </c>
      <c r="P164">
        <v>1073</v>
      </c>
      <c r="Q164" s="8">
        <f>SUMIF(SoundCast_Data!$Q$2:$Q$747,RouteID_Conversion!N164,SoundCast_Data!$P$2:$P$747)</f>
        <v>228.75195884704542</v>
      </c>
    </row>
    <row r="165" spans="1:17" x14ac:dyDescent="0.25">
      <c r="A165">
        <v>172</v>
      </c>
      <c r="B165">
        <v>110164</v>
      </c>
      <c r="C165">
        <v>1</v>
      </c>
      <c r="D165" t="s">
        <v>586</v>
      </c>
      <c r="E165" t="s">
        <v>327</v>
      </c>
      <c r="F165" t="s">
        <v>586</v>
      </c>
      <c r="G165">
        <v>1</v>
      </c>
      <c r="H165">
        <v>164</v>
      </c>
      <c r="I165" t="s">
        <v>117</v>
      </c>
      <c r="J165">
        <v>1043</v>
      </c>
      <c r="K165" s="8">
        <f>SUMIF(SoundCast_Data!$A$2:$A$1001,RouteID_Conversion!$H$2:$H$999,SoundCast_Data!$C$2:$C$1001)</f>
        <v>84.200256347656108</v>
      </c>
      <c r="N165">
        <v>164</v>
      </c>
      <c r="O165" t="s">
        <v>159</v>
      </c>
      <c r="P165">
        <v>1073</v>
      </c>
      <c r="Q165" s="8">
        <f>SUMIF(SoundCast_Data!$Q$2:$Q$747,RouteID_Conversion!N165,SoundCast_Data!$P$2:$P$747)</f>
        <v>241.74341583251939</v>
      </c>
    </row>
    <row r="166" spans="1:17" x14ac:dyDescent="0.25">
      <c r="A166">
        <v>173</v>
      </c>
      <c r="B166">
        <v>110165</v>
      </c>
      <c r="C166">
        <v>1</v>
      </c>
      <c r="D166" t="s">
        <v>587</v>
      </c>
      <c r="E166" t="s">
        <v>327</v>
      </c>
      <c r="F166" t="s">
        <v>587</v>
      </c>
      <c r="G166">
        <v>1</v>
      </c>
      <c r="H166">
        <v>165</v>
      </c>
      <c r="I166" t="s">
        <v>117</v>
      </c>
      <c r="J166">
        <v>1043</v>
      </c>
      <c r="K166" s="8">
        <f>SUMIF(SoundCast_Data!$A$2:$A$1001,RouteID_Conversion!$H$2:$H$999,SoundCast_Data!$C$2:$C$1001)</f>
        <v>31.217429161071628</v>
      </c>
      <c r="N166">
        <v>165</v>
      </c>
      <c r="O166" t="s">
        <v>159</v>
      </c>
      <c r="P166">
        <v>1073</v>
      </c>
      <c r="Q166" s="8">
        <f>SUMIF(SoundCast_Data!$Q$2:$Q$747,RouteID_Conversion!N166,SoundCast_Data!$P$2:$P$747)</f>
        <v>133.59057235717759</v>
      </c>
    </row>
    <row r="167" spans="1:17" x14ac:dyDescent="0.25">
      <c r="A167">
        <v>174</v>
      </c>
      <c r="B167">
        <v>110166</v>
      </c>
      <c r="C167">
        <v>1</v>
      </c>
      <c r="D167" t="s">
        <v>588</v>
      </c>
      <c r="E167" t="s">
        <v>327</v>
      </c>
      <c r="F167" t="s">
        <v>588</v>
      </c>
      <c r="G167">
        <v>1</v>
      </c>
      <c r="H167">
        <v>166</v>
      </c>
      <c r="I167" t="s">
        <v>117</v>
      </c>
      <c r="J167">
        <v>1043</v>
      </c>
      <c r="K167" s="8">
        <f>SUMIF(SoundCast_Data!$A$2:$A$1001,RouteID_Conversion!$H$2:$H$999,SoundCast_Data!$C$2:$C$1001)</f>
        <v>365.20625305175599</v>
      </c>
      <c r="N167">
        <v>166</v>
      </c>
      <c r="O167" t="s">
        <v>159</v>
      </c>
      <c r="P167">
        <v>1073</v>
      </c>
      <c r="Q167" s="8">
        <f>SUMIF(SoundCast_Data!$Q$2:$Q$747,RouteID_Conversion!N167,SoundCast_Data!$P$2:$P$747)</f>
        <v>82.849034309387093</v>
      </c>
    </row>
    <row r="168" spans="1:17" x14ac:dyDescent="0.25">
      <c r="A168">
        <v>175</v>
      </c>
      <c r="B168">
        <v>110167</v>
      </c>
      <c r="C168">
        <v>1</v>
      </c>
      <c r="D168" t="s">
        <v>589</v>
      </c>
      <c r="E168" t="s">
        <v>327</v>
      </c>
      <c r="F168" t="s">
        <v>589</v>
      </c>
      <c r="G168">
        <v>1</v>
      </c>
      <c r="H168">
        <v>167</v>
      </c>
      <c r="I168" t="s">
        <v>117</v>
      </c>
      <c r="J168">
        <v>1043</v>
      </c>
      <c r="K168" s="8">
        <f>SUMIF(SoundCast_Data!$A$2:$A$1001,RouteID_Conversion!$H$2:$H$999,SoundCast_Data!$C$2:$C$1001)</f>
        <v>44.7842464447019</v>
      </c>
      <c r="N168">
        <v>167</v>
      </c>
      <c r="O168" t="s">
        <v>159</v>
      </c>
      <c r="P168">
        <v>1073</v>
      </c>
      <c r="Q168" s="8">
        <f>SUMIF(SoundCast_Data!$Q$2:$Q$747,RouteID_Conversion!N168,SoundCast_Data!$P$2:$P$747)</f>
        <v>160.03970909118547</v>
      </c>
    </row>
    <row r="169" spans="1:17" x14ac:dyDescent="0.25">
      <c r="A169">
        <v>176</v>
      </c>
      <c r="B169">
        <v>110168</v>
      </c>
      <c r="C169">
        <v>1</v>
      </c>
      <c r="D169" t="s">
        <v>590</v>
      </c>
      <c r="E169" t="s">
        <v>327</v>
      </c>
      <c r="F169" t="s">
        <v>590</v>
      </c>
      <c r="G169">
        <v>1</v>
      </c>
      <c r="H169">
        <v>168</v>
      </c>
      <c r="I169" t="s">
        <v>117</v>
      </c>
      <c r="J169">
        <v>1043</v>
      </c>
      <c r="K169" s="8">
        <f>SUMIF(SoundCast_Data!$A$2:$A$1001,RouteID_Conversion!$H$2:$H$999,SoundCast_Data!$C$2:$C$1001)</f>
        <v>73.041252136230298</v>
      </c>
      <c r="N169">
        <v>168</v>
      </c>
      <c r="O169" t="s">
        <v>159</v>
      </c>
      <c r="P169">
        <v>1073</v>
      </c>
      <c r="Q169" s="8">
        <f>SUMIF(SoundCast_Data!$Q$2:$Q$747,RouteID_Conversion!N169,SoundCast_Data!$P$2:$P$747)</f>
        <v>701.34400177001703</v>
      </c>
    </row>
    <row r="170" spans="1:17" x14ac:dyDescent="0.25">
      <c r="A170">
        <v>177</v>
      </c>
      <c r="B170">
        <v>110169</v>
      </c>
      <c r="C170">
        <v>1</v>
      </c>
      <c r="D170" t="s">
        <v>591</v>
      </c>
      <c r="E170" t="s">
        <v>327</v>
      </c>
      <c r="F170" t="s">
        <v>591</v>
      </c>
      <c r="G170">
        <v>1</v>
      </c>
      <c r="H170">
        <v>169</v>
      </c>
      <c r="I170" t="s">
        <v>117</v>
      </c>
      <c r="J170">
        <v>1043</v>
      </c>
      <c r="K170" s="8">
        <f>SUMIF(SoundCast_Data!$A$2:$A$1001,RouteID_Conversion!$H$2:$H$999,SoundCast_Data!$C$2:$C$1001)</f>
        <v>65.832286834716598</v>
      </c>
      <c r="N170">
        <v>169</v>
      </c>
      <c r="O170" t="s">
        <v>159</v>
      </c>
      <c r="P170">
        <v>1073</v>
      </c>
      <c r="Q170" s="8">
        <f>SUMIF(SoundCast_Data!$Q$2:$Q$747,RouteID_Conversion!N170,SoundCast_Data!$P$2:$P$747)</f>
        <v>444.86604690551667</v>
      </c>
    </row>
    <row r="171" spans="1:17" x14ac:dyDescent="0.25">
      <c r="A171">
        <v>49</v>
      </c>
      <c r="B171">
        <v>110170</v>
      </c>
      <c r="C171">
        <v>1</v>
      </c>
      <c r="D171" t="s">
        <v>405</v>
      </c>
      <c r="E171" t="s">
        <v>327</v>
      </c>
      <c r="F171" t="s">
        <v>405</v>
      </c>
      <c r="G171">
        <v>1</v>
      </c>
      <c r="H171">
        <v>170</v>
      </c>
      <c r="I171" t="s">
        <v>119</v>
      </c>
      <c r="J171">
        <v>1044</v>
      </c>
      <c r="K171" s="8">
        <f>SUMIF(SoundCast_Data!$A$2:$A$1001,RouteID_Conversion!$H$2:$H$999,SoundCast_Data!$C$2:$C$1001)</f>
        <v>233.57353973388661</v>
      </c>
      <c r="N171">
        <v>170</v>
      </c>
      <c r="O171" t="s">
        <v>159</v>
      </c>
      <c r="P171">
        <v>1073</v>
      </c>
      <c r="Q171" s="8">
        <f>SUMIF(SoundCast_Data!$Q$2:$Q$747,RouteID_Conversion!N171,SoundCast_Data!$P$2:$P$747)</f>
        <v>418.58103942871003</v>
      </c>
    </row>
    <row r="172" spans="1:17" x14ac:dyDescent="0.25">
      <c r="A172">
        <v>50</v>
      </c>
      <c r="B172">
        <v>110171</v>
      </c>
      <c r="C172">
        <v>1</v>
      </c>
      <c r="D172" t="s">
        <v>406</v>
      </c>
      <c r="E172" t="s">
        <v>327</v>
      </c>
      <c r="F172" t="s">
        <v>406</v>
      </c>
      <c r="G172">
        <v>1</v>
      </c>
      <c r="H172">
        <v>171</v>
      </c>
      <c r="I172" t="s">
        <v>119</v>
      </c>
      <c r="J172">
        <v>1044</v>
      </c>
      <c r="K172" s="8">
        <f>SUMIF(SoundCast_Data!$A$2:$A$1001,RouteID_Conversion!$H$2:$H$999,SoundCast_Data!$C$2:$C$1001)</f>
        <v>268.6678848266601</v>
      </c>
      <c r="N172">
        <v>171</v>
      </c>
      <c r="O172" t="s">
        <v>161</v>
      </c>
      <c r="P172">
        <v>1074</v>
      </c>
      <c r="Q172" s="8">
        <f>SUMIF(SoundCast_Data!$Q$2:$Q$747,RouteID_Conversion!N172,SoundCast_Data!$P$2:$P$747)</f>
        <v>78.641842842101951</v>
      </c>
    </row>
    <row r="173" spans="1:17" x14ac:dyDescent="0.25">
      <c r="A173">
        <v>51</v>
      </c>
      <c r="B173">
        <v>110172</v>
      </c>
      <c r="C173">
        <v>1</v>
      </c>
      <c r="D173" t="s">
        <v>407</v>
      </c>
      <c r="E173" t="s">
        <v>327</v>
      </c>
      <c r="F173" t="s">
        <v>407</v>
      </c>
      <c r="G173">
        <v>1</v>
      </c>
      <c r="H173">
        <v>172</v>
      </c>
      <c r="I173" t="s">
        <v>119</v>
      </c>
      <c r="J173">
        <v>1044</v>
      </c>
      <c r="K173" s="8">
        <f>SUMIF(SoundCast_Data!$A$2:$A$1001,RouteID_Conversion!$H$2:$H$999,SoundCast_Data!$C$2:$C$1001)</f>
        <v>432.73638153076001</v>
      </c>
      <c r="N173">
        <v>172</v>
      </c>
      <c r="O173" t="s">
        <v>161</v>
      </c>
      <c r="P173">
        <v>1074</v>
      </c>
      <c r="Q173" s="8">
        <f>SUMIF(SoundCast_Data!$Q$2:$Q$747,RouteID_Conversion!N173,SoundCast_Data!$P$2:$P$747)</f>
        <v>101.72805595397941</v>
      </c>
    </row>
    <row r="174" spans="1:17" x14ac:dyDescent="0.25">
      <c r="A174">
        <v>52</v>
      </c>
      <c r="B174">
        <v>110173</v>
      </c>
      <c r="C174">
        <v>1</v>
      </c>
      <c r="D174" t="s">
        <v>408</v>
      </c>
      <c r="E174" t="s">
        <v>327</v>
      </c>
      <c r="F174" t="s">
        <v>408</v>
      </c>
      <c r="G174">
        <v>1</v>
      </c>
      <c r="H174">
        <v>173</v>
      </c>
      <c r="I174" t="s">
        <v>119</v>
      </c>
      <c r="J174">
        <v>1044</v>
      </c>
      <c r="K174" s="8">
        <f>SUMIF(SoundCast_Data!$A$2:$A$1001,RouteID_Conversion!$H$2:$H$999,SoundCast_Data!$C$2:$C$1001)</f>
        <v>105.1303005218505</v>
      </c>
      <c r="N174">
        <v>173</v>
      </c>
      <c r="O174" t="s">
        <v>163</v>
      </c>
      <c r="P174">
        <v>1075</v>
      </c>
      <c r="Q174" s="8">
        <f>SUMIF(SoundCast_Data!$Q$2:$Q$747,RouteID_Conversion!N174,SoundCast_Data!$P$2:$P$747)</f>
        <v>39.029184818267808</v>
      </c>
    </row>
    <row r="175" spans="1:17" x14ac:dyDescent="0.25">
      <c r="A175">
        <v>178</v>
      </c>
      <c r="B175">
        <v>110174</v>
      </c>
      <c r="C175">
        <v>1</v>
      </c>
      <c r="D175" t="s">
        <v>592</v>
      </c>
      <c r="E175" t="s">
        <v>327</v>
      </c>
      <c r="F175" t="s">
        <v>592</v>
      </c>
      <c r="G175">
        <v>1</v>
      </c>
      <c r="H175">
        <v>174</v>
      </c>
      <c r="I175" t="s">
        <v>121</v>
      </c>
      <c r="J175">
        <v>1045</v>
      </c>
      <c r="K175" s="8">
        <f>SUMIF(SoundCast_Data!$A$2:$A$1001,RouteID_Conversion!$H$2:$H$999,SoundCast_Data!$C$2:$C$1001)</f>
        <v>22.203183650970448</v>
      </c>
      <c r="N175">
        <v>174</v>
      </c>
      <c r="O175" t="s">
        <v>163</v>
      </c>
      <c r="P175">
        <v>1075</v>
      </c>
      <c r="Q175" s="8">
        <f>SUMIF(SoundCast_Data!$Q$2:$Q$747,RouteID_Conversion!N175,SoundCast_Data!$P$2:$P$747)</f>
        <v>823.78436279296807</v>
      </c>
    </row>
    <row r="176" spans="1:17" x14ac:dyDescent="0.25">
      <c r="A176">
        <v>10</v>
      </c>
      <c r="B176">
        <v>110175</v>
      </c>
      <c r="C176">
        <v>1</v>
      </c>
      <c r="D176" t="s">
        <v>338</v>
      </c>
      <c r="E176" t="s">
        <v>327</v>
      </c>
      <c r="F176" t="s">
        <v>338</v>
      </c>
      <c r="G176">
        <v>1</v>
      </c>
      <c r="H176">
        <v>175</v>
      </c>
      <c r="I176" t="s">
        <v>123</v>
      </c>
      <c r="J176">
        <v>1046</v>
      </c>
      <c r="K176" s="8">
        <f>SUMIF(SoundCast_Data!$A$2:$A$1001,RouteID_Conversion!$H$2:$H$999,SoundCast_Data!$C$2:$C$1001)</f>
        <v>0.1881086677312849</v>
      </c>
      <c r="N176">
        <v>175</v>
      </c>
      <c r="O176" t="s">
        <v>163</v>
      </c>
      <c r="P176">
        <v>1075</v>
      </c>
      <c r="Q176" s="8">
        <f>SUMIF(SoundCast_Data!$Q$2:$Q$747,RouteID_Conversion!N176,SoundCast_Data!$P$2:$P$747)</f>
        <v>83.178216934203903</v>
      </c>
    </row>
    <row r="177" spans="1:17" x14ac:dyDescent="0.25">
      <c r="A177">
        <v>537</v>
      </c>
      <c r="B177">
        <v>110176</v>
      </c>
      <c r="C177">
        <v>1</v>
      </c>
      <c r="D177" t="s">
        <v>1150</v>
      </c>
      <c r="E177" t="s">
        <v>327</v>
      </c>
      <c r="F177" t="s">
        <v>1150</v>
      </c>
      <c r="G177">
        <v>1</v>
      </c>
      <c r="H177">
        <v>176</v>
      </c>
      <c r="I177" t="s">
        <v>123</v>
      </c>
      <c r="J177">
        <v>1046</v>
      </c>
      <c r="K177" s="8">
        <f>SUMIF(SoundCast_Data!$A$2:$A$1001,RouteID_Conversion!$H$2:$H$999,SoundCast_Data!$C$2:$C$1001)</f>
        <v>76.862625122070199</v>
      </c>
      <c r="N177">
        <v>176</v>
      </c>
      <c r="O177" t="s">
        <v>163</v>
      </c>
      <c r="P177">
        <v>1075</v>
      </c>
      <c r="Q177" s="8">
        <f>SUMIF(SoundCast_Data!$Q$2:$Q$747,RouteID_Conversion!N177,SoundCast_Data!$P$2:$P$747)</f>
        <v>83.178216934203903</v>
      </c>
    </row>
    <row r="178" spans="1:17" x14ac:dyDescent="0.25">
      <c r="A178">
        <v>521</v>
      </c>
      <c r="B178">
        <v>110177</v>
      </c>
      <c r="C178">
        <v>1</v>
      </c>
      <c r="D178" t="s">
        <v>1128</v>
      </c>
      <c r="E178" t="s">
        <v>327</v>
      </c>
      <c r="F178" t="s">
        <v>1128</v>
      </c>
      <c r="G178">
        <v>1</v>
      </c>
      <c r="H178">
        <v>177</v>
      </c>
      <c r="I178" t="s">
        <v>125</v>
      </c>
      <c r="J178">
        <v>1048</v>
      </c>
      <c r="K178" s="8">
        <f>SUMIF(SoundCast_Data!$A$2:$A$1001,RouteID_Conversion!$H$2:$H$999,SoundCast_Data!$C$2:$C$1001)</f>
        <v>225.87172698974609</v>
      </c>
      <c r="N178">
        <v>177</v>
      </c>
      <c r="O178" t="s">
        <v>163</v>
      </c>
      <c r="P178">
        <v>1075</v>
      </c>
      <c r="Q178" s="8">
        <f>SUMIF(SoundCast_Data!$Q$2:$Q$747,RouteID_Conversion!N178,SoundCast_Data!$P$2:$P$747)</f>
        <v>591.30055999755837</v>
      </c>
    </row>
    <row r="179" spans="1:17" x14ac:dyDescent="0.25">
      <c r="A179">
        <v>53</v>
      </c>
      <c r="B179">
        <v>110178</v>
      </c>
      <c r="C179">
        <v>1</v>
      </c>
      <c r="D179" t="s">
        <v>409</v>
      </c>
      <c r="E179" t="s">
        <v>327</v>
      </c>
      <c r="F179" t="s">
        <v>409</v>
      </c>
      <c r="G179">
        <v>1</v>
      </c>
      <c r="H179">
        <v>178</v>
      </c>
      <c r="I179" t="s">
        <v>125</v>
      </c>
      <c r="J179">
        <v>1048</v>
      </c>
      <c r="K179" s="8">
        <f>SUMIF(SoundCast_Data!$A$2:$A$1001,RouteID_Conversion!$H$2:$H$999,SoundCast_Data!$C$2:$C$1001)</f>
        <v>21.42597198486326</v>
      </c>
      <c r="N179">
        <v>178</v>
      </c>
      <c r="O179" t="s">
        <v>764</v>
      </c>
      <c r="P179">
        <v>1098</v>
      </c>
      <c r="Q179" s="8">
        <f>SUMIF(SoundCast_Data!$Q$2:$Q$747,RouteID_Conversion!N179,SoundCast_Data!$P$2:$P$747)</f>
        <v>2.375</v>
      </c>
    </row>
    <row r="180" spans="1:17" x14ac:dyDescent="0.25">
      <c r="A180">
        <v>11</v>
      </c>
      <c r="B180">
        <v>110179</v>
      </c>
      <c r="C180">
        <v>1</v>
      </c>
      <c r="D180" t="s">
        <v>339</v>
      </c>
      <c r="E180" t="s">
        <v>327</v>
      </c>
      <c r="F180" t="s">
        <v>339</v>
      </c>
      <c r="G180">
        <v>1</v>
      </c>
      <c r="H180">
        <v>179</v>
      </c>
      <c r="I180" t="s">
        <v>125</v>
      </c>
      <c r="J180">
        <v>1048</v>
      </c>
      <c r="K180" s="8">
        <f>SUMIF(SoundCast_Data!$A$2:$A$1001,RouteID_Conversion!$H$2:$H$999,SoundCast_Data!$C$2:$C$1001)</f>
        <v>1.960177659988402</v>
      </c>
      <c r="N180">
        <v>179</v>
      </c>
      <c r="O180" t="s">
        <v>764</v>
      </c>
      <c r="P180">
        <v>1098</v>
      </c>
      <c r="Q180" s="8">
        <f>SUMIF(SoundCast_Data!$Q$2:$Q$747,RouteID_Conversion!N180,SoundCast_Data!$P$2:$P$747)</f>
        <v>0</v>
      </c>
    </row>
    <row r="181" spans="1:17" x14ac:dyDescent="0.25">
      <c r="A181">
        <v>12</v>
      </c>
      <c r="B181">
        <v>110180</v>
      </c>
      <c r="C181">
        <v>1</v>
      </c>
      <c r="D181" t="s">
        <v>340</v>
      </c>
      <c r="E181" t="s">
        <v>327</v>
      </c>
      <c r="F181" t="s">
        <v>340</v>
      </c>
      <c r="G181">
        <v>1</v>
      </c>
      <c r="H181">
        <v>180</v>
      </c>
      <c r="I181" t="s">
        <v>125</v>
      </c>
      <c r="J181">
        <v>1048</v>
      </c>
      <c r="K181" s="8">
        <f>SUMIF(SoundCast_Data!$A$2:$A$1001,RouteID_Conversion!$H$2:$H$999,SoundCast_Data!$C$2:$C$1001)</f>
        <v>596.66442871093602</v>
      </c>
      <c r="N181">
        <v>180</v>
      </c>
      <c r="O181" t="s">
        <v>171</v>
      </c>
      <c r="P181">
        <v>1099</v>
      </c>
      <c r="Q181" s="8">
        <f>SUMIF(SoundCast_Data!$Q$2:$Q$747,RouteID_Conversion!N181,SoundCast_Data!$P$2:$P$747)</f>
        <v>14.954617023467989</v>
      </c>
    </row>
    <row r="182" spans="1:17" x14ac:dyDescent="0.25">
      <c r="A182">
        <v>54</v>
      </c>
      <c r="B182">
        <v>110181</v>
      </c>
      <c r="C182">
        <v>1</v>
      </c>
      <c r="D182" t="s">
        <v>410</v>
      </c>
      <c r="E182" t="s">
        <v>327</v>
      </c>
      <c r="F182" t="s">
        <v>410</v>
      </c>
      <c r="G182">
        <v>1</v>
      </c>
      <c r="H182">
        <v>181</v>
      </c>
      <c r="I182" t="s">
        <v>125</v>
      </c>
      <c r="J182">
        <v>1048</v>
      </c>
      <c r="K182" s="8">
        <f>SUMIF(SoundCast_Data!$A$2:$A$1001,RouteID_Conversion!$H$2:$H$999,SoundCast_Data!$C$2:$C$1001)</f>
        <v>42.851943969726399</v>
      </c>
      <c r="N182">
        <v>181</v>
      </c>
      <c r="O182" t="s">
        <v>171</v>
      </c>
      <c r="P182">
        <v>1099</v>
      </c>
      <c r="Q182" s="8">
        <f>SUMIF(SoundCast_Data!$Q$2:$Q$747,RouteID_Conversion!N182,SoundCast_Data!$P$2:$P$747)</f>
        <v>1.7588623538613259</v>
      </c>
    </row>
    <row r="183" spans="1:17" x14ac:dyDescent="0.25">
      <c r="A183">
        <v>55</v>
      </c>
      <c r="B183">
        <v>110182</v>
      </c>
      <c r="C183">
        <v>1</v>
      </c>
      <c r="D183" t="s">
        <v>411</v>
      </c>
      <c r="E183" t="s">
        <v>327</v>
      </c>
      <c r="F183" t="s">
        <v>411</v>
      </c>
      <c r="G183">
        <v>1</v>
      </c>
      <c r="H183">
        <v>182</v>
      </c>
      <c r="I183" t="s">
        <v>125</v>
      </c>
      <c r="J183">
        <v>1048</v>
      </c>
      <c r="K183" s="8">
        <f>SUMIF(SoundCast_Data!$A$2:$A$1001,RouteID_Conversion!$H$2:$H$999,SoundCast_Data!$C$2:$C$1001)</f>
        <v>0.38873660191893444</v>
      </c>
      <c r="N183">
        <v>182</v>
      </c>
      <c r="O183" t="s">
        <v>173</v>
      </c>
      <c r="P183">
        <v>1101</v>
      </c>
      <c r="Q183" s="8">
        <f>SUMIF(SoundCast_Data!$Q$2:$Q$747,RouteID_Conversion!N183,SoundCast_Data!$P$2:$P$747)</f>
        <v>719.31783294677598</v>
      </c>
    </row>
    <row r="184" spans="1:17" x14ac:dyDescent="0.25">
      <c r="A184">
        <v>42</v>
      </c>
      <c r="B184">
        <v>110183</v>
      </c>
      <c r="C184">
        <v>1</v>
      </c>
      <c r="D184" t="s">
        <v>396</v>
      </c>
      <c r="E184" t="s">
        <v>327</v>
      </c>
      <c r="F184" t="s">
        <v>396</v>
      </c>
      <c r="G184">
        <v>1</v>
      </c>
      <c r="H184">
        <v>183</v>
      </c>
      <c r="I184" t="s">
        <v>125</v>
      </c>
      <c r="J184">
        <v>1048</v>
      </c>
      <c r="K184" s="8">
        <f>SUMIF(SoundCast_Data!$A$2:$A$1001,RouteID_Conversion!$H$2:$H$999,SoundCast_Data!$C$2:$C$1001)</f>
        <v>537.25318908691202</v>
      </c>
      <c r="N184">
        <v>183</v>
      </c>
      <c r="O184" t="s">
        <v>173</v>
      </c>
      <c r="P184">
        <v>1101</v>
      </c>
      <c r="Q184" s="8">
        <f>SUMIF(SoundCast_Data!$Q$2:$Q$747,RouteID_Conversion!N184,SoundCast_Data!$P$2:$P$747)</f>
        <v>527.8726654052723</v>
      </c>
    </row>
    <row r="185" spans="1:17" x14ac:dyDescent="0.25">
      <c r="A185">
        <v>43</v>
      </c>
      <c r="B185">
        <v>110184</v>
      </c>
      <c r="C185">
        <v>1</v>
      </c>
      <c r="D185" t="s">
        <v>397</v>
      </c>
      <c r="E185" t="s">
        <v>327</v>
      </c>
      <c r="F185" t="s">
        <v>397</v>
      </c>
      <c r="G185">
        <v>1</v>
      </c>
      <c r="H185">
        <v>184</v>
      </c>
      <c r="I185" t="s">
        <v>125</v>
      </c>
      <c r="J185">
        <v>1048</v>
      </c>
      <c r="K185" s="8">
        <f>SUMIF(SoundCast_Data!$A$2:$A$1001,RouteID_Conversion!$H$2:$H$999,SoundCast_Data!$C$2:$C$1001)</f>
        <v>542.33544921874898</v>
      </c>
      <c r="N185">
        <v>184</v>
      </c>
      <c r="O185" t="s">
        <v>177</v>
      </c>
      <c r="P185">
        <v>1105</v>
      </c>
      <c r="Q185" s="8">
        <f>SUMIF(SoundCast_Data!$Q$2:$Q$747,RouteID_Conversion!N185,SoundCast_Data!$P$2:$P$747)</f>
        <v>167.9576587677</v>
      </c>
    </row>
    <row r="186" spans="1:17" x14ac:dyDescent="0.25">
      <c r="A186">
        <v>545</v>
      </c>
      <c r="B186">
        <v>110185</v>
      </c>
      <c r="C186">
        <v>1</v>
      </c>
      <c r="D186" t="s">
        <v>1158</v>
      </c>
      <c r="E186" t="s">
        <v>327</v>
      </c>
      <c r="F186" t="s">
        <v>1158</v>
      </c>
      <c r="G186">
        <v>1</v>
      </c>
      <c r="H186">
        <v>185</v>
      </c>
      <c r="I186" t="s">
        <v>125</v>
      </c>
      <c r="J186">
        <v>1048</v>
      </c>
      <c r="K186" s="8">
        <f>SUMIF(SoundCast_Data!$A$2:$A$1001,RouteID_Conversion!$H$2:$H$999,SoundCast_Data!$C$2:$C$1001)</f>
        <v>81.500242233276197</v>
      </c>
      <c r="N186">
        <v>185</v>
      </c>
      <c r="O186" t="s">
        <v>177</v>
      </c>
      <c r="P186">
        <v>1105</v>
      </c>
      <c r="Q186" s="8">
        <f>SUMIF(SoundCast_Data!$Q$2:$Q$747,RouteID_Conversion!N186,SoundCast_Data!$P$2:$P$747)</f>
        <v>151.21051406860329</v>
      </c>
    </row>
    <row r="187" spans="1:17" x14ac:dyDescent="0.25">
      <c r="A187">
        <v>906</v>
      </c>
      <c r="B187">
        <v>110186</v>
      </c>
      <c r="C187">
        <v>1</v>
      </c>
      <c r="D187" t="s">
        <v>1687</v>
      </c>
      <c r="E187" t="s">
        <v>327</v>
      </c>
      <c r="F187" t="s">
        <v>1687</v>
      </c>
      <c r="G187">
        <v>1</v>
      </c>
      <c r="H187">
        <v>186</v>
      </c>
      <c r="I187" t="s">
        <v>127</v>
      </c>
      <c r="J187">
        <v>1049</v>
      </c>
      <c r="K187" s="8">
        <f>SUMIF(SoundCast_Data!$A$2:$A$1001,RouteID_Conversion!$H$2:$H$999,SoundCast_Data!$C$2:$C$1001)</f>
        <v>28.164888858795159</v>
      </c>
      <c r="N187">
        <v>186</v>
      </c>
      <c r="O187" t="s">
        <v>179</v>
      </c>
      <c r="P187">
        <v>1106</v>
      </c>
      <c r="Q187" s="8">
        <f>SUMIF(SoundCast_Data!$Q$2:$Q$747,RouteID_Conversion!N187,SoundCast_Data!$P$2:$P$747)</f>
        <v>73.693922042846509</v>
      </c>
    </row>
    <row r="188" spans="1:17" x14ac:dyDescent="0.25">
      <c r="A188">
        <v>907</v>
      </c>
      <c r="B188">
        <v>110187</v>
      </c>
      <c r="C188">
        <v>1</v>
      </c>
      <c r="D188" t="s">
        <v>1688</v>
      </c>
      <c r="E188" t="s">
        <v>327</v>
      </c>
      <c r="F188" t="s">
        <v>1688</v>
      </c>
      <c r="G188">
        <v>1</v>
      </c>
      <c r="H188">
        <v>187</v>
      </c>
      <c r="I188" t="s">
        <v>127</v>
      </c>
      <c r="J188">
        <v>1049</v>
      </c>
      <c r="K188" s="8">
        <f>SUMIF(SoundCast_Data!$A$2:$A$1001,RouteID_Conversion!$H$2:$H$999,SoundCast_Data!$C$2:$C$1001)</f>
        <v>308.19886016845658</v>
      </c>
      <c r="N188">
        <v>187</v>
      </c>
      <c r="O188" t="s">
        <v>179</v>
      </c>
      <c r="P188">
        <v>1106</v>
      </c>
      <c r="Q188" s="8">
        <f>SUMIF(SoundCast_Data!$Q$2:$Q$747,RouteID_Conversion!N188,SoundCast_Data!$P$2:$P$747)</f>
        <v>73.693922042846509</v>
      </c>
    </row>
    <row r="189" spans="1:17" x14ac:dyDescent="0.25">
      <c r="A189">
        <v>908</v>
      </c>
      <c r="B189">
        <v>110188</v>
      </c>
      <c r="C189">
        <v>1</v>
      </c>
      <c r="D189" t="s">
        <v>1689</v>
      </c>
      <c r="E189" t="s">
        <v>327</v>
      </c>
      <c r="F189" t="s">
        <v>1689</v>
      </c>
      <c r="G189">
        <v>1</v>
      </c>
      <c r="H189">
        <v>188</v>
      </c>
      <c r="I189" t="s">
        <v>127</v>
      </c>
      <c r="J189">
        <v>1049</v>
      </c>
      <c r="K189" s="8">
        <f>SUMIF(SoundCast_Data!$A$2:$A$1001,RouteID_Conversion!$H$2:$H$999,SoundCast_Data!$C$2:$C$1001)</f>
        <v>68.488641738891502</v>
      </c>
      <c r="N189">
        <v>188</v>
      </c>
      <c r="O189" t="s">
        <v>179</v>
      </c>
      <c r="P189">
        <v>1106</v>
      </c>
      <c r="Q189" s="8">
        <f>SUMIF(SoundCast_Data!$Q$2:$Q$747,RouteID_Conversion!N189,SoundCast_Data!$P$2:$P$747)</f>
        <v>401.9668540954583</v>
      </c>
    </row>
    <row r="190" spans="1:17" x14ac:dyDescent="0.25">
      <c r="A190">
        <v>909</v>
      </c>
      <c r="B190">
        <v>110189</v>
      </c>
      <c r="C190">
        <v>1</v>
      </c>
      <c r="D190" t="s">
        <v>1690</v>
      </c>
      <c r="E190" t="s">
        <v>327</v>
      </c>
      <c r="F190" t="s">
        <v>1690</v>
      </c>
      <c r="G190">
        <v>1</v>
      </c>
      <c r="H190">
        <v>189</v>
      </c>
      <c r="I190" t="s">
        <v>127</v>
      </c>
      <c r="J190">
        <v>1049</v>
      </c>
      <c r="K190" s="8">
        <f>SUMIF(SoundCast_Data!$A$2:$A$1001,RouteID_Conversion!$H$2:$H$999,SoundCast_Data!$C$2:$C$1001)</f>
        <v>452.55317687988202</v>
      </c>
      <c r="N190">
        <v>189</v>
      </c>
      <c r="O190" t="s">
        <v>179</v>
      </c>
      <c r="P190">
        <v>1106</v>
      </c>
      <c r="Q190" s="8">
        <f>SUMIF(SoundCast_Data!$Q$2:$Q$747,RouteID_Conversion!N190,SoundCast_Data!$P$2:$P$747)</f>
        <v>67.015937805175724</v>
      </c>
    </row>
    <row r="191" spans="1:17" x14ac:dyDescent="0.25">
      <c r="A191">
        <v>910</v>
      </c>
      <c r="B191">
        <v>110190</v>
      </c>
      <c r="C191">
        <v>1</v>
      </c>
      <c r="D191" t="s">
        <v>1691</v>
      </c>
      <c r="E191" t="s">
        <v>327</v>
      </c>
      <c r="F191" t="s">
        <v>1691</v>
      </c>
      <c r="G191">
        <v>1</v>
      </c>
      <c r="H191">
        <v>190</v>
      </c>
      <c r="I191" t="s">
        <v>127</v>
      </c>
      <c r="J191">
        <v>1049</v>
      </c>
      <c r="K191" s="8">
        <f>SUMIF(SoundCast_Data!$A$2:$A$1001,RouteID_Conversion!$H$2:$H$999,SoundCast_Data!$C$2:$C$1001)</f>
        <v>45.755160331725897</v>
      </c>
      <c r="N191">
        <v>190</v>
      </c>
      <c r="O191" t="s">
        <v>179</v>
      </c>
      <c r="P191">
        <v>1106</v>
      </c>
      <c r="Q191" s="8">
        <f>SUMIF(SoundCast_Data!$Q$2:$Q$747,RouteID_Conversion!N191,SoundCast_Data!$P$2:$P$747)</f>
        <v>344.04624176025374</v>
      </c>
    </row>
    <row r="192" spans="1:17" x14ac:dyDescent="0.25">
      <c r="A192">
        <v>372</v>
      </c>
      <c r="B192">
        <v>110191</v>
      </c>
      <c r="C192">
        <v>1</v>
      </c>
      <c r="D192" t="s">
        <v>907</v>
      </c>
      <c r="E192" t="s">
        <v>327</v>
      </c>
      <c r="F192" t="s">
        <v>907</v>
      </c>
      <c r="G192">
        <v>1</v>
      </c>
      <c r="H192">
        <v>191</v>
      </c>
      <c r="I192" t="s">
        <v>129</v>
      </c>
      <c r="J192">
        <v>1051</v>
      </c>
      <c r="K192" s="8">
        <f>SUMIF(SoundCast_Data!$A$2:$A$1001,RouteID_Conversion!$H$2:$H$999,SoundCast_Data!$C$2:$C$1001)</f>
        <v>32.709036827087303</v>
      </c>
      <c r="N192">
        <v>191</v>
      </c>
      <c r="O192" t="s">
        <v>181</v>
      </c>
      <c r="P192">
        <v>1107</v>
      </c>
      <c r="Q192" s="8">
        <f>SUMIF(SoundCast_Data!$Q$2:$Q$747,RouteID_Conversion!N192,SoundCast_Data!$P$2:$P$747)</f>
        <v>149.6445293426512</v>
      </c>
    </row>
    <row r="193" spans="1:17" x14ac:dyDescent="0.25">
      <c r="A193">
        <v>13</v>
      </c>
      <c r="B193">
        <v>110192</v>
      </c>
      <c r="C193">
        <v>1</v>
      </c>
      <c r="D193" t="s">
        <v>341</v>
      </c>
      <c r="E193" t="s">
        <v>327</v>
      </c>
      <c r="F193" t="s">
        <v>341</v>
      </c>
      <c r="G193">
        <v>1</v>
      </c>
      <c r="H193">
        <v>192</v>
      </c>
      <c r="I193" t="s">
        <v>129</v>
      </c>
      <c r="J193">
        <v>1051</v>
      </c>
      <c r="K193" s="8">
        <f>SUMIF(SoundCast_Data!$A$2:$A$1001,RouteID_Conversion!$H$2:$H$999,SoundCast_Data!$C$2:$C$1001)</f>
        <v>3.1098896861076342</v>
      </c>
      <c r="N193">
        <v>192</v>
      </c>
      <c r="O193" t="s">
        <v>181</v>
      </c>
      <c r="P193">
        <v>1107</v>
      </c>
      <c r="Q193" s="8">
        <f>SUMIF(SoundCast_Data!$Q$2:$Q$747,RouteID_Conversion!N193,SoundCast_Data!$P$2:$P$747)</f>
        <v>108.7860622406004</v>
      </c>
    </row>
    <row r="194" spans="1:17" x14ac:dyDescent="0.25">
      <c r="A194">
        <v>14</v>
      </c>
      <c r="B194">
        <v>110193</v>
      </c>
      <c r="C194">
        <v>1</v>
      </c>
      <c r="D194" t="s">
        <v>342</v>
      </c>
      <c r="E194" t="s">
        <v>327</v>
      </c>
      <c r="F194" t="s">
        <v>342</v>
      </c>
      <c r="G194">
        <v>1</v>
      </c>
      <c r="H194">
        <v>193</v>
      </c>
      <c r="I194" t="s">
        <v>131</v>
      </c>
      <c r="J194">
        <v>1053</v>
      </c>
      <c r="K194" s="8">
        <f>SUMIF(SoundCast_Data!$A$2:$A$1001,RouteID_Conversion!$H$2:$H$999,SoundCast_Data!$C$2:$C$1001)</f>
        <v>22.170824527740457</v>
      </c>
      <c r="N194">
        <v>193</v>
      </c>
      <c r="O194" t="s">
        <v>183</v>
      </c>
      <c r="P194">
        <v>1110</v>
      </c>
      <c r="Q194" s="8">
        <f>SUMIF(SoundCast_Data!$Q$2:$Q$747,RouteID_Conversion!N194,SoundCast_Data!$P$2:$P$747)</f>
        <v>2.147821545600884</v>
      </c>
    </row>
    <row r="195" spans="1:17" x14ac:dyDescent="0.25">
      <c r="A195">
        <v>274</v>
      </c>
      <c r="B195">
        <v>110194</v>
      </c>
      <c r="C195">
        <v>1</v>
      </c>
      <c r="D195" t="s">
        <v>747</v>
      </c>
      <c r="E195" t="s">
        <v>327</v>
      </c>
      <c r="F195" t="s">
        <v>747</v>
      </c>
      <c r="G195">
        <v>1</v>
      </c>
      <c r="H195">
        <v>194</v>
      </c>
      <c r="I195" t="s">
        <v>131</v>
      </c>
      <c r="J195">
        <v>1053</v>
      </c>
      <c r="K195" s="8">
        <f>SUMIF(SoundCast_Data!$A$2:$A$1001,RouteID_Conversion!$H$2:$H$999,SoundCast_Data!$C$2:$C$1001)</f>
        <v>4.6897084712982133</v>
      </c>
      <c r="N195">
        <v>194</v>
      </c>
      <c r="O195" t="s">
        <v>183</v>
      </c>
      <c r="P195">
        <v>1110</v>
      </c>
      <c r="Q195" s="8">
        <f>SUMIF(SoundCast_Data!$Q$2:$Q$747,RouteID_Conversion!N195,SoundCast_Data!$P$2:$P$747)</f>
        <v>1.0900384336709958</v>
      </c>
    </row>
    <row r="196" spans="1:17" x14ac:dyDescent="0.25">
      <c r="A196">
        <v>781</v>
      </c>
      <c r="B196">
        <v>110195</v>
      </c>
      <c r="C196">
        <v>1</v>
      </c>
      <c r="D196" t="s">
        <v>1498</v>
      </c>
      <c r="E196" t="s">
        <v>327</v>
      </c>
      <c r="F196" t="s">
        <v>1498</v>
      </c>
      <c r="G196">
        <v>1</v>
      </c>
      <c r="H196">
        <v>195</v>
      </c>
      <c r="I196" t="s">
        <v>133</v>
      </c>
      <c r="J196">
        <v>1054</v>
      </c>
      <c r="K196" s="8">
        <f>SUMIF(SoundCast_Data!$A$2:$A$1001,RouteID_Conversion!$H$2:$H$999,SoundCast_Data!$C$2:$C$1001)</f>
        <v>49.564443588256701</v>
      </c>
      <c r="N196">
        <v>195</v>
      </c>
      <c r="O196" t="s">
        <v>183</v>
      </c>
      <c r="P196">
        <v>1110</v>
      </c>
      <c r="Q196" s="8">
        <f>SUMIF(SoundCast_Data!$Q$2:$Q$747,RouteID_Conversion!N196,SoundCast_Data!$P$2:$P$747)</f>
        <v>2.147821545600884</v>
      </c>
    </row>
    <row r="197" spans="1:17" x14ac:dyDescent="0.25">
      <c r="A197">
        <v>782</v>
      </c>
      <c r="B197">
        <v>110196</v>
      </c>
      <c r="C197">
        <v>1</v>
      </c>
      <c r="D197" t="s">
        <v>1499</v>
      </c>
      <c r="E197" t="s">
        <v>327</v>
      </c>
      <c r="F197" t="s">
        <v>1499</v>
      </c>
      <c r="G197">
        <v>1</v>
      </c>
      <c r="H197">
        <v>196</v>
      </c>
      <c r="I197" t="s">
        <v>133</v>
      </c>
      <c r="J197">
        <v>1054</v>
      </c>
      <c r="K197" s="8">
        <f>SUMIF(SoundCast_Data!$A$2:$A$1001,RouteID_Conversion!$H$2:$H$999,SoundCast_Data!$C$2:$C$1001)</f>
        <v>217.1745147705077</v>
      </c>
      <c r="N197">
        <v>196</v>
      </c>
      <c r="O197" t="s">
        <v>193</v>
      </c>
      <c r="P197">
        <v>1118</v>
      </c>
      <c r="Q197" s="8">
        <f>SUMIF(SoundCast_Data!$Q$2:$Q$747,RouteID_Conversion!N197,SoundCast_Data!$P$2:$P$747)</f>
        <v>3.1373535394668526</v>
      </c>
    </row>
    <row r="198" spans="1:17" x14ac:dyDescent="0.25">
      <c r="A198">
        <v>783</v>
      </c>
      <c r="B198">
        <v>110197</v>
      </c>
      <c r="C198">
        <v>1</v>
      </c>
      <c r="D198" t="s">
        <v>1500</v>
      </c>
      <c r="E198" t="s">
        <v>327</v>
      </c>
      <c r="F198" t="s">
        <v>1500</v>
      </c>
      <c r="G198">
        <v>1</v>
      </c>
      <c r="H198">
        <v>197</v>
      </c>
      <c r="I198" t="s">
        <v>133</v>
      </c>
      <c r="J198">
        <v>1054</v>
      </c>
      <c r="K198" s="8">
        <f>SUMIF(SoundCast_Data!$A$2:$A$1001,RouteID_Conversion!$H$2:$H$999,SoundCast_Data!$C$2:$C$1001)</f>
        <v>74.485126495361101</v>
      </c>
      <c r="N198">
        <v>197</v>
      </c>
      <c r="O198" t="s">
        <v>193</v>
      </c>
      <c r="P198">
        <v>1118</v>
      </c>
      <c r="Q198" s="8">
        <f>SUMIF(SoundCast_Data!$Q$2:$Q$747,RouteID_Conversion!N198,SoundCast_Data!$P$2:$P$747)</f>
        <v>2.1397827342152516</v>
      </c>
    </row>
    <row r="199" spans="1:17" x14ac:dyDescent="0.25">
      <c r="A199">
        <v>784</v>
      </c>
      <c r="B199">
        <v>110198</v>
      </c>
      <c r="C199">
        <v>1</v>
      </c>
      <c r="D199" t="s">
        <v>1501</v>
      </c>
      <c r="E199" t="s">
        <v>327</v>
      </c>
      <c r="F199" t="s">
        <v>1501</v>
      </c>
      <c r="G199">
        <v>1</v>
      </c>
      <c r="H199">
        <v>198</v>
      </c>
      <c r="I199" t="s">
        <v>133</v>
      </c>
      <c r="J199">
        <v>1054</v>
      </c>
      <c r="K199" s="8">
        <f>SUMIF(SoundCast_Data!$A$2:$A$1001,RouteID_Conversion!$H$2:$H$999,SoundCast_Data!$C$2:$C$1001)</f>
        <v>432.30778503417798</v>
      </c>
      <c r="N199">
        <v>198</v>
      </c>
      <c r="O199" t="s">
        <v>193</v>
      </c>
      <c r="P199">
        <v>1118</v>
      </c>
      <c r="Q199" s="8">
        <f>SUMIF(SoundCast_Data!$Q$2:$Q$747,RouteID_Conversion!N199,SoundCast_Data!$P$2:$P$747)</f>
        <v>2.3297149986028662</v>
      </c>
    </row>
    <row r="200" spans="1:17" x14ac:dyDescent="0.25">
      <c r="A200">
        <v>785</v>
      </c>
      <c r="B200">
        <v>110199</v>
      </c>
      <c r="C200">
        <v>1</v>
      </c>
      <c r="D200" t="s">
        <v>1502</v>
      </c>
      <c r="E200" t="s">
        <v>327</v>
      </c>
      <c r="F200" t="s">
        <v>1502</v>
      </c>
      <c r="G200">
        <v>1</v>
      </c>
      <c r="H200">
        <v>199</v>
      </c>
      <c r="I200" t="s">
        <v>133</v>
      </c>
      <c r="J200">
        <v>1054</v>
      </c>
      <c r="K200" s="8">
        <f>SUMIF(SoundCast_Data!$A$2:$A$1001,RouteID_Conversion!$H$2:$H$999,SoundCast_Data!$C$2:$C$1001)</f>
        <v>24.245349407196041</v>
      </c>
      <c r="N200">
        <v>199</v>
      </c>
      <c r="O200" t="s">
        <v>193</v>
      </c>
      <c r="P200">
        <v>1118</v>
      </c>
      <c r="Q200" s="8">
        <f>SUMIF(SoundCast_Data!$Q$2:$Q$747,RouteID_Conversion!N200,SoundCast_Data!$P$2:$P$747)</f>
        <v>2.1397827342152516</v>
      </c>
    </row>
    <row r="201" spans="1:17" x14ac:dyDescent="0.25">
      <c r="A201">
        <v>786</v>
      </c>
      <c r="B201">
        <v>110200</v>
      </c>
      <c r="C201">
        <v>1</v>
      </c>
      <c r="D201" t="s">
        <v>1503</v>
      </c>
      <c r="E201" t="s">
        <v>327</v>
      </c>
      <c r="F201" t="s">
        <v>1503</v>
      </c>
      <c r="G201">
        <v>1</v>
      </c>
      <c r="H201">
        <v>200</v>
      </c>
      <c r="I201" t="s">
        <v>133</v>
      </c>
      <c r="J201">
        <v>1054</v>
      </c>
      <c r="K201" s="8">
        <f>SUMIF(SoundCast_Data!$A$2:$A$1001,RouteID_Conversion!$H$2:$H$999,SoundCast_Data!$C$2:$C$1001)</f>
        <v>72.7360515594481</v>
      </c>
      <c r="N201">
        <v>200</v>
      </c>
      <c r="O201" t="s">
        <v>193</v>
      </c>
      <c r="P201">
        <v>1118</v>
      </c>
      <c r="Q201" s="8">
        <f>SUMIF(SoundCast_Data!$Q$2:$Q$747,RouteID_Conversion!N201,SoundCast_Data!$P$2:$P$747)</f>
        <v>35.47613120079032</v>
      </c>
    </row>
    <row r="202" spans="1:17" x14ac:dyDescent="0.25">
      <c r="A202">
        <v>787</v>
      </c>
      <c r="B202">
        <v>110201</v>
      </c>
      <c r="C202">
        <v>1</v>
      </c>
      <c r="D202" t="s">
        <v>1504</v>
      </c>
      <c r="E202" t="s">
        <v>327</v>
      </c>
      <c r="F202" t="s">
        <v>1504</v>
      </c>
      <c r="G202">
        <v>1</v>
      </c>
      <c r="H202">
        <v>201</v>
      </c>
      <c r="I202" t="s">
        <v>133</v>
      </c>
      <c r="J202">
        <v>1054</v>
      </c>
      <c r="K202" s="8">
        <f>SUMIF(SoundCast_Data!$A$2:$A$1001,RouteID_Conversion!$H$2:$H$999,SoundCast_Data!$C$2:$C$1001)</f>
        <v>142.45020294189442</v>
      </c>
      <c r="N202">
        <v>201</v>
      </c>
      <c r="O202" t="s">
        <v>193</v>
      </c>
      <c r="P202">
        <v>1118</v>
      </c>
      <c r="Q202" s="8">
        <f>SUMIF(SoundCast_Data!$Q$2:$Q$747,RouteID_Conversion!N202,SoundCast_Data!$P$2:$P$747)</f>
        <v>3.1373535394668526</v>
      </c>
    </row>
    <row r="203" spans="1:17" x14ac:dyDescent="0.25">
      <c r="A203">
        <v>788</v>
      </c>
      <c r="B203">
        <v>110202</v>
      </c>
      <c r="C203">
        <v>1</v>
      </c>
      <c r="D203" t="s">
        <v>1505</v>
      </c>
      <c r="E203" t="s">
        <v>327</v>
      </c>
      <c r="F203" t="s">
        <v>1505</v>
      </c>
      <c r="G203">
        <v>1</v>
      </c>
      <c r="H203">
        <v>202</v>
      </c>
      <c r="I203" t="s">
        <v>133</v>
      </c>
      <c r="J203">
        <v>1054</v>
      </c>
      <c r="K203" s="8">
        <f>SUMIF(SoundCast_Data!$A$2:$A$1001,RouteID_Conversion!$H$2:$H$999,SoundCast_Data!$C$2:$C$1001)</f>
        <v>29.06883907318106</v>
      </c>
      <c r="N203">
        <v>202</v>
      </c>
      <c r="O203" t="s">
        <v>195</v>
      </c>
      <c r="P203">
        <v>1119</v>
      </c>
      <c r="Q203" s="8">
        <f>SUMIF(SoundCast_Data!$Q$2:$Q$747,RouteID_Conversion!N203,SoundCast_Data!$P$2:$P$747)</f>
        <v>2.0897827818989674</v>
      </c>
    </row>
    <row r="204" spans="1:17" x14ac:dyDescent="0.25">
      <c r="A204">
        <v>789</v>
      </c>
      <c r="B204">
        <v>110203</v>
      </c>
      <c r="C204">
        <v>1</v>
      </c>
      <c r="D204" t="s">
        <v>1506</v>
      </c>
      <c r="E204" t="s">
        <v>327</v>
      </c>
      <c r="F204" t="s">
        <v>1506</v>
      </c>
      <c r="G204">
        <v>1</v>
      </c>
      <c r="H204">
        <v>203</v>
      </c>
      <c r="I204" t="s">
        <v>135</v>
      </c>
      <c r="J204">
        <v>1055</v>
      </c>
      <c r="K204" s="8">
        <f>SUMIF(SoundCast_Data!$A$2:$A$1001,RouteID_Conversion!$H$2:$H$999,SoundCast_Data!$C$2:$C$1001)</f>
        <v>337.91516876220652</v>
      </c>
      <c r="N204">
        <v>203</v>
      </c>
      <c r="O204" t="s">
        <v>195</v>
      </c>
      <c r="P204">
        <v>1119</v>
      </c>
      <c r="Q204" s="8">
        <f>SUMIF(SoundCast_Data!$Q$2:$Q$747,RouteID_Conversion!N204,SoundCast_Data!$P$2:$P$747)</f>
        <v>3.1373535394668526</v>
      </c>
    </row>
    <row r="205" spans="1:17" x14ac:dyDescent="0.25">
      <c r="A205">
        <v>790</v>
      </c>
      <c r="B205">
        <v>110204</v>
      </c>
      <c r="C205">
        <v>1</v>
      </c>
      <c r="D205" t="s">
        <v>1507</v>
      </c>
      <c r="E205" t="s">
        <v>327</v>
      </c>
      <c r="F205" t="s">
        <v>1507</v>
      </c>
      <c r="G205">
        <v>1</v>
      </c>
      <c r="H205">
        <v>204</v>
      </c>
      <c r="I205" t="s">
        <v>135</v>
      </c>
      <c r="J205">
        <v>1055</v>
      </c>
      <c r="K205" s="8">
        <f>SUMIF(SoundCast_Data!$A$2:$A$1001,RouteID_Conversion!$H$2:$H$999,SoundCast_Data!$C$2:$C$1001)</f>
        <v>48.959753036498803</v>
      </c>
      <c r="N205">
        <v>204</v>
      </c>
      <c r="O205" t="s">
        <v>197</v>
      </c>
      <c r="P205">
        <v>1120</v>
      </c>
      <c r="Q205" s="8">
        <f>SUMIF(SoundCast_Data!$Q$2:$Q$747,RouteID_Conversion!N205,SoundCast_Data!$P$2:$P$747)</f>
        <v>1484.7291564941399</v>
      </c>
    </row>
    <row r="206" spans="1:17" x14ac:dyDescent="0.25">
      <c r="A206">
        <v>791</v>
      </c>
      <c r="B206">
        <v>110205</v>
      </c>
      <c r="C206">
        <v>1</v>
      </c>
      <c r="D206" t="s">
        <v>1508</v>
      </c>
      <c r="E206" t="s">
        <v>327</v>
      </c>
      <c r="F206" t="s">
        <v>1508</v>
      </c>
      <c r="G206">
        <v>1</v>
      </c>
      <c r="H206">
        <v>205</v>
      </c>
      <c r="I206" t="s">
        <v>135</v>
      </c>
      <c r="J206">
        <v>1055</v>
      </c>
      <c r="K206" s="8">
        <f>SUMIF(SoundCast_Data!$A$2:$A$1001,RouteID_Conversion!$H$2:$H$999,SoundCast_Data!$C$2:$C$1001)</f>
        <v>50.372030258178604</v>
      </c>
      <c r="N206">
        <v>205</v>
      </c>
      <c r="O206" t="s">
        <v>197</v>
      </c>
      <c r="P206">
        <v>1120</v>
      </c>
      <c r="Q206" s="8">
        <f>SUMIF(SoundCast_Data!$Q$2:$Q$747,RouteID_Conversion!N206,SoundCast_Data!$P$2:$P$747)</f>
        <v>808.57411956787064</v>
      </c>
    </row>
    <row r="207" spans="1:17" x14ac:dyDescent="0.25">
      <c r="A207">
        <v>792</v>
      </c>
      <c r="B207">
        <v>110206</v>
      </c>
      <c r="C207">
        <v>1</v>
      </c>
      <c r="D207" t="s">
        <v>1509</v>
      </c>
      <c r="E207" t="s">
        <v>327</v>
      </c>
      <c r="F207" t="s">
        <v>1509</v>
      </c>
      <c r="G207">
        <v>1</v>
      </c>
      <c r="H207">
        <v>206</v>
      </c>
      <c r="I207" t="s">
        <v>137</v>
      </c>
      <c r="J207">
        <v>1056</v>
      </c>
      <c r="K207" s="8">
        <f>SUMIF(SoundCast_Data!$A$2:$A$1001,RouteID_Conversion!$H$2:$H$999,SoundCast_Data!$C$2:$C$1001)</f>
        <v>44.483216285705403</v>
      </c>
      <c r="N207">
        <v>206</v>
      </c>
      <c r="O207" t="s">
        <v>199</v>
      </c>
      <c r="P207">
        <v>1121</v>
      </c>
      <c r="Q207" s="8">
        <f>SUMIF(SoundCast_Data!$Q$2:$Q$747,RouteID_Conversion!N207,SoundCast_Data!$P$2:$P$747)</f>
        <v>20.75951719284048</v>
      </c>
    </row>
    <row r="208" spans="1:17" x14ac:dyDescent="0.25">
      <c r="A208">
        <v>793</v>
      </c>
      <c r="B208">
        <v>110207</v>
      </c>
      <c r="C208">
        <v>1</v>
      </c>
      <c r="D208" t="s">
        <v>1510</v>
      </c>
      <c r="E208" t="s">
        <v>327</v>
      </c>
      <c r="F208" t="s">
        <v>1510</v>
      </c>
      <c r="G208">
        <v>1</v>
      </c>
      <c r="H208">
        <v>207</v>
      </c>
      <c r="I208" t="s">
        <v>137</v>
      </c>
      <c r="J208">
        <v>1056</v>
      </c>
      <c r="K208" s="8">
        <f>SUMIF(SoundCast_Data!$A$2:$A$1001,RouteID_Conversion!$H$2:$H$999,SoundCast_Data!$C$2:$C$1001)</f>
        <v>121.7461376190184</v>
      </c>
      <c r="N208">
        <v>207</v>
      </c>
      <c r="O208" t="s">
        <v>199</v>
      </c>
      <c r="P208">
        <v>1121</v>
      </c>
      <c r="Q208" s="8">
        <f>SUMIF(SoundCast_Data!$Q$2:$Q$747,RouteID_Conversion!N208,SoundCast_Data!$P$2:$P$747)</f>
        <v>44.253296375274587</v>
      </c>
    </row>
    <row r="209" spans="1:17" x14ac:dyDescent="0.25">
      <c r="A209">
        <v>794</v>
      </c>
      <c r="B209">
        <v>110208</v>
      </c>
      <c r="C209">
        <v>1</v>
      </c>
      <c r="D209" t="s">
        <v>1511</v>
      </c>
      <c r="E209" t="s">
        <v>327</v>
      </c>
      <c r="F209" t="s">
        <v>1511</v>
      </c>
      <c r="G209">
        <v>1</v>
      </c>
      <c r="H209">
        <v>208</v>
      </c>
      <c r="I209" t="s">
        <v>137</v>
      </c>
      <c r="J209">
        <v>1056</v>
      </c>
      <c r="K209" s="8">
        <f>SUMIF(SoundCast_Data!$A$2:$A$1001,RouteID_Conversion!$H$2:$H$999,SoundCast_Data!$C$2:$C$1001)</f>
        <v>306.03666687011651</v>
      </c>
      <c r="N209">
        <v>208</v>
      </c>
      <c r="O209" t="s">
        <v>199</v>
      </c>
      <c r="P209">
        <v>1121</v>
      </c>
      <c r="Q209" s="8">
        <f>SUMIF(SoundCast_Data!$Q$2:$Q$747,RouteID_Conversion!N209,SoundCast_Data!$P$2:$P$747)</f>
        <v>22.00145435333248</v>
      </c>
    </row>
    <row r="210" spans="1:17" x14ac:dyDescent="0.25">
      <c r="A210">
        <v>795</v>
      </c>
      <c r="B210">
        <v>110209</v>
      </c>
      <c r="C210">
        <v>1</v>
      </c>
      <c r="D210" t="s">
        <v>1512</v>
      </c>
      <c r="E210" t="s">
        <v>327</v>
      </c>
      <c r="F210" t="s">
        <v>1512</v>
      </c>
      <c r="G210">
        <v>1</v>
      </c>
      <c r="H210">
        <v>209</v>
      </c>
      <c r="I210" t="s">
        <v>139</v>
      </c>
      <c r="J210">
        <v>1057</v>
      </c>
      <c r="K210" s="8">
        <f>SUMIF(SoundCast_Data!$A$2:$A$1001,RouteID_Conversion!$H$2:$H$999,SoundCast_Data!$C$2:$C$1001)</f>
        <v>37.846322059631198</v>
      </c>
      <c r="N210">
        <v>209</v>
      </c>
      <c r="O210" t="s">
        <v>201</v>
      </c>
      <c r="P210">
        <v>1122</v>
      </c>
      <c r="Q210" s="8">
        <f>SUMIF(SoundCast_Data!$Q$2:$Q$747,RouteID_Conversion!N210,SoundCast_Data!$P$2:$P$747)</f>
        <v>41.21672534942622</v>
      </c>
    </row>
    <row r="211" spans="1:17" x14ac:dyDescent="0.25">
      <c r="A211">
        <v>796</v>
      </c>
      <c r="B211">
        <v>110210</v>
      </c>
      <c r="C211">
        <v>1</v>
      </c>
      <c r="D211" t="s">
        <v>1513</v>
      </c>
      <c r="E211" t="s">
        <v>327</v>
      </c>
      <c r="F211" t="s">
        <v>1513</v>
      </c>
      <c r="G211">
        <v>1</v>
      </c>
      <c r="H211">
        <v>210</v>
      </c>
      <c r="I211" t="s">
        <v>139</v>
      </c>
      <c r="J211">
        <v>1057</v>
      </c>
      <c r="K211" s="8">
        <f>SUMIF(SoundCast_Data!$A$2:$A$1001,RouteID_Conversion!$H$2:$H$999,SoundCast_Data!$C$2:$C$1001)</f>
        <v>153.59779357910151</v>
      </c>
      <c r="N211">
        <v>210</v>
      </c>
      <c r="O211" t="s">
        <v>205</v>
      </c>
      <c r="P211">
        <v>1124</v>
      </c>
      <c r="Q211" s="8">
        <f>SUMIF(SoundCast_Data!$Q$2:$Q$747,RouteID_Conversion!N211,SoundCast_Data!$P$2:$P$747)</f>
        <v>415.04982757568308</v>
      </c>
    </row>
    <row r="212" spans="1:17" x14ac:dyDescent="0.25">
      <c r="A212">
        <v>986</v>
      </c>
      <c r="B212">
        <v>110211</v>
      </c>
      <c r="C212">
        <v>1</v>
      </c>
      <c r="D212" t="s">
        <v>1819</v>
      </c>
      <c r="E212" t="s">
        <v>327</v>
      </c>
      <c r="F212" t="s">
        <v>1819</v>
      </c>
      <c r="G212">
        <v>1</v>
      </c>
      <c r="H212">
        <v>211</v>
      </c>
      <c r="I212" t="s">
        <v>141</v>
      </c>
      <c r="J212">
        <v>1060</v>
      </c>
      <c r="K212" s="8">
        <f>SUMIF(SoundCast_Data!$A$2:$A$1001,RouteID_Conversion!$H$2:$H$999,SoundCast_Data!$C$2:$C$1001)</f>
        <v>480.13761901855395</v>
      </c>
      <c r="N212">
        <v>211</v>
      </c>
      <c r="O212" t="s">
        <v>205</v>
      </c>
      <c r="P212">
        <v>1124</v>
      </c>
      <c r="Q212" s="8">
        <f>SUMIF(SoundCast_Data!$Q$2:$Q$747,RouteID_Conversion!N212,SoundCast_Data!$P$2:$P$747)</f>
        <v>214.34415817260691</v>
      </c>
    </row>
    <row r="213" spans="1:17" x14ac:dyDescent="0.25">
      <c r="A213">
        <v>987</v>
      </c>
      <c r="B213">
        <v>110212</v>
      </c>
      <c r="C213">
        <v>1</v>
      </c>
      <c r="D213" t="s">
        <v>1820</v>
      </c>
      <c r="E213" t="s">
        <v>327</v>
      </c>
      <c r="F213" t="s">
        <v>1820</v>
      </c>
      <c r="G213">
        <v>1</v>
      </c>
      <c r="H213">
        <v>212</v>
      </c>
      <c r="I213" t="s">
        <v>141</v>
      </c>
      <c r="J213">
        <v>1060</v>
      </c>
      <c r="K213" s="8">
        <f>SUMIF(SoundCast_Data!$A$2:$A$1001,RouteID_Conversion!$H$2:$H$999,SoundCast_Data!$C$2:$C$1001)</f>
        <v>200.0120697021483</v>
      </c>
      <c r="N213">
        <v>212</v>
      </c>
      <c r="O213" t="s">
        <v>205</v>
      </c>
      <c r="P213">
        <v>1124</v>
      </c>
      <c r="Q213" s="8">
        <f>SUMIF(SoundCast_Data!$Q$2:$Q$747,RouteID_Conversion!N213,SoundCast_Data!$P$2:$P$747)</f>
        <v>38.628449916839578</v>
      </c>
    </row>
    <row r="214" spans="1:17" x14ac:dyDescent="0.25">
      <c r="A214">
        <v>547</v>
      </c>
      <c r="B214">
        <v>110213</v>
      </c>
      <c r="C214">
        <v>1</v>
      </c>
      <c r="D214" t="s">
        <v>1160</v>
      </c>
      <c r="E214" t="s">
        <v>327</v>
      </c>
      <c r="F214" t="s">
        <v>1160</v>
      </c>
      <c r="G214">
        <v>1</v>
      </c>
      <c r="H214">
        <v>213</v>
      </c>
      <c r="I214" t="s">
        <v>143</v>
      </c>
      <c r="J214">
        <v>1064</v>
      </c>
      <c r="K214" s="8">
        <f>SUMIF(SoundCast_Data!$A$2:$A$1001,RouteID_Conversion!$H$2:$H$999,SoundCast_Data!$C$2:$C$1001)</f>
        <v>440.67831420898301</v>
      </c>
      <c r="N214">
        <v>213</v>
      </c>
      <c r="O214" t="s">
        <v>207</v>
      </c>
      <c r="P214">
        <v>1125</v>
      </c>
      <c r="Q214" s="8">
        <f>SUMIF(SoundCast_Data!$Q$2:$Q$747,RouteID_Conversion!N214,SoundCast_Data!$P$2:$P$747)</f>
        <v>225.44118118286099</v>
      </c>
    </row>
    <row r="215" spans="1:17" x14ac:dyDescent="0.25">
      <c r="A215">
        <v>460</v>
      </c>
      <c r="B215">
        <v>110214</v>
      </c>
      <c r="C215">
        <v>1</v>
      </c>
      <c r="D215" t="s">
        <v>1039</v>
      </c>
      <c r="E215" t="s">
        <v>327</v>
      </c>
      <c r="F215" t="s">
        <v>1039</v>
      </c>
      <c r="G215">
        <v>1</v>
      </c>
      <c r="H215">
        <v>214</v>
      </c>
      <c r="I215" t="s">
        <v>145</v>
      </c>
      <c r="J215">
        <v>1065</v>
      </c>
      <c r="K215" s="8">
        <f>SUMIF(SoundCast_Data!$A$2:$A$1001,RouteID_Conversion!$H$2:$H$999,SoundCast_Data!$C$2:$C$1001)</f>
        <v>144.52950668334941</v>
      </c>
      <c r="N215">
        <v>214</v>
      </c>
      <c r="O215" t="s">
        <v>207</v>
      </c>
      <c r="P215">
        <v>1125</v>
      </c>
      <c r="Q215" s="8">
        <f>SUMIF(SoundCast_Data!$Q$2:$Q$747,RouteID_Conversion!N215,SoundCast_Data!$P$2:$P$747)</f>
        <v>187.73332405090292</v>
      </c>
    </row>
    <row r="216" spans="1:17" x14ac:dyDescent="0.25">
      <c r="A216">
        <v>474</v>
      </c>
      <c r="B216">
        <v>110215</v>
      </c>
      <c r="C216">
        <v>1</v>
      </c>
      <c r="D216" t="s">
        <v>1053</v>
      </c>
      <c r="E216" t="s">
        <v>327</v>
      </c>
      <c r="F216" t="s">
        <v>1053</v>
      </c>
      <c r="G216">
        <v>1</v>
      </c>
      <c r="H216">
        <v>215</v>
      </c>
      <c r="I216" t="s">
        <v>145</v>
      </c>
      <c r="J216">
        <v>1065</v>
      </c>
      <c r="K216" s="8">
        <f>SUMIF(SoundCast_Data!$A$2:$A$1001,RouteID_Conversion!$H$2:$H$999,SoundCast_Data!$C$2:$C$1001)</f>
        <v>172.95546722412098</v>
      </c>
      <c r="N216">
        <v>215</v>
      </c>
      <c r="O216" t="s">
        <v>209</v>
      </c>
      <c r="P216">
        <v>1128</v>
      </c>
      <c r="Q216" s="8">
        <f>SUMIF(SoundCast_Data!$Q$2:$Q$747,RouteID_Conversion!N216,SoundCast_Data!$P$2:$P$747)</f>
        <v>263.9265880584714</v>
      </c>
    </row>
    <row r="217" spans="1:17" x14ac:dyDescent="0.25">
      <c r="A217">
        <v>461</v>
      </c>
      <c r="B217">
        <v>110216</v>
      </c>
      <c r="C217">
        <v>1</v>
      </c>
      <c r="D217" t="s">
        <v>1040</v>
      </c>
      <c r="E217" t="s">
        <v>327</v>
      </c>
      <c r="F217" t="s">
        <v>1040</v>
      </c>
      <c r="G217">
        <v>1</v>
      </c>
      <c r="H217">
        <v>216</v>
      </c>
      <c r="I217" t="s">
        <v>145</v>
      </c>
      <c r="J217">
        <v>1065</v>
      </c>
      <c r="K217" s="8">
        <f>SUMIF(SoundCast_Data!$A$2:$A$1001,RouteID_Conversion!$H$2:$H$999,SoundCast_Data!$C$2:$C$1001)</f>
        <v>20.650071620941151</v>
      </c>
      <c r="N217">
        <v>216</v>
      </c>
      <c r="O217" t="s">
        <v>209</v>
      </c>
      <c r="P217">
        <v>1128</v>
      </c>
      <c r="Q217" s="8">
        <f>SUMIF(SoundCast_Data!$Q$2:$Q$747,RouteID_Conversion!N217,SoundCast_Data!$P$2:$P$747)</f>
        <v>217.66815567016539</v>
      </c>
    </row>
    <row r="218" spans="1:17" x14ac:dyDescent="0.25">
      <c r="A218">
        <v>593</v>
      </c>
      <c r="B218">
        <v>110217</v>
      </c>
      <c r="C218">
        <v>1</v>
      </c>
      <c r="D218" t="s">
        <v>1243</v>
      </c>
      <c r="E218" t="s">
        <v>327</v>
      </c>
      <c r="F218" t="s">
        <v>1243</v>
      </c>
      <c r="G218">
        <v>1</v>
      </c>
      <c r="H218">
        <v>217</v>
      </c>
      <c r="I218" t="s">
        <v>145</v>
      </c>
      <c r="J218">
        <v>1065</v>
      </c>
      <c r="K218" s="8">
        <f>SUMIF(SoundCast_Data!$A$2:$A$1001,RouteID_Conversion!$H$2:$H$999,SoundCast_Data!$C$2:$C$1001)</f>
        <v>21.034077167510972</v>
      </c>
      <c r="N218">
        <v>217</v>
      </c>
      <c r="O218" t="s">
        <v>213</v>
      </c>
      <c r="P218">
        <v>1131</v>
      </c>
      <c r="Q218" s="8">
        <f>SUMIF(SoundCast_Data!$Q$2:$Q$747,RouteID_Conversion!N218,SoundCast_Data!$P$2:$P$747)</f>
        <v>143.13195037841791</v>
      </c>
    </row>
    <row r="219" spans="1:17" x14ac:dyDescent="0.25">
      <c r="A219">
        <v>594</v>
      </c>
      <c r="B219">
        <v>110218</v>
      </c>
      <c r="C219">
        <v>1</v>
      </c>
      <c r="D219" t="s">
        <v>1244</v>
      </c>
      <c r="E219" t="s">
        <v>327</v>
      </c>
      <c r="F219" t="s">
        <v>1244</v>
      </c>
      <c r="G219">
        <v>1</v>
      </c>
      <c r="H219">
        <v>218</v>
      </c>
      <c r="I219" t="s">
        <v>145</v>
      </c>
      <c r="J219">
        <v>1065</v>
      </c>
      <c r="K219" s="8">
        <f>SUMIF(SoundCast_Data!$A$2:$A$1001,RouteID_Conversion!$H$2:$H$999,SoundCast_Data!$C$2:$C$1001)</f>
        <v>105.1703796386717</v>
      </c>
      <c r="N219">
        <v>218</v>
      </c>
      <c r="O219" t="s">
        <v>213</v>
      </c>
      <c r="P219">
        <v>1131</v>
      </c>
      <c r="Q219" s="8">
        <f>SUMIF(SoundCast_Data!$Q$2:$Q$747,RouteID_Conversion!N219,SoundCast_Data!$P$2:$P$747)</f>
        <v>143.13195037841791</v>
      </c>
    </row>
    <row r="220" spans="1:17" x14ac:dyDescent="0.25">
      <c r="A220">
        <v>595</v>
      </c>
      <c r="B220">
        <v>110219</v>
      </c>
      <c r="C220">
        <v>1</v>
      </c>
      <c r="D220" t="s">
        <v>1245</v>
      </c>
      <c r="E220" t="s">
        <v>327</v>
      </c>
      <c r="F220" t="s">
        <v>1245</v>
      </c>
      <c r="G220">
        <v>1</v>
      </c>
      <c r="H220">
        <v>219</v>
      </c>
      <c r="I220" t="s">
        <v>145</v>
      </c>
      <c r="J220">
        <v>1065</v>
      </c>
      <c r="K220" s="8">
        <f>SUMIF(SoundCast_Data!$A$2:$A$1001,RouteID_Conversion!$H$2:$H$999,SoundCast_Data!$C$2:$C$1001)</f>
        <v>20.898070812225331</v>
      </c>
      <c r="N220">
        <v>219</v>
      </c>
      <c r="O220" t="s">
        <v>213</v>
      </c>
      <c r="P220">
        <v>1131</v>
      </c>
      <c r="Q220" s="8">
        <f>SUMIF(SoundCast_Data!$Q$2:$Q$747,RouteID_Conversion!N220,SoundCast_Data!$P$2:$P$747)</f>
        <v>46.665179729461613</v>
      </c>
    </row>
    <row r="221" spans="1:17" x14ac:dyDescent="0.25">
      <c r="A221">
        <v>596</v>
      </c>
      <c r="B221">
        <v>110220</v>
      </c>
      <c r="C221">
        <v>1</v>
      </c>
      <c r="D221" t="s">
        <v>1246</v>
      </c>
      <c r="E221" t="s">
        <v>327</v>
      </c>
      <c r="F221" t="s">
        <v>1246</v>
      </c>
      <c r="G221">
        <v>1</v>
      </c>
      <c r="H221">
        <v>220</v>
      </c>
      <c r="I221" t="s">
        <v>145</v>
      </c>
      <c r="J221">
        <v>1065</v>
      </c>
      <c r="K221" s="8">
        <f>SUMIF(SoundCast_Data!$A$2:$A$1001,RouteID_Conversion!$H$2:$H$999,SoundCast_Data!$C$2:$C$1001)</f>
        <v>20.898070812225331</v>
      </c>
      <c r="N221">
        <v>220</v>
      </c>
      <c r="O221" t="s">
        <v>213</v>
      </c>
      <c r="P221">
        <v>1131</v>
      </c>
      <c r="Q221" s="8">
        <f>SUMIF(SoundCast_Data!$Q$2:$Q$747,RouteID_Conversion!N221,SoundCast_Data!$P$2:$P$747)</f>
        <v>46.665179729461613</v>
      </c>
    </row>
    <row r="222" spans="1:17" x14ac:dyDescent="0.25">
      <c r="A222">
        <v>689</v>
      </c>
      <c r="B222">
        <v>110221</v>
      </c>
      <c r="C222">
        <v>1</v>
      </c>
      <c r="D222" t="s">
        <v>1355</v>
      </c>
      <c r="E222" t="s">
        <v>327</v>
      </c>
      <c r="F222" t="s">
        <v>1355</v>
      </c>
      <c r="G222">
        <v>1</v>
      </c>
      <c r="H222">
        <v>221</v>
      </c>
      <c r="I222" t="s">
        <v>147</v>
      </c>
      <c r="J222">
        <v>1066</v>
      </c>
      <c r="K222" s="8">
        <f>SUMIF(SoundCast_Data!$A$2:$A$1001,RouteID_Conversion!$H$2:$H$999,SoundCast_Data!$C$2:$C$1001)</f>
        <v>252.29567718505839</v>
      </c>
      <c r="N222">
        <v>221</v>
      </c>
      <c r="O222" t="s">
        <v>213</v>
      </c>
      <c r="P222">
        <v>1131</v>
      </c>
      <c r="Q222" s="8">
        <f>SUMIF(SoundCast_Data!$Q$2:$Q$747,RouteID_Conversion!N222,SoundCast_Data!$P$2:$P$747)</f>
        <v>27.93658947944634</v>
      </c>
    </row>
    <row r="223" spans="1:17" x14ac:dyDescent="0.25">
      <c r="A223">
        <v>690</v>
      </c>
      <c r="B223">
        <v>110222</v>
      </c>
      <c r="C223">
        <v>1</v>
      </c>
      <c r="D223" t="s">
        <v>1356</v>
      </c>
      <c r="E223" t="s">
        <v>327</v>
      </c>
      <c r="F223" t="s">
        <v>1356</v>
      </c>
      <c r="G223">
        <v>1</v>
      </c>
      <c r="H223">
        <v>222</v>
      </c>
      <c r="I223" t="s">
        <v>147</v>
      </c>
      <c r="J223">
        <v>1066</v>
      </c>
      <c r="K223" s="8">
        <f>SUMIF(SoundCast_Data!$A$2:$A$1001,RouteID_Conversion!$H$2:$H$999,SoundCast_Data!$C$2:$C$1001)</f>
        <v>298.33545684814368</v>
      </c>
      <c r="N223">
        <v>222</v>
      </c>
      <c r="O223" t="s">
        <v>213</v>
      </c>
      <c r="P223">
        <v>1131</v>
      </c>
      <c r="Q223" s="8">
        <f>SUMIF(SoundCast_Data!$Q$2:$Q$747,RouteID_Conversion!N223,SoundCast_Data!$P$2:$P$747)</f>
        <v>27.93658947944634</v>
      </c>
    </row>
    <row r="224" spans="1:17" x14ac:dyDescent="0.25">
      <c r="A224">
        <v>691</v>
      </c>
      <c r="B224">
        <v>110223</v>
      </c>
      <c r="C224">
        <v>1</v>
      </c>
      <c r="D224" t="s">
        <v>1357</v>
      </c>
      <c r="E224" t="s">
        <v>327</v>
      </c>
      <c r="F224" t="s">
        <v>1357</v>
      </c>
      <c r="G224">
        <v>1</v>
      </c>
      <c r="H224">
        <v>223</v>
      </c>
      <c r="I224" t="s">
        <v>147</v>
      </c>
      <c r="J224">
        <v>1066</v>
      </c>
      <c r="K224" s="8">
        <f>SUMIF(SoundCast_Data!$A$2:$A$1001,RouteID_Conversion!$H$2:$H$999,SoundCast_Data!$C$2:$C$1001)</f>
        <v>223.7515487670897</v>
      </c>
      <c r="N224">
        <v>223</v>
      </c>
      <c r="O224" t="s">
        <v>215</v>
      </c>
      <c r="P224">
        <v>1132</v>
      </c>
      <c r="Q224" s="8">
        <f>SUMIF(SoundCast_Data!$Q$2:$Q$747,RouteID_Conversion!N224,SoundCast_Data!$P$2:$P$747)</f>
        <v>207.56628036499021</v>
      </c>
    </row>
    <row r="225" spans="1:17" x14ac:dyDescent="0.25">
      <c r="A225">
        <v>601</v>
      </c>
      <c r="B225">
        <v>110224</v>
      </c>
      <c r="C225">
        <v>1</v>
      </c>
      <c r="D225" t="s">
        <v>1251</v>
      </c>
      <c r="E225" t="s">
        <v>327</v>
      </c>
      <c r="F225" t="s">
        <v>1251</v>
      </c>
      <c r="G225">
        <v>1</v>
      </c>
      <c r="H225">
        <v>224</v>
      </c>
      <c r="I225" t="s">
        <v>149</v>
      </c>
      <c r="J225">
        <v>1067</v>
      </c>
      <c r="K225" s="8">
        <f>SUMIF(SoundCast_Data!$A$2:$A$1001,RouteID_Conversion!$H$2:$H$999,SoundCast_Data!$C$2:$C$1001)</f>
        <v>43.995713233947598</v>
      </c>
      <c r="N225">
        <v>224</v>
      </c>
      <c r="O225" t="s">
        <v>215</v>
      </c>
      <c r="P225">
        <v>1132</v>
      </c>
      <c r="Q225" s="8">
        <f>SUMIF(SoundCast_Data!$Q$2:$Q$747,RouteID_Conversion!N225,SoundCast_Data!$P$2:$P$747)</f>
        <v>56.834794044494593</v>
      </c>
    </row>
    <row r="226" spans="1:17" x14ac:dyDescent="0.25">
      <c r="A226">
        <v>602</v>
      </c>
      <c r="B226">
        <v>110225</v>
      </c>
      <c r="C226">
        <v>1</v>
      </c>
      <c r="D226" t="s">
        <v>1252</v>
      </c>
      <c r="E226" t="s">
        <v>327</v>
      </c>
      <c r="F226" t="s">
        <v>1252</v>
      </c>
      <c r="G226">
        <v>1</v>
      </c>
      <c r="H226">
        <v>225</v>
      </c>
      <c r="I226" t="s">
        <v>149</v>
      </c>
      <c r="J226">
        <v>1067</v>
      </c>
      <c r="K226" s="8">
        <f>SUMIF(SoundCast_Data!$A$2:$A$1001,RouteID_Conversion!$H$2:$H$999,SoundCast_Data!$C$2:$C$1001)</f>
        <v>68.182958602905003</v>
      </c>
      <c r="N226">
        <v>225</v>
      </c>
      <c r="O226" t="s">
        <v>215</v>
      </c>
      <c r="P226">
        <v>1132</v>
      </c>
      <c r="Q226" s="8">
        <f>SUMIF(SoundCast_Data!$Q$2:$Q$747,RouteID_Conversion!N226,SoundCast_Data!$P$2:$P$747)</f>
        <v>80.987061500549174</v>
      </c>
    </row>
    <row r="227" spans="1:17" x14ac:dyDescent="0.25">
      <c r="A227">
        <v>603</v>
      </c>
      <c r="B227">
        <v>110226</v>
      </c>
      <c r="C227">
        <v>1</v>
      </c>
      <c r="D227" t="s">
        <v>1253</v>
      </c>
      <c r="E227" t="s">
        <v>327</v>
      </c>
      <c r="F227" t="s">
        <v>1253</v>
      </c>
      <c r="G227">
        <v>1</v>
      </c>
      <c r="H227">
        <v>226</v>
      </c>
      <c r="I227" t="s">
        <v>149</v>
      </c>
      <c r="J227">
        <v>1067</v>
      </c>
      <c r="K227" s="8">
        <f>SUMIF(SoundCast_Data!$A$2:$A$1001,RouteID_Conversion!$H$2:$H$999,SoundCast_Data!$C$2:$C$1001)</f>
        <v>121.48758316040028</v>
      </c>
      <c r="N227">
        <v>226</v>
      </c>
      <c r="O227" t="s">
        <v>215</v>
      </c>
      <c r="P227">
        <v>1132</v>
      </c>
      <c r="Q227" s="8">
        <f>SUMIF(SoundCast_Data!$Q$2:$Q$747,RouteID_Conversion!N227,SoundCast_Data!$P$2:$P$747)</f>
        <v>24.33691978454582</v>
      </c>
    </row>
    <row r="228" spans="1:17" x14ac:dyDescent="0.25">
      <c r="A228">
        <v>604</v>
      </c>
      <c r="B228">
        <v>110227</v>
      </c>
      <c r="C228">
        <v>1</v>
      </c>
      <c r="D228" t="s">
        <v>1254</v>
      </c>
      <c r="E228" t="s">
        <v>327</v>
      </c>
      <c r="F228" t="s">
        <v>1254</v>
      </c>
      <c r="G228">
        <v>1</v>
      </c>
      <c r="H228">
        <v>227</v>
      </c>
      <c r="I228" t="s">
        <v>149</v>
      </c>
      <c r="J228">
        <v>1067</v>
      </c>
      <c r="K228" s="8">
        <f>SUMIF(SoundCast_Data!$A$2:$A$1001,RouteID_Conversion!$H$2:$H$999,SoundCast_Data!$C$2:$C$1001)</f>
        <v>60.743791580200096</v>
      </c>
      <c r="N228">
        <v>227</v>
      </c>
      <c r="O228" t="s">
        <v>215</v>
      </c>
      <c r="P228">
        <v>1132</v>
      </c>
      <c r="Q228" s="8">
        <f>SUMIF(SoundCast_Data!$Q$2:$Q$747,RouteID_Conversion!N228,SoundCast_Data!$P$2:$P$747)</f>
        <v>24.33691978454582</v>
      </c>
    </row>
    <row r="229" spans="1:17" x14ac:dyDescent="0.25">
      <c r="A229">
        <v>475</v>
      </c>
      <c r="B229">
        <v>110228</v>
      </c>
      <c r="C229">
        <v>1</v>
      </c>
      <c r="D229" t="s">
        <v>1054</v>
      </c>
      <c r="E229" t="s">
        <v>327</v>
      </c>
      <c r="F229" t="s">
        <v>1054</v>
      </c>
      <c r="G229">
        <v>1</v>
      </c>
      <c r="H229">
        <v>228</v>
      </c>
      <c r="I229" t="s">
        <v>151</v>
      </c>
      <c r="J229">
        <v>1068</v>
      </c>
      <c r="K229" s="8">
        <f>SUMIF(SoundCast_Data!$A$2:$A$1001,RouteID_Conversion!$H$2:$H$999,SoundCast_Data!$C$2:$C$1001)</f>
        <v>133.02219390869129</v>
      </c>
      <c r="N229">
        <v>228</v>
      </c>
      <c r="O229" t="s">
        <v>219</v>
      </c>
      <c r="P229">
        <v>1134</v>
      </c>
      <c r="Q229" s="8">
        <f>SUMIF(SoundCast_Data!$Q$2:$Q$747,RouteID_Conversion!N229,SoundCast_Data!$P$2:$P$747)</f>
        <v>55.800062179565373</v>
      </c>
    </row>
    <row r="230" spans="1:17" x14ac:dyDescent="0.25">
      <c r="A230">
        <v>476</v>
      </c>
      <c r="B230">
        <v>110229</v>
      </c>
      <c r="C230">
        <v>1</v>
      </c>
      <c r="D230" t="s">
        <v>1055</v>
      </c>
      <c r="E230" t="s">
        <v>327</v>
      </c>
      <c r="F230" t="s">
        <v>1055</v>
      </c>
      <c r="G230">
        <v>1</v>
      </c>
      <c r="H230">
        <v>229</v>
      </c>
      <c r="I230" t="s">
        <v>151</v>
      </c>
      <c r="J230">
        <v>1068</v>
      </c>
      <c r="K230" s="8">
        <f>SUMIF(SoundCast_Data!$A$2:$A$1001,RouteID_Conversion!$H$2:$H$999,SoundCast_Data!$C$2:$C$1001)</f>
        <v>26.604438781738274</v>
      </c>
      <c r="N230">
        <v>229</v>
      </c>
      <c r="O230" t="s">
        <v>219</v>
      </c>
      <c r="P230">
        <v>1134</v>
      </c>
      <c r="Q230" s="8">
        <f>SUMIF(SoundCast_Data!$Q$2:$Q$747,RouteID_Conversion!N230,SoundCast_Data!$P$2:$P$747)</f>
        <v>34.653640747070284</v>
      </c>
    </row>
    <row r="231" spans="1:17" x14ac:dyDescent="0.25">
      <c r="A231">
        <v>462</v>
      </c>
      <c r="B231">
        <v>110230</v>
      </c>
      <c r="C231">
        <v>1</v>
      </c>
      <c r="D231" t="s">
        <v>1041</v>
      </c>
      <c r="E231" t="s">
        <v>327</v>
      </c>
      <c r="F231" t="s">
        <v>1041</v>
      </c>
      <c r="G231">
        <v>1</v>
      </c>
      <c r="H231">
        <v>230</v>
      </c>
      <c r="I231" t="s">
        <v>151</v>
      </c>
      <c r="J231">
        <v>1068</v>
      </c>
      <c r="K231" s="8">
        <f>SUMIF(SoundCast_Data!$A$2:$A$1001,RouteID_Conversion!$H$2:$H$999,SoundCast_Data!$C$2:$C$1001)</f>
        <v>25.840436935424798</v>
      </c>
      <c r="N231">
        <v>230</v>
      </c>
      <c r="O231" t="s">
        <v>221</v>
      </c>
      <c r="P231">
        <v>1139</v>
      </c>
      <c r="Q231" s="8">
        <f>SUMIF(SoundCast_Data!$Q$2:$Q$747,RouteID_Conversion!N231,SoundCast_Data!$P$2:$P$747)</f>
        <v>22.21948313713067</v>
      </c>
    </row>
    <row r="232" spans="1:17" x14ac:dyDescent="0.25">
      <c r="A232">
        <v>184</v>
      </c>
      <c r="B232">
        <v>110231</v>
      </c>
      <c r="C232">
        <v>1</v>
      </c>
      <c r="D232" t="s">
        <v>598</v>
      </c>
      <c r="E232" t="s">
        <v>327</v>
      </c>
      <c r="F232" t="s">
        <v>598</v>
      </c>
      <c r="G232">
        <v>1</v>
      </c>
      <c r="H232">
        <v>231</v>
      </c>
      <c r="I232" t="s">
        <v>151</v>
      </c>
      <c r="J232">
        <v>1068</v>
      </c>
      <c r="K232" s="8">
        <f>SUMIF(SoundCast_Data!$A$2:$A$1001,RouteID_Conversion!$H$2:$H$999,SoundCast_Data!$C$2:$C$1001)</f>
        <v>18.859412670135491</v>
      </c>
      <c r="N232">
        <v>231</v>
      </c>
      <c r="O232" t="s">
        <v>221</v>
      </c>
      <c r="P232">
        <v>1139</v>
      </c>
      <c r="Q232" s="8">
        <f>SUMIF(SoundCast_Data!$Q$2:$Q$747,RouteID_Conversion!N232,SoundCast_Data!$P$2:$P$747)</f>
        <v>21.35253977775572</v>
      </c>
    </row>
    <row r="233" spans="1:17" x14ac:dyDescent="0.25">
      <c r="A233">
        <v>185</v>
      </c>
      <c r="B233">
        <v>110232</v>
      </c>
      <c r="C233">
        <v>1</v>
      </c>
      <c r="D233" t="s">
        <v>599</v>
      </c>
      <c r="E233" t="s">
        <v>327</v>
      </c>
      <c r="F233" t="s">
        <v>599</v>
      </c>
      <c r="G233">
        <v>1</v>
      </c>
      <c r="H233">
        <v>232</v>
      </c>
      <c r="I233" t="s">
        <v>151</v>
      </c>
      <c r="J233">
        <v>1068</v>
      </c>
      <c r="K233" s="8">
        <f>SUMIF(SoundCast_Data!$A$2:$A$1001,RouteID_Conversion!$H$2:$H$999,SoundCast_Data!$C$2:$C$1001)</f>
        <v>100.87078094482411</v>
      </c>
      <c r="N233">
        <v>232</v>
      </c>
      <c r="O233" t="s">
        <v>223</v>
      </c>
      <c r="P233">
        <v>1140</v>
      </c>
      <c r="Q233" s="8">
        <f>SUMIF(SoundCast_Data!$Q$2:$Q$747,RouteID_Conversion!N233,SoundCast_Data!$P$2:$P$747)</f>
        <v>33.772800922393785</v>
      </c>
    </row>
    <row r="234" spans="1:17" x14ac:dyDescent="0.25">
      <c r="A234">
        <v>186</v>
      </c>
      <c r="B234">
        <v>110233</v>
      </c>
      <c r="C234">
        <v>1</v>
      </c>
      <c r="D234" t="s">
        <v>600</v>
      </c>
      <c r="E234" t="s">
        <v>327</v>
      </c>
      <c r="F234" t="s">
        <v>600</v>
      </c>
      <c r="G234">
        <v>1</v>
      </c>
      <c r="H234">
        <v>233</v>
      </c>
      <c r="I234" t="s">
        <v>151</v>
      </c>
      <c r="J234">
        <v>1068</v>
      </c>
      <c r="K234" s="8">
        <f>SUMIF(SoundCast_Data!$A$2:$A$1001,RouteID_Conversion!$H$2:$H$999,SoundCast_Data!$C$2:$C$1001)</f>
        <v>16.811797142028798</v>
      </c>
      <c r="N234">
        <v>233</v>
      </c>
      <c r="O234" t="s">
        <v>223</v>
      </c>
      <c r="P234">
        <v>1140</v>
      </c>
      <c r="Q234" s="8">
        <f>SUMIF(SoundCast_Data!$Q$2:$Q$747,RouteID_Conversion!N234,SoundCast_Data!$P$2:$P$747)</f>
        <v>380.83205795287984</v>
      </c>
    </row>
    <row r="235" spans="1:17" x14ac:dyDescent="0.25">
      <c r="A235">
        <v>470</v>
      </c>
      <c r="B235">
        <v>110234</v>
      </c>
      <c r="C235">
        <v>1</v>
      </c>
      <c r="D235" t="s">
        <v>1049</v>
      </c>
      <c r="E235" t="s">
        <v>327</v>
      </c>
      <c r="F235" t="s">
        <v>1049</v>
      </c>
      <c r="G235">
        <v>1</v>
      </c>
      <c r="H235">
        <v>234</v>
      </c>
      <c r="I235" t="s">
        <v>153</v>
      </c>
      <c r="J235">
        <v>1070</v>
      </c>
      <c r="K235" s="8">
        <f>SUMIF(SoundCast_Data!$A$2:$A$1001,RouteID_Conversion!$H$2:$H$999,SoundCast_Data!$C$2:$C$1001)</f>
        <v>520.76016235351403</v>
      </c>
      <c r="N235">
        <v>234</v>
      </c>
      <c r="O235" t="s">
        <v>223</v>
      </c>
      <c r="P235">
        <v>1140</v>
      </c>
      <c r="Q235" s="8">
        <f>SUMIF(SoundCast_Data!$Q$2:$Q$747,RouteID_Conversion!N235,SoundCast_Data!$P$2:$P$747)</f>
        <v>350.56333923339764</v>
      </c>
    </row>
    <row r="236" spans="1:17" x14ac:dyDescent="0.25">
      <c r="A236">
        <v>605</v>
      </c>
      <c r="B236">
        <v>110235</v>
      </c>
      <c r="C236">
        <v>1</v>
      </c>
      <c r="D236" t="s">
        <v>1255</v>
      </c>
      <c r="E236" t="s">
        <v>327</v>
      </c>
      <c r="F236" t="s">
        <v>1255</v>
      </c>
      <c r="G236">
        <v>1</v>
      </c>
      <c r="H236">
        <v>235</v>
      </c>
      <c r="I236" t="s">
        <v>153</v>
      </c>
      <c r="J236">
        <v>1070</v>
      </c>
      <c r="K236" s="8">
        <f>SUMIF(SoundCast_Data!$A$2:$A$1001,RouteID_Conversion!$H$2:$H$999,SoundCast_Data!$C$2:$C$1001)</f>
        <v>277.57321929931561</v>
      </c>
      <c r="N236">
        <v>235</v>
      </c>
      <c r="O236" t="s">
        <v>227</v>
      </c>
      <c r="P236">
        <v>1148</v>
      </c>
      <c r="Q236" s="8">
        <f>SUMIF(SoundCast_Data!$Q$2:$Q$747,RouteID_Conversion!N236,SoundCast_Data!$P$2:$P$747)</f>
        <v>150.74359321594162</v>
      </c>
    </row>
    <row r="237" spans="1:17" x14ac:dyDescent="0.25">
      <c r="A237">
        <v>606</v>
      </c>
      <c r="B237">
        <v>110236</v>
      </c>
      <c r="C237">
        <v>1</v>
      </c>
      <c r="D237" t="s">
        <v>1256</v>
      </c>
      <c r="E237" t="s">
        <v>327</v>
      </c>
      <c r="F237" t="s">
        <v>1256</v>
      </c>
      <c r="G237">
        <v>1</v>
      </c>
      <c r="H237">
        <v>236</v>
      </c>
      <c r="I237" t="s">
        <v>153</v>
      </c>
      <c r="J237">
        <v>1070</v>
      </c>
      <c r="K237" s="8">
        <f>SUMIF(SoundCast_Data!$A$2:$A$1001,RouteID_Conversion!$H$2:$H$999,SoundCast_Data!$C$2:$C$1001)</f>
        <v>341.05108642578028</v>
      </c>
      <c r="N237">
        <v>236</v>
      </c>
      <c r="O237" t="s">
        <v>227</v>
      </c>
      <c r="P237">
        <v>1148</v>
      </c>
      <c r="Q237" s="8">
        <f>SUMIF(SoundCast_Data!$Q$2:$Q$747,RouteID_Conversion!N237,SoundCast_Data!$P$2:$P$747)</f>
        <v>137.36827754974351</v>
      </c>
    </row>
    <row r="238" spans="1:17" x14ac:dyDescent="0.25">
      <c r="A238">
        <v>897</v>
      </c>
      <c r="B238">
        <v>110237</v>
      </c>
      <c r="C238">
        <v>1</v>
      </c>
      <c r="D238" t="s">
        <v>1676</v>
      </c>
      <c r="E238" t="s">
        <v>327</v>
      </c>
      <c r="F238" t="s">
        <v>1676</v>
      </c>
      <c r="G238">
        <v>1</v>
      </c>
      <c r="H238">
        <v>237</v>
      </c>
      <c r="I238" t="s">
        <v>155</v>
      </c>
      <c r="J238">
        <v>1071</v>
      </c>
      <c r="K238" s="8">
        <f>SUMIF(SoundCast_Data!$A$2:$A$1001,RouteID_Conversion!$H$2:$H$999,SoundCast_Data!$C$2:$C$1001)</f>
        <v>79.783159255981289</v>
      </c>
      <c r="N238">
        <v>237</v>
      </c>
      <c r="O238" t="s">
        <v>229</v>
      </c>
      <c r="P238">
        <v>1149</v>
      </c>
      <c r="Q238" s="8">
        <f>SUMIF(SoundCast_Data!$Q$2:$Q$747,RouteID_Conversion!N238,SoundCast_Data!$P$2:$P$747)</f>
        <v>13.018370717763897</v>
      </c>
    </row>
    <row r="239" spans="1:17" x14ac:dyDescent="0.25">
      <c r="A239">
        <v>645</v>
      </c>
      <c r="B239">
        <v>110238</v>
      </c>
      <c r="C239">
        <v>1</v>
      </c>
      <c r="D239" t="s">
        <v>1304</v>
      </c>
      <c r="E239" t="s">
        <v>327</v>
      </c>
      <c r="F239" t="s">
        <v>1304</v>
      </c>
      <c r="G239">
        <v>1</v>
      </c>
      <c r="H239">
        <v>238</v>
      </c>
      <c r="I239" t="s">
        <v>155</v>
      </c>
      <c r="J239">
        <v>1071</v>
      </c>
      <c r="K239" s="8">
        <f>SUMIF(SoundCast_Data!$A$2:$A$1001,RouteID_Conversion!$H$2:$H$999,SoundCast_Data!$C$2:$C$1001)</f>
        <v>455.27380371093602</v>
      </c>
      <c r="N239">
        <v>238</v>
      </c>
      <c r="O239" t="s">
        <v>229</v>
      </c>
      <c r="P239">
        <v>1149</v>
      </c>
      <c r="Q239" s="8">
        <f>SUMIF(SoundCast_Data!$Q$2:$Q$747,RouteID_Conversion!N239,SoundCast_Data!$P$2:$P$747)</f>
        <v>7.7368162870406998</v>
      </c>
    </row>
    <row r="240" spans="1:17" x14ac:dyDescent="0.25">
      <c r="A240">
        <v>898</v>
      </c>
      <c r="B240">
        <v>110239</v>
      </c>
      <c r="C240">
        <v>1</v>
      </c>
      <c r="D240" t="s">
        <v>1677</v>
      </c>
      <c r="E240" t="s">
        <v>327</v>
      </c>
      <c r="F240" t="s">
        <v>1677</v>
      </c>
      <c r="G240">
        <v>1</v>
      </c>
      <c r="H240">
        <v>239</v>
      </c>
      <c r="I240" t="s">
        <v>155</v>
      </c>
      <c r="J240">
        <v>1071</v>
      </c>
      <c r="K240" s="8">
        <f>SUMIF(SoundCast_Data!$A$2:$A$1001,RouteID_Conversion!$H$2:$H$999,SoundCast_Data!$C$2:$C$1001)</f>
        <v>159.56631851196281</v>
      </c>
      <c r="N240">
        <v>239</v>
      </c>
      <c r="O240" t="s">
        <v>231</v>
      </c>
      <c r="P240">
        <v>1150</v>
      </c>
      <c r="Q240" s="8">
        <f>SUMIF(SoundCast_Data!$Q$2:$Q$747,RouteID_Conversion!N240,SoundCast_Data!$P$2:$P$747)</f>
        <v>169.78563308715761</v>
      </c>
    </row>
    <row r="241" spans="1:17" x14ac:dyDescent="0.25">
      <c r="A241">
        <v>646</v>
      </c>
      <c r="B241">
        <v>110240</v>
      </c>
      <c r="C241">
        <v>1</v>
      </c>
      <c r="D241" t="s">
        <v>1305</v>
      </c>
      <c r="E241" t="s">
        <v>327</v>
      </c>
      <c r="F241" t="s">
        <v>1305</v>
      </c>
      <c r="G241">
        <v>1</v>
      </c>
      <c r="H241">
        <v>240</v>
      </c>
      <c r="I241" t="s">
        <v>157</v>
      </c>
      <c r="J241">
        <v>1072</v>
      </c>
      <c r="K241" s="8">
        <f>SUMIF(SoundCast_Data!$A$2:$A$1001,RouteID_Conversion!$H$2:$H$999,SoundCast_Data!$C$2:$C$1001)</f>
        <v>395.83312225341706</v>
      </c>
      <c r="N241">
        <v>240</v>
      </c>
      <c r="O241" t="s">
        <v>231</v>
      </c>
      <c r="P241">
        <v>1150</v>
      </c>
      <c r="Q241" s="8">
        <f>SUMIF(SoundCast_Data!$Q$2:$Q$747,RouteID_Conversion!N241,SoundCast_Data!$P$2:$P$747)</f>
        <v>1910.088592529293</v>
      </c>
    </row>
    <row r="242" spans="1:17" x14ac:dyDescent="0.25">
      <c r="A242">
        <v>899</v>
      </c>
      <c r="B242">
        <v>110241</v>
      </c>
      <c r="C242">
        <v>1</v>
      </c>
      <c r="D242" t="s">
        <v>1678</v>
      </c>
      <c r="E242" t="s">
        <v>327</v>
      </c>
      <c r="F242" t="s">
        <v>1678</v>
      </c>
      <c r="G242">
        <v>1</v>
      </c>
      <c r="H242">
        <v>241</v>
      </c>
      <c r="I242" t="s">
        <v>157</v>
      </c>
      <c r="J242">
        <v>1072</v>
      </c>
      <c r="K242" s="8">
        <f>SUMIF(SoundCast_Data!$A$2:$A$1001,RouteID_Conversion!$H$2:$H$999,SoundCast_Data!$C$2:$C$1001)</f>
        <v>175.7958412170409</v>
      </c>
      <c r="N242">
        <v>241</v>
      </c>
      <c r="O242" t="s">
        <v>231</v>
      </c>
      <c r="P242">
        <v>1150</v>
      </c>
      <c r="Q242" s="8">
        <f>SUMIF(SoundCast_Data!$Q$2:$Q$747,RouteID_Conversion!N242,SoundCast_Data!$P$2:$P$747)</f>
        <v>109.2015056610106</v>
      </c>
    </row>
    <row r="243" spans="1:17" x14ac:dyDescent="0.25">
      <c r="A243">
        <v>900</v>
      </c>
      <c r="B243">
        <v>110242</v>
      </c>
      <c r="C243">
        <v>1</v>
      </c>
      <c r="D243" t="s">
        <v>1679</v>
      </c>
      <c r="E243" t="s">
        <v>327</v>
      </c>
      <c r="F243" t="s">
        <v>1679</v>
      </c>
      <c r="G243">
        <v>1</v>
      </c>
      <c r="H243">
        <v>242</v>
      </c>
      <c r="I243" t="s">
        <v>157</v>
      </c>
      <c r="J243">
        <v>1072</v>
      </c>
      <c r="K243" s="8">
        <f>SUMIF(SoundCast_Data!$A$2:$A$1001,RouteID_Conversion!$H$2:$H$999,SoundCast_Data!$C$2:$C$1001)</f>
        <v>87.897920608520394</v>
      </c>
      <c r="N243">
        <v>242</v>
      </c>
      <c r="O243" t="s">
        <v>231</v>
      </c>
      <c r="P243">
        <v>1150</v>
      </c>
      <c r="Q243" s="8">
        <f>SUMIF(SoundCast_Data!$Q$2:$Q$747,RouteID_Conversion!N243,SoundCast_Data!$P$2:$P$747)</f>
        <v>1250.456687927245</v>
      </c>
    </row>
    <row r="244" spans="1:17" x14ac:dyDescent="0.25">
      <c r="A244">
        <v>932</v>
      </c>
      <c r="B244">
        <v>110243</v>
      </c>
      <c r="C244">
        <v>1</v>
      </c>
      <c r="D244" t="s">
        <v>1747</v>
      </c>
      <c r="E244" t="s">
        <v>327</v>
      </c>
      <c r="F244" t="s">
        <v>1747</v>
      </c>
      <c r="G244">
        <v>1</v>
      </c>
      <c r="H244">
        <v>243</v>
      </c>
      <c r="I244" t="s">
        <v>159</v>
      </c>
      <c r="J244">
        <v>1073</v>
      </c>
      <c r="K244" s="8">
        <f>SUMIF(SoundCast_Data!$A$2:$A$1001,RouteID_Conversion!$H$2:$H$999,SoundCast_Data!$C$2:$C$1001)</f>
        <v>30.182587623596163</v>
      </c>
      <c r="N244">
        <v>243</v>
      </c>
      <c r="O244" t="s">
        <v>235</v>
      </c>
      <c r="P244">
        <v>1153</v>
      </c>
      <c r="Q244" s="8">
        <f>SUMIF(SoundCast_Data!$Q$2:$Q$747,RouteID_Conversion!N244,SoundCast_Data!$P$2:$P$747)</f>
        <v>27.492127895355189</v>
      </c>
    </row>
    <row r="245" spans="1:17" x14ac:dyDescent="0.25">
      <c r="A245">
        <v>901</v>
      </c>
      <c r="B245">
        <v>110244</v>
      </c>
      <c r="C245">
        <v>1</v>
      </c>
      <c r="D245" t="s">
        <v>1680</v>
      </c>
      <c r="E245" t="s">
        <v>327</v>
      </c>
      <c r="F245" t="s">
        <v>1680</v>
      </c>
      <c r="G245">
        <v>1</v>
      </c>
      <c r="H245">
        <v>244</v>
      </c>
      <c r="I245" t="s">
        <v>159</v>
      </c>
      <c r="J245">
        <v>1073</v>
      </c>
      <c r="K245" s="8">
        <f>SUMIF(SoundCast_Data!$A$2:$A$1001,RouteID_Conversion!$H$2:$H$999,SoundCast_Data!$C$2:$C$1001)</f>
        <v>60.843883514404098</v>
      </c>
      <c r="N245">
        <v>244</v>
      </c>
      <c r="O245" t="s">
        <v>235</v>
      </c>
      <c r="P245">
        <v>1153</v>
      </c>
      <c r="Q245" s="8">
        <f>SUMIF(SoundCast_Data!$Q$2:$Q$747,RouteID_Conversion!N245,SoundCast_Data!$P$2:$P$747)</f>
        <v>28.488673448562558</v>
      </c>
    </row>
    <row r="246" spans="1:17" x14ac:dyDescent="0.25">
      <c r="A246">
        <v>647</v>
      </c>
      <c r="B246">
        <v>110245</v>
      </c>
      <c r="C246">
        <v>1</v>
      </c>
      <c r="D246" t="s">
        <v>1306</v>
      </c>
      <c r="E246" t="s">
        <v>327</v>
      </c>
      <c r="F246" t="s">
        <v>1306</v>
      </c>
      <c r="G246">
        <v>1</v>
      </c>
      <c r="H246">
        <v>245</v>
      </c>
      <c r="I246" t="s">
        <v>159</v>
      </c>
      <c r="J246">
        <v>1073</v>
      </c>
      <c r="K246" s="8">
        <f>SUMIF(SoundCast_Data!$A$2:$A$1001,RouteID_Conversion!$H$2:$H$999,SoundCast_Data!$C$2:$C$1001)</f>
        <v>77.45938873291</v>
      </c>
      <c r="N246">
        <v>245</v>
      </c>
      <c r="O246" t="s">
        <v>237</v>
      </c>
      <c r="P246">
        <v>1154</v>
      </c>
      <c r="Q246" s="8">
        <f>SUMIF(SoundCast_Data!$Q$2:$Q$747,RouteID_Conversion!N246,SoundCast_Data!$P$2:$P$747)</f>
        <v>6.5252050161361606</v>
      </c>
    </row>
    <row r="247" spans="1:17" x14ac:dyDescent="0.25">
      <c r="A247">
        <v>648</v>
      </c>
      <c r="B247">
        <v>110246</v>
      </c>
      <c r="C247">
        <v>1</v>
      </c>
      <c r="D247" t="s">
        <v>1307</v>
      </c>
      <c r="E247" t="s">
        <v>327</v>
      </c>
      <c r="F247" t="s">
        <v>1307</v>
      </c>
      <c r="G247">
        <v>1</v>
      </c>
      <c r="H247">
        <v>246</v>
      </c>
      <c r="I247" t="s">
        <v>159</v>
      </c>
      <c r="J247">
        <v>1073</v>
      </c>
      <c r="K247" s="8">
        <f>SUMIF(SoundCast_Data!$A$2:$A$1001,RouteID_Conversion!$H$2:$H$999,SoundCast_Data!$C$2:$C$1001)</f>
        <v>511.39758300781102</v>
      </c>
      <c r="N247">
        <v>246</v>
      </c>
      <c r="O247" t="s">
        <v>239</v>
      </c>
      <c r="P247">
        <v>1155</v>
      </c>
      <c r="Q247" s="8">
        <f>SUMIF(SoundCast_Data!$Q$2:$Q$747,RouteID_Conversion!N247,SoundCast_Data!$P$2:$P$747)</f>
        <v>34.494247674941846</v>
      </c>
    </row>
    <row r="248" spans="1:17" x14ac:dyDescent="0.25">
      <c r="A248">
        <v>902</v>
      </c>
      <c r="B248">
        <v>110247</v>
      </c>
      <c r="C248">
        <v>1</v>
      </c>
      <c r="D248" t="s">
        <v>1681</v>
      </c>
      <c r="E248" t="s">
        <v>327</v>
      </c>
      <c r="F248" t="s">
        <v>1681</v>
      </c>
      <c r="G248">
        <v>1</v>
      </c>
      <c r="H248">
        <v>247</v>
      </c>
      <c r="I248" t="s">
        <v>159</v>
      </c>
      <c r="J248">
        <v>1073</v>
      </c>
      <c r="K248" s="8">
        <f>SUMIF(SoundCast_Data!$A$2:$A$1001,RouteID_Conversion!$H$2:$H$999,SoundCast_Data!$C$2:$C$1001)</f>
        <v>155.66434097290031</v>
      </c>
      <c r="N248">
        <v>247</v>
      </c>
      <c r="O248" t="s">
        <v>239</v>
      </c>
      <c r="P248">
        <v>1155</v>
      </c>
      <c r="Q248" s="8">
        <f>SUMIF(SoundCast_Data!$Q$2:$Q$747,RouteID_Conversion!N248,SoundCast_Data!$P$2:$P$747)</f>
        <v>53.975605964660552</v>
      </c>
    </row>
    <row r="249" spans="1:17" x14ac:dyDescent="0.25">
      <c r="A249">
        <v>933</v>
      </c>
      <c r="B249">
        <v>110248</v>
      </c>
      <c r="C249">
        <v>1</v>
      </c>
      <c r="D249" t="s">
        <v>1748</v>
      </c>
      <c r="E249" t="s">
        <v>327</v>
      </c>
      <c r="F249" t="s">
        <v>1748</v>
      </c>
      <c r="G249">
        <v>1</v>
      </c>
      <c r="H249">
        <v>248</v>
      </c>
      <c r="I249" t="s">
        <v>159</v>
      </c>
      <c r="J249">
        <v>1073</v>
      </c>
      <c r="K249" s="8">
        <f>SUMIF(SoundCast_Data!$A$2:$A$1001,RouteID_Conversion!$H$2:$H$999,SoundCast_Data!$C$2:$C$1001)</f>
        <v>154.56069183349592</v>
      </c>
      <c r="N249">
        <v>248</v>
      </c>
      <c r="O249" t="s">
        <v>239</v>
      </c>
      <c r="P249">
        <v>1155</v>
      </c>
      <c r="Q249" s="8">
        <f>SUMIF(SoundCast_Data!$Q$2:$Q$747,RouteID_Conversion!N249,SoundCast_Data!$P$2:$P$747)</f>
        <v>20.135934114456131</v>
      </c>
    </row>
    <row r="250" spans="1:17" x14ac:dyDescent="0.25">
      <c r="A250">
        <v>649</v>
      </c>
      <c r="B250">
        <v>110249</v>
      </c>
      <c r="C250">
        <v>1</v>
      </c>
      <c r="D250" t="s">
        <v>1308</v>
      </c>
      <c r="E250" t="s">
        <v>327</v>
      </c>
      <c r="F250" t="s">
        <v>1308</v>
      </c>
      <c r="G250">
        <v>1</v>
      </c>
      <c r="H250">
        <v>249</v>
      </c>
      <c r="I250" t="s">
        <v>161</v>
      </c>
      <c r="J250">
        <v>1074</v>
      </c>
      <c r="K250" s="8">
        <f>SUMIF(SoundCast_Data!$A$2:$A$1001,RouteID_Conversion!$H$2:$H$999,SoundCast_Data!$C$2:$C$1001)</f>
        <v>380.83226776122899</v>
      </c>
      <c r="N250">
        <v>249</v>
      </c>
      <c r="O250" t="s">
        <v>241</v>
      </c>
      <c r="P250">
        <v>1156</v>
      </c>
      <c r="Q250" s="8">
        <f>SUMIF(SoundCast_Data!$Q$2:$Q$747,RouteID_Conversion!N250,SoundCast_Data!$P$2:$P$747)</f>
        <v>20.460567474365178</v>
      </c>
    </row>
    <row r="251" spans="1:17" x14ac:dyDescent="0.25">
      <c r="A251">
        <v>463</v>
      </c>
      <c r="B251">
        <v>110250</v>
      </c>
      <c r="C251">
        <v>1</v>
      </c>
      <c r="D251" t="s">
        <v>1042</v>
      </c>
      <c r="E251" t="s">
        <v>327</v>
      </c>
      <c r="F251" t="s">
        <v>1042</v>
      </c>
      <c r="G251">
        <v>1</v>
      </c>
      <c r="H251">
        <v>250</v>
      </c>
      <c r="I251" t="s">
        <v>163</v>
      </c>
      <c r="J251">
        <v>1075</v>
      </c>
      <c r="K251" s="8">
        <f>SUMIF(SoundCast_Data!$A$2:$A$1001,RouteID_Conversion!$H$2:$H$999,SoundCast_Data!$C$2:$C$1001)</f>
        <v>465.64698791503804</v>
      </c>
      <c r="N251">
        <v>250</v>
      </c>
      <c r="O251" t="s">
        <v>241</v>
      </c>
      <c r="P251">
        <v>1156</v>
      </c>
      <c r="Q251" s="8">
        <f>SUMIF(SoundCast_Data!$Q$2:$Q$747,RouteID_Conversion!N251,SoundCast_Data!$P$2:$P$747)</f>
        <v>16.19905614852901</v>
      </c>
    </row>
    <row r="252" spans="1:17" x14ac:dyDescent="0.25">
      <c r="A252">
        <v>464</v>
      </c>
      <c r="B252">
        <v>110251</v>
      </c>
      <c r="C252">
        <v>1</v>
      </c>
      <c r="D252" t="s">
        <v>1043</v>
      </c>
      <c r="E252" t="s">
        <v>327</v>
      </c>
      <c r="F252" t="s">
        <v>1043</v>
      </c>
      <c r="G252">
        <v>1</v>
      </c>
      <c r="H252">
        <v>251</v>
      </c>
      <c r="I252" t="s">
        <v>163</v>
      </c>
      <c r="J252">
        <v>1075</v>
      </c>
      <c r="K252" s="8">
        <f>SUMIF(SoundCast_Data!$A$2:$A$1001,RouteID_Conversion!$H$2:$H$999,SoundCast_Data!$C$2:$C$1001)</f>
        <v>51.9405708312987</v>
      </c>
      <c r="N252">
        <v>251</v>
      </c>
      <c r="O252" t="s">
        <v>241</v>
      </c>
      <c r="P252">
        <v>1156</v>
      </c>
      <c r="Q252" s="8">
        <f>SUMIF(SoundCast_Data!$Q$2:$Q$747,RouteID_Conversion!N252,SoundCast_Data!$P$2:$P$747)</f>
        <v>16.19905614852901</v>
      </c>
    </row>
    <row r="253" spans="1:17" x14ac:dyDescent="0.25">
      <c r="A253">
        <v>548</v>
      </c>
      <c r="B253">
        <v>110252</v>
      </c>
      <c r="C253">
        <v>1</v>
      </c>
      <c r="D253" t="s">
        <v>1161</v>
      </c>
      <c r="E253" t="s">
        <v>327</v>
      </c>
      <c r="F253" t="s">
        <v>1161</v>
      </c>
      <c r="G253">
        <v>1</v>
      </c>
      <c r="H253">
        <v>252</v>
      </c>
      <c r="I253" t="s">
        <v>163</v>
      </c>
      <c r="J253">
        <v>1075</v>
      </c>
      <c r="K253" s="8">
        <f>SUMIF(SoundCast_Data!$A$2:$A$1001,RouteID_Conversion!$H$2:$H$999,SoundCast_Data!$C$2:$C$1001)</f>
        <v>120.6206893920897</v>
      </c>
      <c r="N253">
        <v>252</v>
      </c>
      <c r="O253" t="s">
        <v>241</v>
      </c>
      <c r="P253">
        <v>1156</v>
      </c>
      <c r="Q253" s="8">
        <f>SUMIF(SoundCast_Data!$Q$2:$Q$747,RouteID_Conversion!N253,SoundCast_Data!$P$2:$P$747)</f>
        <v>21.46056771278375</v>
      </c>
    </row>
    <row r="254" spans="1:17" x14ac:dyDescent="0.25">
      <c r="A254">
        <v>465</v>
      </c>
      <c r="B254">
        <v>110253</v>
      </c>
      <c r="C254">
        <v>1</v>
      </c>
      <c r="D254" t="s">
        <v>1044</v>
      </c>
      <c r="E254" t="s">
        <v>327</v>
      </c>
      <c r="F254" t="s">
        <v>1044</v>
      </c>
      <c r="G254">
        <v>1</v>
      </c>
      <c r="H254">
        <v>253</v>
      </c>
      <c r="I254" t="s">
        <v>163</v>
      </c>
      <c r="J254">
        <v>1075</v>
      </c>
      <c r="K254" s="8">
        <f>SUMIF(SoundCast_Data!$A$2:$A$1001,RouteID_Conversion!$H$2:$H$999,SoundCast_Data!$C$2:$C$1001)</f>
        <v>120.6206893920897</v>
      </c>
      <c r="N254">
        <v>253</v>
      </c>
      <c r="O254" t="s">
        <v>253</v>
      </c>
      <c r="P254">
        <v>1164</v>
      </c>
      <c r="Q254" s="8">
        <f>SUMIF(SoundCast_Data!$Q$2:$Q$747,RouteID_Conversion!N254,SoundCast_Data!$P$2:$P$747)</f>
        <v>76.098675251006995</v>
      </c>
    </row>
    <row r="255" spans="1:17" x14ac:dyDescent="0.25">
      <c r="A255">
        <v>187</v>
      </c>
      <c r="B255">
        <v>110254</v>
      </c>
      <c r="C255">
        <v>1</v>
      </c>
      <c r="D255" t="s">
        <v>601</v>
      </c>
      <c r="E255" t="s">
        <v>327</v>
      </c>
      <c r="F255" t="s">
        <v>601</v>
      </c>
      <c r="G255">
        <v>1</v>
      </c>
      <c r="H255">
        <v>254</v>
      </c>
      <c r="I255" t="s">
        <v>163</v>
      </c>
      <c r="J255">
        <v>1075</v>
      </c>
      <c r="K255" s="8">
        <f>SUMIF(SoundCast_Data!$A$2:$A$1001,RouteID_Conversion!$H$2:$H$999,SoundCast_Data!$C$2:$C$1001)</f>
        <v>326.7165985107406</v>
      </c>
      <c r="N255">
        <v>254</v>
      </c>
      <c r="O255" t="s">
        <v>253</v>
      </c>
      <c r="P255">
        <v>1164</v>
      </c>
      <c r="Q255" s="8">
        <f>SUMIF(SoundCast_Data!$Q$2:$Q$747,RouteID_Conversion!N255,SoundCast_Data!$P$2:$P$747)</f>
        <v>70.788758277892896</v>
      </c>
    </row>
    <row r="256" spans="1:17" x14ac:dyDescent="0.25">
      <c r="A256">
        <v>188</v>
      </c>
      <c r="B256">
        <v>110255</v>
      </c>
      <c r="C256">
        <v>1</v>
      </c>
      <c r="D256" t="s">
        <v>602</v>
      </c>
      <c r="E256" t="s">
        <v>327</v>
      </c>
      <c r="F256" t="s">
        <v>602</v>
      </c>
      <c r="G256">
        <v>1</v>
      </c>
      <c r="H256">
        <v>255</v>
      </c>
      <c r="I256" t="s">
        <v>163</v>
      </c>
      <c r="J256">
        <v>1075</v>
      </c>
      <c r="K256" s="8">
        <f>SUMIF(SoundCast_Data!$A$2:$A$1001,RouteID_Conversion!$H$2:$H$999,SoundCast_Data!$C$2:$C$1001)</f>
        <v>121.38613128662101</v>
      </c>
      <c r="N256">
        <v>255</v>
      </c>
      <c r="O256" t="s">
        <v>255</v>
      </c>
      <c r="P256">
        <v>1166</v>
      </c>
      <c r="Q256" s="8">
        <f>SUMIF(SoundCast_Data!$Q$2:$Q$747,RouteID_Conversion!N256,SoundCast_Data!$P$2:$P$747)</f>
        <v>187.45460891723562</v>
      </c>
    </row>
    <row r="257" spans="1:17" x14ac:dyDescent="0.25">
      <c r="A257">
        <v>650</v>
      </c>
      <c r="B257">
        <v>110256</v>
      </c>
      <c r="C257">
        <v>1</v>
      </c>
      <c r="D257" t="s">
        <v>1309</v>
      </c>
      <c r="E257" t="s">
        <v>327</v>
      </c>
      <c r="F257" t="s">
        <v>1309</v>
      </c>
      <c r="G257">
        <v>1</v>
      </c>
      <c r="H257">
        <v>256</v>
      </c>
      <c r="I257" t="s">
        <v>165</v>
      </c>
      <c r="J257">
        <v>1076</v>
      </c>
      <c r="K257" s="8">
        <f>SUMIF(SoundCast_Data!$A$2:$A$1001,RouteID_Conversion!$H$2:$H$999,SoundCast_Data!$C$2:$C$1001)</f>
        <v>641.89031982421807</v>
      </c>
      <c r="N257">
        <v>256</v>
      </c>
      <c r="O257" t="s">
        <v>255</v>
      </c>
      <c r="P257">
        <v>1166</v>
      </c>
      <c r="Q257" s="8">
        <f>SUMIF(SoundCast_Data!$Q$2:$Q$747,RouteID_Conversion!N257,SoundCast_Data!$P$2:$P$747)</f>
        <v>180.47284889221092</v>
      </c>
    </row>
    <row r="258" spans="1:17" x14ac:dyDescent="0.25">
      <c r="A258">
        <v>903</v>
      </c>
      <c r="B258">
        <v>110257</v>
      </c>
      <c r="C258">
        <v>1</v>
      </c>
      <c r="D258" t="s">
        <v>1682</v>
      </c>
      <c r="E258" t="s">
        <v>327</v>
      </c>
      <c r="F258" t="s">
        <v>1682</v>
      </c>
      <c r="G258">
        <v>1</v>
      </c>
      <c r="H258">
        <v>257</v>
      </c>
      <c r="I258" t="s">
        <v>167</v>
      </c>
      <c r="J258">
        <v>1077</v>
      </c>
      <c r="K258" s="8">
        <f>SUMIF(SoundCast_Data!$A$2:$A$1001,RouteID_Conversion!$H$2:$H$999,SoundCast_Data!$C$2:$C$1001)</f>
        <v>342.13757324218699</v>
      </c>
      <c r="N258">
        <v>257</v>
      </c>
      <c r="O258" t="s">
        <v>257</v>
      </c>
      <c r="P258">
        <v>1167</v>
      </c>
      <c r="Q258" s="8">
        <f>SUMIF(SoundCast_Data!$Q$2:$Q$747,RouteID_Conversion!N258,SoundCast_Data!$P$2:$P$747)</f>
        <v>26.973771333694401</v>
      </c>
    </row>
    <row r="259" spans="1:17" x14ac:dyDescent="0.25">
      <c r="A259">
        <v>189</v>
      </c>
      <c r="B259">
        <v>110258</v>
      </c>
      <c r="C259">
        <v>1</v>
      </c>
      <c r="D259" t="s">
        <v>603</v>
      </c>
      <c r="E259" t="s">
        <v>327</v>
      </c>
      <c r="F259" t="s">
        <v>603</v>
      </c>
      <c r="G259">
        <v>1</v>
      </c>
      <c r="H259">
        <v>258</v>
      </c>
      <c r="I259" t="s">
        <v>169</v>
      </c>
      <c r="J259">
        <v>1079</v>
      </c>
      <c r="K259" s="8">
        <f>SUMIF(SoundCast_Data!$A$2:$A$1001,RouteID_Conversion!$H$2:$H$999,SoundCast_Data!$C$2:$C$1001)</f>
        <v>238.49534606933582</v>
      </c>
      <c r="N259">
        <v>258</v>
      </c>
      <c r="O259" t="s">
        <v>259</v>
      </c>
      <c r="P259">
        <v>1168</v>
      </c>
      <c r="Q259" s="8">
        <f>SUMIF(SoundCast_Data!$Q$2:$Q$747,RouteID_Conversion!N259,SoundCast_Data!$P$2:$P$747)</f>
        <v>97.145611286163202</v>
      </c>
    </row>
    <row r="260" spans="1:17" x14ac:dyDescent="0.25">
      <c r="A260">
        <v>284</v>
      </c>
      <c r="B260">
        <v>110259</v>
      </c>
      <c r="C260">
        <v>1</v>
      </c>
      <c r="D260" t="s">
        <v>763</v>
      </c>
      <c r="E260" t="s">
        <v>327</v>
      </c>
      <c r="F260" t="s">
        <v>763</v>
      </c>
      <c r="G260">
        <v>1</v>
      </c>
      <c r="H260">
        <v>259</v>
      </c>
      <c r="I260" t="s">
        <v>764</v>
      </c>
      <c r="J260">
        <v>1098</v>
      </c>
      <c r="K260" s="8">
        <f>SUMIF(SoundCast_Data!$A$2:$A$1001,RouteID_Conversion!$H$2:$H$999,SoundCast_Data!$C$2:$C$1001)</f>
        <v>0</v>
      </c>
      <c r="N260">
        <v>259</v>
      </c>
      <c r="O260" t="s">
        <v>259</v>
      </c>
      <c r="P260">
        <v>1168</v>
      </c>
      <c r="Q260" s="8">
        <f>SUMIF(SoundCast_Data!$Q$2:$Q$747,RouteID_Conversion!N260,SoundCast_Data!$P$2:$P$747)</f>
        <v>104.5675411224364</v>
      </c>
    </row>
    <row r="261" spans="1:17" x14ac:dyDescent="0.25">
      <c r="A261">
        <v>383</v>
      </c>
      <c r="B261">
        <v>110260</v>
      </c>
      <c r="C261">
        <v>1</v>
      </c>
      <c r="D261" t="s">
        <v>920</v>
      </c>
      <c r="E261" t="s">
        <v>327</v>
      </c>
      <c r="F261" t="s">
        <v>920</v>
      </c>
      <c r="G261">
        <v>1</v>
      </c>
      <c r="H261">
        <v>260</v>
      </c>
      <c r="I261" t="s">
        <v>764</v>
      </c>
      <c r="J261">
        <v>1098</v>
      </c>
      <c r="K261" s="8">
        <f>SUMIF(SoundCast_Data!$A$2:$A$1001,RouteID_Conversion!$H$2:$H$999,SoundCast_Data!$C$2:$C$1001)</f>
        <v>0</v>
      </c>
      <c r="N261">
        <v>260</v>
      </c>
      <c r="O261" t="s">
        <v>261</v>
      </c>
      <c r="P261">
        <v>1169</v>
      </c>
      <c r="Q261" s="8">
        <f>SUMIF(SoundCast_Data!$Q$2:$Q$747,RouteID_Conversion!N261,SoundCast_Data!$P$2:$P$747)</f>
        <v>340.67628860473599</v>
      </c>
    </row>
    <row r="262" spans="1:17" x14ac:dyDescent="0.25">
      <c r="A262">
        <v>662</v>
      </c>
      <c r="B262">
        <v>110261</v>
      </c>
      <c r="C262">
        <v>1</v>
      </c>
      <c r="D262" t="s">
        <v>1328</v>
      </c>
      <c r="E262" t="s">
        <v>327</v>
      </c>
      <c r="F262" t="s">
        <v>1328</v>
      </c>
      <c r="G262">
        <v>1</v>
      </c>
      <c r="H262">
        <v>261</v>
      </c>
      <c r="I262" t="s">
        <v>171</v>
      </c>
      <c r="J262">
        <v>1099</v>
      </c>
      <c r="K262" s="8">
        <f>SUMIF(SoundCast_Data!$A$2:$A$1001,RouteID_Conversion!$H$2:$H$999,SoundCast_Data!$C$2:$C$1001)</f>
        <v>36.019054412841626</v>
      </c>
      <c r="N262">
        <v>261</v>
      </c>
      <c r="O262" t="s">
        <v>261</v>
      </c>
      <c r="P262">
        <v>1169</v>
      </c>
      <c r="Q262" s="8">
        <f>SUMIF(SoundCast_Data!$Q$2:$Q$747,RouteID_Conversion!N262,SoundCast_Data!$P$2:$P$747)</f>
        <v>374.29446792602482</v>
      </c>
    </row>
    <row r="263" spans="1:17" x14ac:dyDescent="0.25">
      <c r="A263">
        <v>692</v>
      </c>
      <c r="B263">
        <v>110262</v>
      </c>
      <c r="C263">
        <v>1</v>
      </c>
      <c r="D263" t="s">
        <v>1358</v>
      </c>
      <c r="E263" t="s">
        <v>327</v>
      </c>
      <c r="F263" t="s">
        <v>1358</v>
      </c>
      <c r="G263">
        <v>1</v>
      </c>
      <c r="H263">
        <v>262</v>
      </c>
      <c r="I263" t="s">
        <v>171</v>
      </c>
      <c r="J263">
        <v>1099</v>
      </c>
      <c r="K263" s="8">
        <f>SUMIF(SoundCast_Data!$A$2:$A$1001,RouteID_Conversion!$H$2:$H$999,SoundCast_Data!$C$2:$C$1001)</f>
        <v>0.20000000298023199</v>
      </c>
      <c r="N263">
        <v>262</v>
      </c>
      <c r="O263" t="s">
        <v>265</v>
      </c>
      <c r="P263">
        <v>1174</v>
      </c>
      <c r="Q263" s="8">
        <f>SUMIF(SoundCast_Data!$Q$2:$Q$747,RouteID_Conversion!N263,SoundCast_Data!$P$2:$P$747)</f>
        <v>528.34831237792889</v>
      </c>
    </row>
    <row r="264" spans="1:17" x14ac:dyDescent="0.25">
      <c r="A264">
        <v>615</v>
      </c>
      <c r="B264">
        <v>110263</v>
      </c>
      <c r="C264">
        <v>1</v>
      </c>
      <c r="D264" t="s">
        <v>1271</v>
      </c>
      <c r="E264" t="s">
        <v>327</v>
      </c>
      <c r="F264" t="s">
        <v>1271</v>
      </c>
      <c r="G264">
        <v>1</v>
      </c>
      <c r="H264">
        <v>263</v>
      </c>
      <c r="I264" t="s">
        <v>173</v>
      </c>
      <c r="J264">
        <v>1101</v>
      </c>
      <c r="K264" s="8">
        <f>SUMIF(SoundCast_Data!$A$2:$A$1001,RouteID_Conversion!$H$2:$H$999,SoundCast_Data!$C$2:$C$1001)</f>
        <v>305.32268524169774</v>
      </c>
      <c r="N264">
        <v>263</v>
      </c>
      <c r="O264" t="s">
        <v>265</v>
      </c>
      <c r="P264">
        <v>1174</v>
      </c>
      <c r="Q264" s="8">
        <f>SUMIF(SoundCast_Data!$Q$2:$Q$747,RouteID_Conversion!N264,SoundCast_Data!$P$2:$P$747)</f>
        <v>206.21035003662101</v>
      </c>
    </row>
    <row r="265" spans="1:17" x14ac:dyDescent="0.25">
      <c r="A265">
        <v>616</v>
      </c>
      <c r="B265">
        <v>110264</v>
      </c>
      <c r="C265">
        <v>1</v>
      </c>
      <c r="D265" t="s">
        <v>1272</v>
      </c>
      <c r="E265" t="s">
        <v>327</v>
      </c>
      <c r="F265" t="s">
        <v>1272</v>
      </c>
      <c r="G265">
        <v>1</v>
      </c>
      <c r="H265">
        <v>264</v>
      </c>
      <c r="I265" t="s">
        <v>173</v>
      </c>
      <c r="J265">
        <v>1101</v>
      </c>
      <c r="K265" s="8">
        <f>SUMIF(SoundCast_Data!$A$2:$A$1001,RouteID_Conversion!$H$2:$H$999,SoundCast_Data!$C$2:$C$1001)</f>
        <v>49.885542869567701</v>
      </c>
      <c r="N265">
        <v>264</v>
      </c>
      <c r="O265" t="s">
        <v>265</v>
      </c>
      <c r="P265">
        <v>1174</v>
      </c>
      <c r="Q265" s="8">
        <f>SUMIF(SoundCast_Data!$Q$2:$Q$747,RouteID_Conversion!N265,SoundCast_Data!$P$2:$P$747)</f>
        <v>41.24206781387317</v>
      </c>
    </row>
    <row r="266" spans="1:17" x14ac:dyDescent="0.25">
      <c r="A266">
        <v>617</v>
      </c>
      <c r="B266">
        <v>110265</v>
      </c>
      <c r="C266">
        <v>1</v>
      </c>
      <c r="D266" t="s">
        <v>1273</v>
      </c>
      <c r="E266" t="s">
        <v>327</v>
      </c>
      <c r="F266" t="s">
        <v>1273</v>
      </c>
      <c r="G266">
        <v>1</v>
      </c>
      <c r="H266">
        <v>265</v>
      </c>
      <c r="I266" t="s">
        <v>173</v>
      </c>
      <c r="J266">
        <v>1101</v>
      </c>
      <c r="K266" s="8">
        <f>SUMIF(SoundCast_Data!$A$2:$A$1001,RouteID_Conversion!$H$2:$H$999,SoundCast_Data!$C$2:$C$1001)</f>
        <v>152.66134262084941</v>
      </c>
      <c r="N266">
        <v>265</v>
      </c>
      <c r="O266" t="s">
        <v>273</v>
      </c>
      <c r="P266">
        <v>1180</v>
      </c>
      <c r="Q266" s="8">
        <f>SUMIF(SoundCast_Data!$Q$2:$Q$747,RouteID_Conversion!N266,SoundCast_Data!$P$2:$P$747)</f>
        <v>363.71424102783169</v>
      </c>
    </row>
    <row r="267" spans="1:17" x14ac:dyDescent="0.25">
      <c r="A267">
        <v>618</v>
      </c>
      <c r="B267">
        <v>110266</v>
      </c>
      <c r="C267">
        <v>1</v>
      </c>
      <c r="D267" t="s">
        <v>1274</v>
      </c>
      <c r="E267" t="s">
        <v>327</v>
      </c>
      <c r="F267" t="s">
        <v>1274</v>
      </c>
      <c r="G267">
        <v>1</v>
      </c>
      <c r="H267">
        <v>266</v>
      </c>
      <c r="I267" t="s">
        <v>173</v>
      </c>
      <c r="J267">
        <v>1101</v>
      </c>
      <c r="K267" s="8">
        <f>SUMIF(SoundCast_Data!$A$2:$A$1001,RouteID_Conversion!$H$2:$H$999,SoundCast_Data!$C$2:$C$1001)</f>
        <v>345.05825805663949</v>
      </c>
      <c r="N267">
        <v>266</v>
      </c>
      <c r="O267" t="s">
        <v>273</v>
      </c>
      <c r="P267">
        <v>1180</v>
      </c>
      <c r="Q267" s="8">
        <f>SUMIF(SoundCast_Data!$Q$2:$Q$747,RouteID_Conversion!N267,SoundCast_Data!$P$2:$P$747)</f>
        <v>54.892884254455453</v>
      </c>
    </row>
    <row r="268" spans="1:17" x14ac:dyDescent="0.25">
      <c r="A268">
        <v>619</v>
      </c>
      <c r="B268">
        <v>110267</v>
      </c>
      <c r="C268">
        <v>1</v>
      </c>
      <c r="D268" t="s">
        <v>1275</v>
      </c>
      <c r="E268" t="s">
        <v>327</v>
      </c>
      <c r="F268" t="s">
        <v>1275</v>
      </c>
      <c r="G268">
        <v>1</v>
      </c>
      <c r="H268">
        <v>267</v>
      </c>
      <c r="I268" t="s">
        <v>173</v>
      </c>
      <c r="J268">
        <v>1101</v>
      </c>
      <c r="K268" s="8">
        <f>SUMIF(SoundCast_Data!$A$2:$A$1001,RouteID_Conversion!$H$2:$H$999,SoundCast_Data!$C$2:$C$1001)</f>
        <v>199.54217147827129</v>
      </c>
      <c r="N268">
        <v>267</v>
      </c>
      <c r="O268" t="s">
        <v>273</v>
      </c>
      <c r="P268">
        <v>1180</v>
      </c>
      <c r="Q268" s="8">
        <f>SUMIF(SoundCast_Data!$Q$2:$Q$747,RouteID_Conversion!N268,SoundCast_Data!$P$2:$P$747)</f>
        <v>299.4157562255852</v>
      </c>
    </row>
    <row r="269" spans="1:17" x14ac:dyDescent="0.25">
      <c r="A269">
        <v>654</v>
      </c>
      <c r="B269">
        <v>110268</v>
      </c>
      <c r="C269">
        <v>1</v>
      </c>
      <c r="D269" t="s">
        <v>1311</v>
      </c>
      <c r="E269" t="s">
        <v>327</v>
      </c>
      <c r="F269" t="s">
        <v>1311</v>
      </c>
      <c r="G269">
        <v>1</v>
      </c>
      <c r="H269">
        <v>268</v>
      </c>
      <c r="I269" t="s">
        <v>175</v>
      </c>
      <c r="J269">
        <v>1102</v>
      </c>
      <c r="K269" s="8">
        <f>SUMIF(SoundCast_Data!$A$2:$A$1001,RouteID_Conversion!$H$2:$H$999,SoundCast_Data!$C$2:$C$1001)</f>
        <v>259.08279037475518</v>
      </c>
      <c r="N269">
        <v>268</v>
      </c>
      <c r="O269" t="s">
        <v>275</v>
      </c>
      <c r="P269">
        <v>1181</v>
      </c>
      <c r="Q269" s="8">
        <f>SUMIF(SoundCast_Data!$Q$2:$Q$747,RouteID_Conversion!N269,SoundCast_Data!$P$2:$P$747)</f>
        <v>316.81608200073202</v>
      </c>
    </row>
    <row r="270" spans="1:17" x14ac:dyDescent="0.25">
      <c r="A270">
        <v>240</v>
      </c>
      <c r="B270">
        <v>110269</v>
      </c>
      <c r="C270">
        <v>1</v>
      </c>
      <c r="D270" t="s">
        <v>712</v>
      </c>
      <c r="E270" t="s">
        <v>327</v>
      </c>
      <c r="F270" t="s">
        <v>712</v>
      </c>
      <c r="G270">
        <v>1</v>
      </c>
      <c r="H270">
        <v>269</v>
      </c>
      <c r="I270" t="s">
        <v>177</v>
      </c>
      <c r="J270">
        <v>1105</v>
      </c>
      <c r="K270" s="8">
        <f>SUMIF(SoundCast_Data!$A$2:$A$1001,RouteID_Conversion!$H$2:$H$999,SoundCast_Data!$C$2:$C$1001)</f>
        <v>70.547719955444109</v>
      </c>
      <c r="N270">
        <v>269</v>
      </c>
      <c r="O270" t="s">
        <v>275</v>
      </c>
      <c r="P270">
        <v>1181</v>
      </c>
      <c r="Q270" s="8">
        <f>SUMIF(SoundCast_Data!$Q$2:$Q$747,RouteID_Conversion!N270,SoundCast_Data!$P$2:$P$747)</f>
        <v>331.64871978759732</v>
      </c>
    </row>
    <row r="271" spans="1:17" x14ac:dyDescent="0.25">
      <c r="A271">
        <v>469</v>
      </c>
      <c r="B271">
        <v>110270</v>
      </c>
      <c r="C271">
        <v>1</v>
      </c>
      <c r="D271" t="s">
        <v>1048</v>
      </c>
      <c r="E271" t="s">
        <v>327</v>
      </c>
      <c r="F271" t="s">
        <v>1048</v>
      </c>
      <c r="G271">
        <v>1</v>
      </c>
      <c r="H271">
        <v>270</v>
      </c>
      <c r="I271" t="s">
        <v>177</v>
      </c>
      <c r="J271">
        <v>1105</v>
      </c>
      <c r="K271" s="8">
        <f>SUMIF(SoundCast_Data!$A$2:$A$1001,RouteID_Conversion!$H$2:$H$999,SoundCast_Data!$C$2:$C$1001)</f>
        <v>77.864019393920799</v>
      </c>
      <c r="N271">
        <v>270</v>
      </c>
      <c r="O271" t="s">
        <v>277</v>
      </c>
      <c r="P271">
        <v>1182</v>
      </c>
      <c r="Q271" s="8">
        <f>SUMIF(SoundCast_Data!$Q$2:$Q$747,RouteID_Conversion!N271,SoundCast_Data!$P$2:$P$747)</f>
        <v>37.495378017425523</v>
      </c>
    </row>
    <row r="272" spans="1:17" x14ac:dyDescent="0.25">
      <c r="A272">
        <v>620</v>
      </c>
      <c r="B272">
        <v>110271</v>
      </c>
      <c r="C272">
        <v>1</v>
      </c>
      <c r="D272" t="s">
        <v>1276</v>
      </c>
      <c r="E272" t="s">
        <v>327</v>
      </c>
      <c r="F272" t="s">
        <v>1276</v>
      </c>
      <c r="G272">
        <v>1</v>
      </c>
      <c r="H272">
        <v>271</v>
      </c>
      <c r="I272" t="s">
        <v>179</v>
      </c>
      <c r="J272">
        <v>1106</v>
      </c>
      <c r="K272" s="8">
        <f>SUMIF(SoundCast_Data!$A$2:$A$1001,RouteID_Conversion!$H$2:$H$999,SoundCast_Data!$C$2:$C$1001)</f>
        <v>151.46728134155262</v>
      </c>
      <c r="N272">
        <v>271</v>
      </c>
      <c r="O272" t="s">
        <v>277</v>
      </c>
      <c r="P272">
        <v>1182</v>
      </c>
      <c r="Q272" s="8">
        <f>SUMIF(SoundCast_Data!$Q$2:$Q$747,RouteID_Conversion!N272,SoundCast_Data!$P$2:$P$747)</f>
        <v>26.221174597740109</v>
      </c>
    </row>
    <row r="273" spans="1:17" x14ac:dyDescent="0.25">
      <c r="A273">
        <v>621</v>
      </c>
      <c r="B273">
        <v>110272</v>
      </c>
      <c r="C273">
        <v>1</v>
      </c>
      <c r="D273" t="s">
        <v>1277</v>
      </c>
      <c r="E273" t="s">
        <v>327</v>
      </c>
      <c r="F273" t="s">
        <v>1277</v>
      </c>
      <c r="G273">
        <v>1</v>
      </c>
      <c r="H273">
        <v>272</v>
      </c>
      <c r="I273" t="s">
        <v>179</v>
      </c>
      <c r="J273">
        <v>1106</v>
      </c>
      <c r="K273" s="8">
        <f>SUMIF(SoundCast_Data!$A$2:$A$1001,RouteID_Conversion!$H$2:$H$999,SoundCast_Data!$C$2:$C$1001)</f>
        <v>252.44548797607411</v>
      </c>
      <c r="N273">
        <v>272</v>
      </c>
      <c r="O273" t="s">
        <v>279</v>
      </c>
      <c r="P273">
        <v>1183</v>
      </c>
      <c r="Q273" s="8">
        <f>SUMIF(SoundCast_Data!$Q$2:$Q$747,RouteID_Conversion!N273,SoundCast_Data!$P$2:$P$747)</f>
        <v>72.929208755492994</v>
      </c>
    </row>
    <row r="274" spans="1:17" x14ac:dyDescent="0.25">
      <c r="A274">
        <v>622</v>
      </c>
      <c r="B274">
        <v>110273</v>
      </c>
      <c r="C274">
        <v>1</v>
      </c>
      <c r="D274" t="s">
        <v>1278</v>
      </c>
      <c r="E274" t="s">
        <v>327</v>
      </c>
      <c r="F274" t="s">
        <v>1278</v>
      </c>
      <c r="G274">
        <v>1</v>
      </c>
      <c r="H274">
        <v>273</v>
      </c>
      <c r="I274" t="s">
        <v>179</v>
      </c>
      <c r="J274">
        <v>1106</v>
      </c>
      <c r="K274" s="8">
        <f>SUMIF(SoundCast_Data!$A$2:$A$1001,RouteID_Conversion!$H$2:$H$999,SoundCast_Data!$C$2:$C$1001)</f>
        <v>100.9781856536865</v>
      </c>
      <c r="N274">
        <v>273</v>
      </c>
      <c r="O274" t="s">
        <v>279</v>
      </c>
      <c r="P274">
        <v>1183</v>
      </c>
      <c r="Q274" s="8">
        <f>SUMIF(SoundCast_Data!$Q$2:$Q$747,RouteID_Conversion!N274,SoundCast_Data!$P$2:$P$747)</f>
        <v>52.918550968170052</v>
      </c>
    </row>
    <row r="275" spans="1:17" x14ac:dyDescent="0.25">
      <c r="A275">
        <v>623</v>
      </c>
      <c r="B275">
        <v>110274</v>
      </c>
      <c r="C275">
        <v>1</v>
      </c>
      <c r="D275" t="s">
        <v>1279</v>
      </c>
      <c r="E275" t="s">
        <v>327</v>
      </c>
      <c r="F275" t="s">
        <v>1279</v>
      </c>
      <c r="G275">
        <v>1</v>
      </c>
      <c r="H275">
        <v>274</v>
      </c>
      <c r="I275" t="s">
        <v>179</v>
      </c>
      <c r="J275">
        <v>1106</v>
      </c>
      <c r="K275" s="8">
        <f>SUMIF(SoundCast_Data!$A$2:$A$1001,RouteID_Conversion!$H$2:$H$999,SoundCast_Data!$C$2:$C$1001)</f>
        <v>100.9781856536865</v>
      </c>
      <c r="N275">
        <v>274</v>
      </c>
      <c r="O275" t="s">
        <v>281</v>
      </c>
      <c r="P275">
        <v>1187</v>
      </c>
      <c r="Q275" s="8">
        <f>SUMIF(SoundCast_Data!$Q$2:$Q$747,RouteID_Conversion!N275,SoundCast_Data!$P$2:$P$747)</f>
        <v>45.051781177520667</v>
      </c>
    </row>
    <row r="276" spans="1:17" x14ac:dyDescent="0.25">
      <c r="A276">
        <v>624</v>
      </c>
      <c r="B276">
        <v>110275</v>
      </c>
      <c r="C276">
        <v>1</v>
      </c>
      <c r="D276" t="s">
        <v>1280</v>
      </c>
      <c r="E276" t="s">
        <v>327</v>
      </c>
      <c r="F276" t="s">
        <v>1280</v>
      </c>
      <c r="G276">
        <v>1</v>
      </c>
      <c r="H276">
        <v>275</v>
      </c>
      <c r="I276" t="s">
        <v>179</v>
      </c>
      <c r="J276">
        <v>1106</v>
      </c>
      <c r="K276" s="8">
        <f>SUMIF(SoundCast_Data!$A$2:$A$1001,RouteID_Conversion!$H$2:$H$999,SoundCast_Data!$C$2:$C$1001)</f>
        <v>166.95927047729481</v>
      </c>
      <c r="N276">
        <v>275</v>
      </c>
      <c r="O276" t="s">
        <v>281</v>
      </c>
      <c r="P276">
        <v>1187</v>
      </c>
      <c r="Q276" s="8">
        <f>SUMIF(SoundCast_Data!$Q$2:$Q$747,RouteID_Conversion!N276,SoundCast_Data!$P$2:$P$747)</f>
        <v>24.108201265334991</v>
      </c>
    </row>
    <row r="277" spans="1:17" x14ac:dyDescent="0.25">
      <c r="A277">
        <v>625</v>
      </c>
      <c r="B277">
        <v>110276</v>
      </c>
      <c r="C277">
        <v>1</v>
      </c>
      <c r="D277" t="s">
        <v>1281</v>
      </c>
      <c r="E277" t="s">
        <v>327</v>
      </c>
      <c r="F277" t="s">
        <v>1281</v>
      </c>
      <c r="G277">
        <v>1</v>
      </c>
      <c r="H277">
        <v>276</v>
      </c>
      <c r="I277" t="s">
        <v>179</v>
      </c>
      <c r="J277">
        <v>1106</v>
      </c>
      <c r="K277" s="8">
        <f>SUMIF(SoundCast_Data!$A$2:$A$1001,RouteID_Conversion!$H$2:$H$999,SoundCast_Data!$C$2:$C$1001)</f>
        <v>77.079483032226392</v>
      </c>
      <c r="N277">
        <v>276</v>
      </c>
      <c r="O277" t="s">
        <v>289</v>
      </c>
      <c r="P277">
        <v>1197</v>
      </c>
      <c r="Q277" s="8">
        <f>SUMIF(SoundCast_Data!$Q$2:$Q$747,RouteID_Conversion!N277,SoundCast_Data!$P$2:$P$747)</f>
        <v>25.607895612716579</v>
      </c>
    </row>
    <row r="278" spans="1:17" x14ac:dyDescent="0.25">
      <c r="A278">
        <v>333</v>
      </c>
      <c r="B278">
        <v>110277</v>
      </c>
      <c r="C278">
        <v>1</v>
      </c>
      <c r="D278" t="s">
        <v>868</v>
      </c>
      <c r="E278" t="s">
        <v>327</v>
      </c>
      <c r="F278" t="s">
        <v>868</v>
      </c>
      <c r="G278">
        <v>1</v>
      </c>
      <c r="H278">
        <v>277</v>
      </c>
      <c r="I278" t="s">
        <v>181</v>
      </c>
      <c r="J278">
        <v>1107</v>
      </c>
      <c r="K278" s="8">
        <f>SUMIF(SoundCast_Data!$A$2:$A$1001,RouteID_Conversion!$H$2:$H$999,SoundCast_Data!$C$2:$C$1001)</f>
        <v>94.457532882690202</v>
      </c>
      <c r="N278">
        <v>277</v>
      </c>
      <c r="O278" t="s">
        <v>291</v>
      </c>
      <c r="P278">
        <v>1200</v>
      </c>
      <c r="Q278" s="8">
        <f>SUMIF(SoundCast_Data!$Q$2:$Q$747,RouteID_Conversion!N278,SoundCast_Data!$P$2:$P$747)</f>
        <v>56.481029987335155</v>
      </c>
    </row>
    <row r="279" spans="1:17" x14ac:dyDescent="0.25">
      <c r="A279">
        <v>509</v>
      </c>
      <c r="B279">
        <v>110278</v>
      </c>
      <c r="C279">
        <v>1</v>
      </c>
      <c r="D279" t="s">
        <v>1114</v>
      </c>
      <c r="E279" t="s">
        <v>327</v>
      </c>
      <c r="F279" t="s">
        <v>1114</v>
      </c>
      <c r="G279">
        <v>1</v>
      </c>
      <c r="H279">
        <v>278</v>
      </c>
      <c r="I279" t="s">
        <v>181</v>
      </c>
      <c r="J279">
        <v>1107</v>
      </c>
      <c r="K279" s="8">
        <f>SUMIF(SoundCast_Data!$A$2:$A$1001,RouteID_Conversion!$H$2:$H$999,SoundCast_Data!$C$2:$C$1001)</f>
        <v>108.79652404785141</v>
      </c>
      <c r="N279">
        <v>278</v>
      </c>
      <c r="O279" t="s">
        <v>291</v>
      </c>
      <c r="P279">
        <v>1200</v>
      </c>
      <c r="Q279" s="8">
        <f>SUMIF(SoundCast_Data!$Q$2:$Q$747,RouteID_Conversion!N279,SoundCast_Data!$P$2:$P$747)</f>
        <v>37.707518815994149</v>
      </c>
    </row>
    <row r="280" spans="1:17" x14ac:dyDescent="0.25">
      <c r="A280">
        <v>69</v>
      </c>
      <c r="B280">
        <v>110279</v>
      </c>
      <c r="C280">
        <v>1</v>
      </c>
      <c r="D280" t="s">
        <v>425</v>
      </c>
      <c r="E280" t="s">
        <v>327</v>
      </c>
      <c r="F280" t="s">
        <v>425</v>
      </c>
      <c r="G280">
        <v>1</v>
      </c>
      <c r="H280">
        <v>279</v>
      </c>
      <c r="I280" t="s">
        <v>181</v>
      </c>
      <c r="J280">
        <v>1107</v>
      </c>
      <c r="K280" s="8">
        <f>SUMIF(SoundCast_Data!$A$2:$A$1001,RouteID_Conversion!$H$2:$H$999,SoundCast_Data!$C$2:$C$1001)</f>
        <v>11.234988927841171</v>
      </c>
      <c r="N280">
        <v>279</v>
      </c>
      <c r="O280" t="s">
        <v>297</v>
      </c>
      <c r="P280">
        <v>1203</v>
      </c>
      <c r="Q280" s="8">
        <f>SUMIF(SoundCast_Data!$Q$2:$Q$747,RouteID_Conversion!N280,SoundCast_Data!$P$2:$P$747)</f>
        <v>48.784746170043924</v>
      </c>
    </row>
    <row r="281" spans="1:17" x14ac:dyDescent="0.25">
      <c r="A281">
        <v>729</v>
      </c>
      <c r="B281">
        <v>110280</v>
      </c>
      <c r="C281">
        <v>1</v>
      </c>
      <c r="D281" t="s">
        <v>1423</v>
      </c>
      <c r="E281" t="s">
        <v>327</v>
      </c>
      <c r="F281" t="s">
        <v>1423</v>
      </c>
      <c r="G281">
        <v>1</v>
      </c>
      <c r="H281">
        <v>280</v>
      </c>
      <c r="I281" t="s">
        <v>183</v>
      </c>
      <c r="J281">
        <v>1110</v>
      </c>
      <c r="K281" s="8">
        <f>SUMIF(SoundCast_Data!$A$2:$A$1001,RouteID_Conversion!$H$2:$H$999,SoundCast_Data!$C$2:$C$1001)</f>
        <v>30.380913734435978</v>
      </c>
      <c r="N281">
        <v>280</v>
      </c>
      <c r="O281" t="s">
        <v>297</v>
      </c>
      <c r="P281">
        <v>1203</v>
      </c>
      <c r="Q281" s="8">
        <f>SUMIF(SoundCast_Data!$Q$2:$Q$747,RouteID_Conversion!N281,SoundCast_Data!$P$2:$P$747)</f>
        <v>0</v>
      </c>
    </row>
    <row r="282" spans="1:17" x14ac:dyDescent="0.25">
      <c r="A282">
        <v>730</v>
      </c>
      <c r="B282">
        <v>110281</v>
      </c>
      <c r="C282">
        <v>1</v>
      </c>
      <c r="D282" t="s">
        <v>1424</v>
      </c>
      <c r="E282" t="s">
        <v>327</v>
      </c>
      <c r="F282" t="s">
        <v>1424</v>
      </c>
      <c r="G282">
        <v>1</v>
      </c>
      <c r="H282">
        <v>281</v>
      </c>
      <c r="I282" t="s">
        <v>183</v>
      </c>
      <c r="J282">
        <v>1110</v>
      </c>
      <c r="K282" s="8">
        <f>SUMIF(SoundCast_Data!$A$2:$A$1001,RouteID_Conversion!$H$2:$H$999,SoundCast_Data!$C$2:$C$1001)</f>
        <v>18.91221618652343</v>
      </c>
      <c r="N282">
        <v>281</v>
      </c>
      <c r="O282" t="s">
        <v>299</v>
      </c>
      <c r="P282">
        <v>1204</v>
      </c>
      <c r="Q282" s="8">
        <f>SUMIF(SoundCast_Data!$Q$2:$Q$747,RouteID_Conversion!N282,SoundCast_Data!$P$2:$P$747)</f>
        <v>109.29748153686511</v>
      </c>
    </row>
    <row r="283" spans="1:17" x14ac:dyDescent="0.25">
      <c r="A283">
        <v>825</v>
      </c>
      <c r="B283">
        <v>110282</v>
      </c>
      <c r="C283">
        <v>1</v>
      </c>
      <c r="D283" t="s">
        <v>1560</v>
      </c>
      <c r="E283" t="s">
        <v>327</v>
      </c>
      <c r="F283" t="s">
        <v>1560</v>
      </c>
      <c r="G283">
        <v>1</v>
      </c>
      <c r="H283">
        <v>282</v>
      </c>
      <c r="I283" t="s">
        <v>185</v>
      </c>
      <c r="J283">
        <v>1111</v>
      </c>
      <c r="K283" s="8">
        <f>SUMIF(SoundCast_Data!$A$2:$A$1001,RouteID_Conversion!$H$2:$H$999,SoundCast_Data!$C$2:$C$1001)</f>
        <v>386.44814300536973</v>
      </c>
      <c r="N283">
        <v>282</v>
      </c>
      <c r="O283" t="s">
        <v>299</v>
      </c>
      <c r="P283">
        <v>1204</v>
      </c>
      <c r="Q283" s="8">
        <f>SUMIF(SoundCast_Data!$Q$2:$Q$747,RouteID_Conversion!N283,SoundCast_Data!$P$2:$P$747)</f>
        <v>194.34173202514631</v>
      </c>
    </row>
    <row r="284" spans="1:17" x14ac:dyDescent="0.25">
      <c r="A284">
        <v>826</v>
      </c>
      <c r="B284">
        <v>110283</v>
      </c>
      <c r="C284">
        <v>1</v>
      </c>
      <c r="D284" t="s">
        <v>1561</v>
      </c>
      <c r="E284" t="s">
        <v>327</v>
      </c>
      <c r="F284" t="s">
        <v>1561</v>
      </c>
      <c r="G284">
        <v>1</v>
      </c>
      <c r="H284">
        <v>283</v>
      </c>
      <c r="I284" t="s">
        <v>185</v>
      </c>
      <c r="J284">
        <v>1111</v>
      </c>
      <c r="K284" s="8">
        <f>SUMIF(SoundCast_Data!$A$2:$A$1001,RouteID_Conversion!$H$2:$H$999,SoundCast_Data!$C$2:$C$1001)</f>
        <v>43.992895126342603</v>
      </c>
      <c r="N284">
        <v>283</v>
      </c>
      <c r="O284" t="s">
        <v>301</v>
      </c>
      <c r="P284">
        <v>1205</v>
      </c>
      <c r="Q284" s="8">
        <f>SUMIF(SoundCast_Data!$Q$2:$Q$747,RouteID_Conversion!N284,SoundCast_Data!$P$2:$P$747)</f>
        <v>4.3515851497650111</v>
      </c>
    </row>
    <row r="285" spans="1:17" x14ac:dyDescent="0.25">
      <c r="A285">
        <v>757</v>
      </c>
      <c r="B285">
        <v>110284</v>
      </c>
      <c r="C285">
        <v>1</v>
      </c>
      <c r="D285" t="s">
        <v>1474</v>
      </c>
      <c r="E285" t="s">
        <v>327</v>
      </c>
      <c r="F285" t="s">
        <v>1474</v>
      </c>
      <c r="G285">
        <v>1</v>
      </c>
      <c r="H285">
        <v>284</v>
      </c>
      <c r="I285" t="s">
        <v>187</v>
      </c>
      <c r="J285">
        <v>1113</v>
      </c>
      <c r="K285" s="8">
        <f>SUMIF(SoundCast_Data!$A$2:$A$1001,RouteID_Conversion!$H$2:$H$999,SoundCast_Data!$C$2:$C$1001)</f>
        <v>69.215881347656108</v>
      </c>
      <c r="N285">
        <v>284</v>
      </c>
      <c r="O285" t="s">
        <v>303</v>
      </c>
      <c r="P285">
        <v>1206</v>
      </c>
      <c r="Q285" s="8">
        <f>SUMIF(SoundCast_Data!$Q$2:$Q$747,RouteID_Conversion!N285,SoundCast_Data!$P$2:$P$747)</f>
        <v>6.4610263109207082</v>
      </c>
    </row>
    <row r="286" spans="1:17" x14ac:dyDescent="0.25">
      <c r="A286">
        <v>827</v>
      </c>
      <c r="B286">
        <v>110285</v>
      </c>
      <c r="C286">
        <v>1</v>
      </c>
      <c r="D286" t="s">
        <v>1562</v>
      </c>
      <c r="E286" t="s">
        <v>327</v>
      </c>
      <c r="F286" t="s">
        <v>1562</v>
      </c>
      <c r="G286">
        <v>1</v>
      </c>
      <c r="H286">
        <v>285</v>
      </c>
      <c r="I286" t="s">
        <v>189</v>
      </c>
      <c r="J286">
        <v>1114</v>
      </c>
      <c r="K286" s="8">
        <f>SUMIF(SoundCast_Data!$A$2:$A$1001,RouteID_Conversion!$H$2:$H$999,SoundCast_Data!$C$2:$C$1001)</f>
        <v>159.35672378540019</v>
      </c>
      <c r="N286">
        <v>285</v>
      </c>
      <c r="O286" t="s">
        <v>305</v>
      </c>
      <c r="P286">
        <v>1207</v>
      </c>
      <c r="Q286" s="8">
        <f>SUMIF(SoundCast_Data!$Q$2:$Q$747,RouteID_Conversion!N286,SoundCast_Data!$P$2:$P$747)</f>
        <v>15.218395233154281</v>
      </c>
    </row>
    <row r="287" spans="1:17" x14ac:dyDescent="0.25">
      <c r="A287">
        <v>758</v>
      </c>
      <c r="B287">
        <v>110286</v>
      </c>
      <c r="C287">
        <v>1</v>
      </c>
      <c r="D287" t="s">
        <v>1475</v>
      </c>
      <c r="E287" t="s">
        <v>327</v>
      </c>
      <c r="F287" t="s">
        <v>1475</v>
      </c>
      <c r="G287">
        <v>1</v>
      </c>
      <c r="H287">
        <v>286</v>
      </c>
      <c r="I287" t="s">
        <v>191</v>
      </c>
      <c r="J287">
        <v>1116</v>
      </c>
      <c r="K287" s="8">
        <f>SUMIF(SoundCast_Data!$A$2:$A$1001,RouteID_Conversion!$H$2:$H$999,SoundCast_Data!$C$2:$C$1001)</f>
        <v>105.4516410827635</v>
      </c>
      <c r="N287">
        <v>286</v>
      </c>
      <c r="O287" t="s">
        <v>307</v>
      </c>
      <c r="P287">
        <v>1208</v>
      </c>
      <c r="Q287" s="8">
        <f>SUMIF(SoundCast_Data!$Q$2:$Q$747,RouteID_Conversion!N287,SoundCast_Data!$P$2:$P$747)</f>
        <v>12.139511227607709</v>
      </c>
    </row>
    <row r="288" spans="1:17" x14ac:dyDescent="0.25">
      <c r="A288">
        <v>87</v>
      </c>
      <c r="B288">
        <v>110287</v>
      </c>
      <c r="C288">
        <v>1</v>
      </c>
      <c r="D288" t="s">
        <v>458</v>
      </c>
      <c r="E288" t="s">
        <v>327</v>
      </c>
      <c r="F288" t="s">
        <v>458</v>
      </c>
      <c r="G288">
        <v>1</v>
      </c>
      <c r="H288">
        <v>287</v>
      </c>
      <c r="I288" t="s">
        <v>193</v>
      </c>
      <c r="J288">
        <v>1118</v>
      </c>
      <c r="K288" s="8">
        <f>SUMIF(SoundCast_Data!$A$2:$A$1001,RouteID_Conversion!$H$2:$H$999,SoundCast_Data!$C$2:$C$1001)</f>
        <v>14.399669647216781</v>
      </c>
      <c r="N288">
        <v>287</v>
      </c>
      <c r="O288" t="s">
        <v>309</v>
      </c>
      <c r="P288">
        <v>1209</v>
      </c>
      <c r="Q288" s="8">
        <f>SUMIF(SoundCast_Data!$Q$2:$Q$747,RouteID_Conversion!N288,SoundCast_Data!$P$2:$P$747)</f>
        <v>43.933331489562875</v>
      </c>
    </row>
    <row r="289" spans="1:17" x14ac:dyDescent="0.25">
      <c r="A289">
        <v>74</v>
      </c>
      <c r="B289">
        <v>110288</v>
      </c>
      <c r="C289">
        <v>1</v>
      </c>
      <c r="D289" t="s">
        <v>433</v>
      </c>
      <c r="E289" t="s">
        <v>327</v>
      </c>
      <c r="F289" t="s">
        <v>433</v>
      </c>
      <c r="G289">
        <v>1</v>
      </c>
      <c r="H289">
        <v>288</v>
      </c>
      <c r="I289" t="s">
        <v>193</v>
      </c>
      <c r="J289">
        <v>1118</v>
      </c>
      <c r="K289" s="8">
        <f>SUMIF(SoundCast_Data!$A$2:$A$1001,RouteID_Conversion!$H$2:$H$999,SoundCast_Data!$C$2:$C$1001)</f>
        <v>14.299669265747061</v>
      </c>
      <c r="N289">
        <v>288</v>
      </c>
      <c r="O289" t="s">
        <v>309</v>
      </c>
      <c r="P289">
        <v>1209</v>
      </c>
      <c r="Q289" s="8">
        <f>SUMIF(SoundCast_Data!$Q$2:$Q$747,RouteID_Conversion!N289,SoundCast_Data!$P$2:$P$747)</f>
        <v>61.939172744750898</v>
      </c>
    </row>
    <row r="290" spans="1:17" x14ac:dyDescent="0.25">
      <c r="A290">
        <v>759</v>
      </c>
      <c r="B290">
        <v>110289</v>
      </c>
      <c r="C290">
        <v>1</v>
      </c>
      <c r="D290" t="s">
        <v>1476</v>
      </c>
      <c r="E290" t="s">
        <v>327</v>
      </c>
      <c r="F290" t="s">
        <v>1476</v>
      </c>
      <c r="G290">
        <v>1</v>
      </c>
      <c r="H290">
        <v>289</v>
      </c>
      <c r="I290" t="s">
        <v>193</v>
      </c>
      <c r="J290">
        <v>1118</v>
      </c>
      <c r="K290" s="8">
        <f>SUMIF(SoundCast_Data!$A$2:$A$1001,RouteID_Conversion!$H$2:$H$999,SoundCast_Data!$C$2:$C$1001)</f>
        <v>77.107093811035</v>
      </c>
      <c r="N290">
        <v>289</v>
      </c>
      <c r="O290" t="s">
        <v>315</v>
      </c>
      <c r="P290">
        <v>1212</v>
      </c>
      <c r="Q290" s="8">
        <f>SUMIF(SoundCast_Data!$Q$2:$Q$747,RouteID_Conversion!N290,SoundCast_Data!$P$2:$P$747)</f>
        <v>146.99020957946769</v>
      </c>
    </row>
    <row r="291" spans="1:17" x14ac:dyDescent="0.25">
      <c r="A291">
        <v>88</v>
      </c>
      <c r="B291">
        <v>110290</v>
      </c>
      <c r="C291">
        <v>1</v>
      </c>
      <c r="D291" t="s">
        <v>459</v>
      </c>
      <c r="E291" t="s">
        <v>327</v>
      </c>
      <c r="F291" t="s">
        <v>459</v>
      </c>
      <c r="G291">
        <v>1</v>
      </c>
      <c r="H291">
        <v>290</v>
      </c>
      <c r="I291" t="s">
        <v>193</v>
      </c>
      <c r="J291">
        <v>1118</v>
      </c>
      <c r="K291" s="8">
        <f>SUMIF(SoundCast_Data!$A$2:$A$1001,RouteID_Conversion!$H$2:$H$999,SoundCast_Data!$C$2:$C$1001)</f>
        <v>8.000000119209286</v>
      </c>
      <c r="N291">
        <v>290</v>
      </c>
      <c r="O291" t="s">
        <v>1839</v>
      </c>
      <c r="P291">
        <v>1213</v>
      </c>
      <c r="Q291" s="8">
        <f>SUMIF(SoundCast_Data!$Q$2:$Q$747,RouteID_Conversion!N291,SoundCast_Data!$P$2:$P$747)</f>
        <v>6.6622642278671202</v>
      </c>
    </row>
    <row r="292" spans="1:17" x14ac:dyDescent="0.25">
      <c r="A292">
        <v>75</v>
      </c>
      <c r="B292">
        <v>110291</v>
      </c>
      <c r="C292">
        <v>1</v>
      </c>
      <c r="D292" t="s">
        <v>434</v>
      </c>
      <c r="E292" t="s">
        <v>327</v>
      </c>
      <c r="F292" t="s">
        <v>434</v>
      </c>
      <c r="G292">
        <v>1</v>
      </c>
      <c r="H292">
        <v>291</v>
      </c>
      <c r="I292" t="s">
        <v>195</v>
      </c>
      <c r="J292">
        <v>1119</v>
      </c>
      <c r="K292" s="8">
        <f>SUMIF(SoundCast_Data!$A$2:$A$1001,RouteID_Conversion!$H$2:$H$999,SoundCast_Data!$C$2:$C$1001)</f>
        <v>13.55315208435057</v>
      </c>
      <c r="N292">
        <v>291</v>
      </c>
      <c r="O292" t="s">
        <v>1839</v>
      </c>
      <c r="P292">
        <v>1213</v>
      </c>
      <c r="Q292" s="8">
        <f>SUMIF(SoundCast_Data!$Q$2:$Q$747,RouteID_Conversion!N292,SoundCast_Data!$P$2:$P$747)</f>
        <v>0</v>
      </c>
    </row>
    <row r="293" spans="1:17" x14ac:dyDescent="0.25">
      <c r="A293">
        <v>760</v>
      </c>
      <c r="B293">
        <v>110292</v>
      </c>
      <c r="C293">
        <v>1</v>
      </c>
      <c r="D293" t="s">
        <v>1477</v>
      </c>
      <c r="E293" t="s">
        <v>327</v>
      </c>
      <c r="F293" t="s">
        <v>1477</v>
      </c>
      <c r="G293">
        <v>1</v>
      </c>
      <c r="H293">
        <v>292</v>
      </c>
      <c r="I293" t="s">
        <v>195</v>
      </c>
      <c r="J293">
        <v>1119</v>
      </c>
      <c r="K293" s="8">
        <f>SUMIF(SoundCast_Data!$A$2:$A$1001,RouteID_Conversion!$H$2:$H$999,SoundCast_Data!$C$2:$C$1001)</f>
        <v>38.130288124084409</v>
      </c>
      <c r="N293">
        <v>292</v>
      </c>
      <c r="O293" t="s">
        <v>736</v>
      </c>
      <c r="P293">
        <v>1219</v>
      </c>
      <c r="Q293" s="8">
        <f>SUMIF(SoundCast_Data!$Q$2:$Q$747,RouteID_Conversion!N293,SoundCast_Data!$P$2:$P$747)</f>
        <v>4.214353442192067</v>
      </c>
    </row>
    <row r="294" spans="1:17" x14ac:dyDescent="0.25">
      <c r="A294">
        <v>76</v>
      </c>
      <c r="B294">
        <v>110293</v>
      </c>
      <c r="C294">
        <v>1</v>
      </c>
      <c r="D294" t="s">
        <v>435</v>
      </c>
      <c r="E294" t="s">
        <v>327</v>
      </c>
      <c r="F294" t="s">
        <v>435</v>
      </c>
      <c r="G294">
        <v>1</v>
      </c>
      <c r="H294">
        <v>293</v>
      </c>
      <c r="I294" t="s">
        <v>195</v>
      </c>
      <c r="J294">
        <v>1119</v>
      </c>
      <c r="K294" s="8">
        <f>SUMIF(SoundCast_Data!$A$2:$A$1001,RouteID_Conversion!$H$2:$H$999,SoundCast_Data!$C$2:$C$1001)</f>
        <v>4.0000000298023135</v>
      </c>
      <c r="N294">
        <v>293</v>
      </c>
      <c r="O294" t="s">
        <v>996</v>
      </c>
      <c r="P294">
        <v>1221</v>
      </c>
      <c r="Q294" s="8">
        <f>SUMIF(SoundCast_Data!$Q$2:$Q$747,RouteID_Conversion!N294,SoundCast_Data!$P$2:$P$747)</f>
        <v>148.1633872985839</v>
      </c>
    </row>
    <row r="295" spans="1:17" x14ac:dyDescent="0.25">
      <c r="A295">
        <v>761</v>
      </c>
      <c r="B295">
        <v>110294</v>
      </c>
      <c r="C295">
        <v>1</v>
      </c>
      <c r="D295" t="s">
        <v>1478</v>
      </c>
      <c r="E295" t="s">
        <v>327</v>
      </c>
      <c r="F295" t="s">
        <v>1478</v>
      </c>
      <c r="G295">
        <v>1</v>
      </c>
      <c r="H295">
        <v>294</v>
      </c>
      <c r="I295" t="s">
        <v>197</v>
      </c>
      <c r="J295">
        <v>1120</v>
      </c>
      <c r="K295" s="8">
        <f>SUMIF(SoundCast_Data!$A$2:$A$1001,RouteID_Conversion!$H$2:$H$999,SoundCast_Data!$C$2:$C$1001)</f>
        <v>1021.812377929687</v>
      </c>
      <c r="N295">
        <v>294</v>
      </c>
      <c r="O295" t="s">
        <v>996</v>
      </c>
      <c r="P295">
        <v>1221</v>
      </c>
      <c r="Q295" s="8">
        <f>SUMIF(SoundCast_Data!$Q$2:$Q$747,RouteID_Conversion!N295,SoundCast_Data!$P$2:$P$747)</f>
        <v>72.8983278274534</v>
      </c>
    </row>
    <row r="296" spans="1:17" x14ac:dyDescent="0.25">
      <c r="A296">
        <v>762</v>
      </c>
      <c r="B296">
        <v>110295</v>
      </c>
      <c r="C296">
        <v>1</v>
      </c>
      <c r="D296" t="s">
        <v>1479</v>
      </c>
      <c r="E296" t="s">
        <v>327</v>
      </c>
      <c r="F296" t="s">
        <v>1479</v>
      </c>
      <c r="G296">
        <v>1</v>
      </c>
      <c r="H296">
        <v>295</v>
      </c>
      <c r="I296" t="s">
        <v>197</v>
      </c>
      <c r="J296">
        <v>1120</v>
      </c>
      <c r="K296" s="8">
        <f>SUMIF(SoundCast_Data!$A$2:$A$1001,RouteID_Conversion!$H$2:$H$999,SoundCast_Data!$C$2:$C$1001)</f>
        <v>65.380352020263601</v>
      </c>
      <c r="N296">
        <v>295</v>
      </c>
      <c r="O296" t="s">
        <v>996</v>
      </c>
      <c r="P296">
        <v>1221</v>
      </c>
      <c r="Q296" s="8">
        <f>SUMIF(SoundCast_Data!$Q$2:$Q$747,RouteID_Conversion!N296,SoundCast_Data!$P$2:$P$747)</f>
        <v>116.5736484527586</v>
      </c>
    </row>
    <row r="297" spans="1:17" x14ac:dyDescent="0.25">
      <c r="A297">
        <v>763</v>
      </c>
      <c r="B297">
        <v>110296</v>
      </c>
      <c r="C297">
        <v>1</v>
      </c>
      <c r="D297" t="s">
        <v>1480</v>
      </c>
      <c r="E297" t="s">
        <v>327</v>
      </c>
      <c r="F297" t="s">
        <v>1480</v>
      </c>
      <c r="G297">
        <v>1</v>
      </c>
      <c r="H297">
        <v>296</v>
      </c>
      <c r="I297" t="s">
        <v>197</v>
      </c>
      <c r="J297">
        <v>1120</v>
      </c>
      <c r="K297" s="8">
        <f>SUMIF(SoundCast_Data!$A$2:$A$1001,RouteID_Conversion!$H$2:$H$999,SoundCast_Data!$C$2:$C$1001)</f>
        <v>371.19782257079999</v>
      </c>
      <c r="N297">
        <v>296</v>
      </c>
      <c r="O297" t="s">
        <v>996</v>
      </c>
      <c r="P297">
        <v>1221</v>
      </c>
      <c r="Q297" s="8">
        <f>SUMIF(SoundCast_Data!$Q$2:$Q$747,RouteID_Conversion!N297,SoundCast_Data!$P$2:$P$747)</f>
        <v>91.013869285583397</v>
      </c>
    </row>
    <row r="298" spans="1:17" x14ac:dyDescent="0.25">
      <c r="A298">
        <v>807</v>
      </c>
      <c r="B298">
        <v>110297</v>
      </c>
      <c r="C298">
        <v>1</v>
      </c>
      <c r="D298" t="s">
        <v>1530</v>
      </c>
      <c r="E298" t="s">
        <v>327</v>
      </c>
      <c r="F298" t="s">
        <v>1530</v>
      </c>
      <c r="G298">
        <v>1</v>
      </c>
      <c r="H298">
        <v>297</v>
      </c>
      <c r="I298" t="s">
        <v>199</v>
      </c>
      <c r="J298">
        <v>1121</v>
      </c>
      <c r="K298" s="8">
        <f>SUMIF(SoundCast_Data!$A$2:$A$1001,RouteID_Conversion!$H$2:$H$999,SoundCast_Data!$C$2:$C$1001)</f>
        <v>478.14009857177598</v>
      </c>
      <c r="N298">
        <v>297</v>
      </c>
      <c r="O298" t="s">
        <v>1755</v>
      </c>
      <c r="P298">
        <v>1222</v>
      </c>
      <c r="Q298" s="8">
        <f>SUMIF(SoundCast_Data!$Q$2:$Q$747,RouteID_Conversion!N298,SoundCast_Data!$P$2:$P$747)</f>
        <v>238.03358459472616</v>
      </c>
    </row>
    <row r="299" spans="1:17" x14ac:dyDescent="0.25">
      <c r="A299">
        <v>764</v>
      </c>
      <c r="B299">
        <v>110298</v>
      </c>
      <c r="C299">
        <v>1</v>
      </c>
      <c r="D299" t="s">
        <v>1481</v>
      </c>
      <c r="E299" t="s">
        <v>327</v>
      </c>
      <c r="F299" t="s">
        <v>1481</v>
      </c>
      <c r="G299">
        <v>1</v>
      </c>
      <c r="H299">
        <v>298</v>
      </c>
      <c r="I299" t="s">
        <v>199</v>
      </c>
      <c r="J299">
        <v>1121</v>
      </c>
      <c r="K299" s="8">
        <f>SUMIF(SoundCast_Data!$A$2:$A$1001,RouteID_Conversion!$H$2:$H$999,SoundCast_Data!$C$2:$C$1001)</f>
        <v>83.222784042358185</v>
      </c>
      <c r="N299">
        <v>298</v>
      </c>
      <c r="O299" t="s">
        <v>1755</v>
      </c>
      <c r="P299">
        <v>1222</v>
      </c>
      <c r="Q299" s="8">
        <f>SUMIF(SoundCast_Data!$Q$2:$Q$747,RouteID_Conversion!N299,SoundCast_Data!$P$2:$P$747)</f>
        <v>322.0601959228506</v>
      </c>
    </row>
    <row r="300" spans="1:17" x14ac:dyDescent="0.25">
      <c r="A300">
        <v>765</v>
      </c>
      <c r="B300">
        <v>110299</v>
      </c>
      <c r="C300">
        <v>1</v>
      </c>
      <c r="D300" t="s">
        <v>1482</v>
      </c>
      <c r="E300" t="s">
        <v>327</v>
      </c>
      <c r="F300" t="s">
        <v>1482</v>
      </c>
      <c r="G300">
        <v>1</v>
      </c>
      <c r="H300">
        <v>299</v>
      </c>
      <c r="I300" t="s">
        <v>199</v>
      </c>
      <c r="J300">
        <v>1121</v>
      </c>
      <c r="K300" s="8">
        <f>SUMIF(SoundCast_Data!$A$2:$A$1001,RouteID_Conversion!$H$2:$H$999,SoundCast_Data!$C$2:$C$1001)</f>
        <v>122.3903369903563</v>
      </c>
      <c r="N300">
        <v>299</v>
      </c>
      <c r="O300" t="s">
        <v>401</v>
      </c>
      <c r="P300">
        <v>1230</v>
      </c>
      <c r="Q300" s="8">
        <f>SUMIF(SoundCast_Data!$Q$2:$Q$747,RouteID_Conversion!N300,SoundCast_Data!$P$2:$P$747)</f>
        <v>483.38504028320267</v>
      </c>
    </row>
    <row r="301" spans="1:17" x14ac:dyDescent="0.25">
      <c r="A301">
        <v>766</v>
      </c>
      <c r="B301">
        <v>110300</v>
      </c>
      <c r="C301">
        <v>1</v>
      </c>
      <c r="D301" t="s">
        <v>1483</v>
      </c>
      <c r="E301" t="s">
        <v>327</v>
      </c>
      <c r="F301" t="s">
        <v>1483</v>
      </c>
      <c r="G301">
        <v>1</v>
      </c>
      <c r="H301">
        <v>300</v>
      </c>
      <c r="I301" t="s">
        <v>199</v>
      </c>
      <c r="J301">
        <v>1121</v>
      </c>
      <c r="K301" s="8">
        <f>SUMIF(SoundCast_Data!$A$2:$A$1001,RouteID_Conversion!$H$2:$H$999,SoundCast_Data!$C$2:$C$1001)</f>
        <v>60.867346763610605</v>
      </c>
      <c r="N301">
        <v>300</v>
      </c>
      <c r="O301" t="s">
        <v>401</v>
      </c>
      <c r="P301">
        <v>1230</v>
      </c>
      <c r="Q301" s="8">
        <f>SUMIF(SoundCast_Data!$Q$2:$Q$747,RouteID_Conversion!N301,SoundCast_Data!$P$2:$P$747)</f>
        <v>514.76741790771371</v>
      </c>
    </row>
    <row r="302" spans="1:17" x14ac:dyDescent="0.25">
      <c r="A302">
        <v>767</v>
      </c>
      <c r="B302">
        <v>110301</v>
      </c>
      <c r="C302">
        <v>1</v>
      </c>
      <c r="D302" t="s">
        <v>1484</v>
      </c>
      <c r="E302" t="s">
        <v>327</v>
      </c>
      <c r="F302" t="s">
        <v>1484</v>
      </c>
      <c r="G302">
        <v>1</v>
      </c>
      <c r="H302">
        <v>301</v>
      </c>
      <c r="I302" t="s">
        <v>201</v>
      </c>
      <c r="J302">
        <v>1122</v>
      </c>
      <c r="K302" s="8">
        <f>SUMIF(SoundCast_Data!$A$2:$A$1001,RouteID_Conversion!$H$2:$H$999,SoundCast_Data!$C$2:$C$1001)</f>
        <v>206.9763450622558</v>
      </c>
      <c r="N302">
        <v>301</v>
      </c>
      <c r="O302" t="s">
        <v>401</v>
      </c>
      <c r="P302">
        <v>1230</v>
      </c>
      <c r="Q302" s="8">
        <f>SUMIF(SoundCast_Data!$Q$2:$Q$747,RouteID_Conversion!N302,SoundCast_Data!$P$2:$P$747)</f>
        <v>67.341841697692701</v>
      </c>
    </row>
    <row r="303" spans="1:17" x14ac:dyDescent="0.25">
      <c r="A303">
        <v>768</v>
      </c>
      <c r="B303">
        <v>110302</v>
      </c>
      <c r="C303">
        <v>1</v>
      </c>
      <c r="D303" t="s">
        <v>1485</v>
      </c>
      <c r="E303" t="s">
        <v>327</v>
      </c>
      <c r="F303" t="s">
        <v>1485</v>
      </c>
      <c r="G303">
        <v>1</v>
      </c>
      <c r="H303">
        <v>302</v>
      </c>
      <c r="I303" t="s">
        <v>201</v>
      </c>
      <c r="J303">
        <v>1122</v>
      </c>
      <c r="K303" s="8">
        <f>SUMIF(SoundCast_Data!$A$2:$A$1001,RouteID_Conversion!$H$2:$H$999,SoundCast_Data!$C$2:$C$1001)</f>
        <v>137.85743713378889</v>
      </c>
      <c r="N303">
        <v>302</v>
      </c>
      <c r="O303" t="s">
        <v>401</v>
      </c>
      <c r="P303">
        <v>1230</v>
      </c>
      <c r="Q303" s="8">
        <f>SUMIF(SoundCast_Data!$Q$2:$Q$747,RouteID_Conversion!N303,SoundCast_Data!$P$2:$P$747)</f>
        <v>394.5692253112785</v>
      </c>
    </row>
    <row r="304" spans="1:17" x14ac:dyDescent="0.25">
      <c r="A304">
        <v>243</v>
      </c>
      <c r="B304">
        <v>110303</v>
      </c>
      <c r="C304">
        <v>1</v>
      </c>
      <c r="D304" t="s">
        <v>715</v>
      </c>
      <c r="E304" t="s">
        <v>327</v>
      </c>
      <c r="F304" t="s">
        <v>715</v>
      </c>
      <c r="G304">
        <v>1</v>
      </c>
      <c r="H304">
        <v>303</v>
      </c>
      <c r="I304" t="s">
        <v>203</v>
      </c>
      <c r="J304">
        <v>1123</v>
      </c>
      <c r="K304" s="8">
        <f>SUMIF(SoundCast_Data!$A$2:$A$1001,RouteID_Conversion!$H$2:$H$999,SoundCast_Data!$C$2:$C$1001)</f>
        <v>156.79384994506819</v>
      </c>
      <c r="N304">
        <v>303</v>
      </c>
      <c r="O304" t="s">
        <v>401</v>
      </c>
      <c r="P304">
        <v>1230</v>
      </c>
      <c r="Q304" s="8">
        <f>SUMIF(SoundCast_Data!$Q$2:$Q$747,RouteID_Conversion!N304,SoundCast_Data!$P$2:$P$747)</f>
        <v>0.14864864945411679</v>
      </c>
    </row>
    <row r="305" spans="1:17" x14ac:dyDescent="0.25">
      <c r="A305">
        <v>244</v>
      </c>
      <c r="B305">
        <v>110304</v>
      </c>
      <c r="C305">
        <v>1</v>
      </c>
      <c r="D305" t="s">
        <v>716</v>
      </c>
      <c r="E305" t="s">
        <v>327</v>
      </c>
      <c r="F305" t="s">
        <v>716</v>
      </c>
      <c r="G305">
        <v>1</v>
      </c>
      <c r="H305">
        <v>304</v>
      </c>
      <c r="I305" t="s">
        <v>205</v>
      </c>
      <c r="J305">
        <v>1124</v>
      </c>
      <c r="K305" s="8">
        <f>SUMIF(SoundCast_Data!$A$2:$A$1001,RouteID_Conversion!$H$2:$H$999,SoundCast_Data!$C$2:$C$1001)</f>
        <v>260.88574218749909</v>
      </c>
      <c r="N305">
        <v>304</v>
      </c>
      <c r="O305" t="s">
        <v>401</v>
      </c>
      <c r="P305">
        <v>1230</v>
      </c>
      <c r="Q305" s="8">
        <f>SUMIF(SoundCast_Data!$Q$2:$Q$747,RouteID_Conversion!N305,SoundCast_Data!$P$2:$P$747)</f>
        <v>50.4946222305297</v>
      </c>
    </row>
    <row r="306" spans="1:17" x14ac:dyDescent="0.25">
      <c r="A306">
        <v>336</v>
      </c>
      <c r="B306">
        <v>110305</v>
      </c>
      <c r="C306">
        <v>1</v>
      </c>
      <c r="D306" t="s">
        <v>871</v>
      </c>
      <c r="E306" t="s">
        <v>327</v>
      </c>
      <c r="F306" t="s">
        <v>871</v>
      </c>
      <c r="G306">
        <v>1</v>
      </c>
      <c r="H306">
        <v>305</v>
      </c>
      <c r="I306" t="s">
        <v>205</v>
      </c>
      <c r="J306">
        <v>1124</v>
      </c>
      <c r="K306" s="8">
        <f>SUMIF(SoundCast_Data!$A$2:$A$1001,RouteID_Conversion!$H$2:$H$999,SoundCast_Data!$C$2:$C$1001)</f>
        <v>304.69734954833899</v>
      </c>
      <c r="N306">
        <v>305</v>
      </c>
      <c r="O306" t="s">
        <v>401</v>
      </c>
      <c r="P306">
        <v>1230</v>
      </c>
      <c r="Q306" s="8">
        <f>SUMIF(SoundCast_Data!$Q$2:$Q$747,RouteID_Conversion!N306,SoundCast_Data!$P$2:$P$747)</f>
        <v>282.40186691284168</v>
      </c>
    </row>
    <row r="307" spans="1:17" x14ac:dyDescent="0.25">
      <c r="A307">
        <v>337</v>
      </c>
      <c r="B307">
        <v>110306</v>
      </c>
      <c r="C307">
        <v>1</v>
      </c>
      <c r="D307" t="s">
        <v>872</v>
      </c>
      <c r="E307" t="s">
        <v>327</v>
      </c>
      <c r="F307" t="s">
        <v>872</v>
      </c>
      <c r="G307">
        <v>1</v>
      </c>
      <c r="H307">
        <v>306</v>
      </c>
      <c r="I307" t="s">
        <v>205</v>
      </c>
      <c r="J307">
        <v>1124</v>
      </c>
      <c r="K307" s="8">
        <f>SUMIF(SoundCast_Data!$A$2:$A$1001,RouteID_Conversion!$H$2:$H$999,SoundCast_Data!$C$2:$C$1001)</f>
        <v>45.647706985473498</v>
      </c>
      <c r="N307">
        <v>306</v>
      </c>
      <c r="O307" t="s">
        <v>1535</v>
      </c>
      <c r="P307">
        <v>1232</v>
      </c>
      <c r="Q307" s="8">
        <f>SUMIF(SoundCast_Data!$Q$2:$Q$747,RouteID_Conversion!N307,SoundCast_Data!$P$2:$P$747)</f>
        <v>6.5341061949729866</v>
      </c>
    </row>
    <row r="308" spans="1:17" x14ac:dyDescent="0.25">
      <c r="A308">
        <v>245</v>
      </c>
      <c r="B308">
        <v>110307</v>
      </c>
      <c r="C308">
        <v>1</v>
      </c>
      <c r="D308" t="s">
        <v>717</v>
      </c>
      <c r="E308" t="s">
        <v>327</v>
      </c>
      <c r="F308" t="s">
        <v>717</v>
      </c>
      <c r="G308">
        <v>1</v>
      </c>
      <c r="H308">
        <v>307</v>
      </c>
      <c r="I308" t="s">
        <v>205</v>
      </c>
      <c r="J308">
        <v>1124</v>
      </c>
      <c r="K308" s="8">
        <f>SUMIF(SoundCast_Data!$A$2:$A$1001,RouteID_Conversion!$H$2:$H$999,SoundCast_Data!$C$2:$C$1001)</f>
        <v>105.07084846496571</v>
      </c>
      <c r="N308">
        <v>307</v>
      </c>
      <c r="O308" t="s">
        <v>1760</v>
      </c>
      <c r="P308">
        <v>1233</v>
      </c>
      <c r="Q308" s="8">
        <f>SUMIF(SoundCast_Data!$Q$2:$Q$747,RouteID_Conversion!N308,SoundCast_Data!$P$2:$P$747)</f>
        <v>240.1693878173827</v>
      </c>
    </row>
    <row r="309" spans="1:17" x14ac:dyDescent="0.25">
      <c r="A309">
        <v>246</v>
      </c>
      <c r="B309">
        <v>110308</v>
      </c>
      <c r="C309">
        <v>1</v>
      </c>
      <c r="D309" t="s">
        <v>718</v>
      </c>
      <c r="E309" t="s">
        <v>327</v>
      </c>
      <c r="F309" t="s">
        <v>718</v>
      </c>
      <c r="G309">
        <v>1</v>
      </c>
      <c r="H309">
        <v>308</v>
      </c>
      <c r="I309" t="s">
        <v>205</v>
      </c>
      <c r="J309">
        <v>1124</v>
      </c>
      <c r="K309" s="8">
        <f>SUMIF(SoundCast_Data!$A$2:$A$1001,RouteID_Conversion!$H$2:$H$999,SoundCast_Data!$C$2:$C$1001)</f>
        <v>50.782884597778192</v>
      </c>
      <c r="N309">
        <v>308</v>
      </c>
      <c r="O309" t="s">
        <v>1760</v>
      </c>
      <c r="P309">
        <v>1233</v>
      </c>
      <c r="Q309" s="8">
        <f>SUMIF(SoundCast_Data!$Q$2:$Q$747,RouteID_Conversion!N309,SoundCast_Data!$P$2:$P$747)</f>
        <v>464.3495178222654</v>
      </c>
    </row>
    <row r="310" spans="1:17" x14ac:dyDescent="0.25">
      <c r="A310">
        <v>769</v>
      </c>
      <c r="B310">
        <v>110309</v>
      </c>
      <c r="C310">
        <v>1</v>
      </c>
      <c r="D310" t="s">
        <v>1486</v>
      </c>
      <c r="E310" t="s">
        <v>327</v>
      </c>
      <c r="F310" t="s">
        <v>1486</v>
      </c>
      <c r="G310">
        <v>1</v>
      </c>
      <c r="H310">
        <v>309</v>
      </c>
      <c r="I310" t="s">
        <v>207</v>
      </c>
      <c r="J310">
        <v>1125</v>
      </c>
      <c r="K310" s="8">
        <f>SUMIF(SoundCast_Data!$A$2:$A$1001,RouteID_Conversion!$H$2:$H$999,SoundCast_Data!$C$2:$C$1001)</f>
        <v>274.45745849609358</v>
      </c>
      <c r="N310">
        <v>309</v>
      </c>
      <c r="O310" t="s">
        <v>1015</v>
      </c>
      <c r="P310">
        <v>1234</v>
      </c>
      <c r="Q310" s="8">
        <f>SUMIF(SoundCast_Data!$Q$2:$Q$747,RouteID_Conversion!N310,SoundCast_Data!$P$2:$P$747)</f>
        <v>525.35305786132778</v>
      </c>
    </row>
    <row r="311" spans="1:17" x14ac:dyDescent="0.25">
      <c r="A311">
        <v>770</v>
      </c>
      <c r="B311">
        <v>110310</v>
      </c>
      <c r="C311">
        <v>1</v>
      </c>
      <c r="D311" t="s">
        <v>1487</v>
      </c>
      <c r="E311" t="s">
        <v>327</v>
      </c>
      <c r="F311" t="s">
        <v>1487</v>
      </c>
      <c r="G311">
        <v>1</v>
      </c>
      <c r="H311">
        <v>310</v>
      </c>
      <c r="I311" t="s">
        <v>207</v>
      </c>
      <c r="J311">
        <v>1125</v>
      </c>
      <c r="K311" s="8">
        <f>SUMIF(SoundCast_Data!$A$2:$A$1001,RouteID_Conversion!$H$2:$H$999,SoundCast_Data!$C$2:$C$1001)</f>
        <v>26.350348949432362</v>
      </c>
      <c r="N311">
        <v>310</v>
      </c>
      <c r="O311" t="s">
        <v>1015</v>
      </c>
      <c r="P311">
        <v>1234</v>
      </c>
      <c r="Q311" s="8">
        <f>SUMIF(SoundCast_Data!$Q$2:$Q$747,RouteID_Conversion!N311,SoundCast_Data!$P$2:$P$747)</f>
        <v>725.53588867187295</v>
      </c>
    </row>
    <row r="312" spans="1:17" x14ac:dyDescent="0.25">
      <c r="A312">
        <v>771</v>
      </c>
      <c r="B312">
        <v>110311</v>
      </c>
      <c r="C312">
        <v>1</v>
      </c>
      <c r="D312" t="s">
        <v>1488</v>
      </c>
      <c r="E312" t="s">
        <v>327</v>
      </c>
      <c r="F312" t="s">
        <v>1488</v>
      </c>
      <c r="G312">
        <v>1</v>
      </c>
      <c r="H312">
        <v>311</v>
      </c>
      <c r="I312" t="s">
        <v>207</v>
      </c>
      <c r="J312">
        <v>1125</v>
      </c>
      <c r="K312" s="8">
        <f>SUMIF(SoundCast_Data!$A$2:$A$1001,RouteID_Conversion!$H$2:$H$999,SoundCast_Data!$C$2:$C$1001)</f>
        <v>100.32519149780259</v>
      </c>
      <c r="N312">
        <v>311</v>
      </c>
      <c r="O312" t="s">
        <v>542</v>
      </c>
      <c r="P312">
        <v>1236</v>
      </c>
      <c r="Q312" s="8">
        <f>SUMIF(SoundCast_Data!$Q$2:$Q$747,RouteID_Conversion!N312,SoundCast_Data!$P$2:$P$747)</f>
        <v>147.96254348754871</v>
      </c>
    </row>
    <row r="313" spans="1:17" x14ac:dyDescent="0.25">
      <c r="A313">
        <v>772</v>
      </c>
      <c r="B313">
        <v>110312</v>
      </c>
      <c r="C313">
        <v>1</v>
      </c>
      <c r="D313" t="s">
        <v>1489</v>
      </c>
      <c r="E313" t="s">
        <v>327</v>
      </c>
      <c r="F313" t="s">
        <v>1489</v>
      </c>
      <c r="G313">
        <v>1</v>
      </c>
      <c r="H313">
        <v>312</v>
      </c>
      <c r="I313" t="s">
        <v>207</v>
      </c>
      <c r="J313">
        <v>1125</v>
      </c>
      <c r="K313" s="8">
        <f>SUMIF(SoundCast_Data!$A$2:$A$1001,RouteID_Conversion!$H$2:$H$999,SoundCast_Data!$C$2:$C$1001)</f>
        <v>52.047639846801601</v>
      </c>
      <c r="N313">
        <v>312</v>
      </c>
      <c r="O313" t="s">
        <v>542</v>
      </c>
      <c r="P313">
        <v>1236</v>
      </c>
      <c r="Q313" s="8">
        <f>SUMIF(SoundCast_Data!$Q$2:$Q$747,RouteID_Conversion!N313,SoundCast_Data!$P$2:$P$747)</f>
        <v>2.0131478309631277</v>
      </c>
    </row>
    <row r="314" spans="1:17" x14ac:dyDescent="0.25">
      <c r="A314">
        <v>773</v>
      </c>
      <c r="B314">
        <v>110313</v>
      </c>
      <c r="C314">
        <v>1</v>
      </c>
      <c r="D314" t="s">
        <v>1490</v>
      </c>
      <c r="E314" t="s">
        <v>327</v>
      </c>
      <c r="F314" t="s">
        <v>1490</v>
      </c>
      <c r="G314">
        <v>1</v>
      </c>
      <c r="H314">
        <v>313</v>
      </c>
      <c r="I314" t="s">
        <v>207</v>
      </c>
      <c r="J314">
        <v>1125</v>
      </c>
      <c r="K314" s="8">
        <f>SUMIF(SoundCast_Data!$A$2:$A$1001,RouteID_Conversion!$H$2:$H$999,SoundCast_Data!$C$2:$C$1001)</f>
        <v>15.654080867767311</v>
      </c>
      <c r="N314">
        <v>313</v>
      </c>
      <c r="O314" t="s">
        <v>542</v>
      </c>
      <c r="P314">
        <v>1236</v>
      </c>
      <c r="Q314" s="8">
        <f>SUMIF(SoundCast_Data!$Q$2:$Q$747,RouteID_Conversion!N314,SoundCast_Data!$P$2:$P$747)</f>
        <v>124.8775882720946</v>
      </c>
    </row>
    <row r="315" spans="1:17" x14ac:dyDescent="0.25">
      <c r="A315">
        <v>247</v>
      </c>
      <c r="B315">
        <v>110314</v>
      </c>
      <c r="C315">
        <v>1</v>
      </c>
      <c r="D315" t="s">
        <v>719</v>
      </c>
      <c r="E315" t="s">
        <v>327</v>
      </c>
      <c r="F315" t="s">
        <v>719</v>
      </c>
      <c r="G315">
        <v>1</v>
      </c>
      <c r="H315">
        <v>314</v>
      </c>
      <c r="I315" t="s">
        <v>209</v>
      </c>
      <c r="J315">
        <v>1128</v>
      </c>
      <c r="K315" s="8">
        <f>SUMIF(SoundCast_Data!$A$2:$A$1001,RouteID_Conversion!$H$2:$H$999,SoundCast_Data!$C$2:$C$1001)</f>
        <v>173.74442672729481</v>
      </c>
      <c r="N315">
        <v>314</v>
      </c>
      <c r="O315" t="s">
        <v>1013</v>
      </c>
      <c r="P315">
        <v>1238</v>
      </c>
      <c r="Q315" s="8">
        <f>SUMIF(SoundCast_Data!$Q$2:$Q$747,RouteID_Conversion!N315,SoundCast_Data!$P$2:$P$747)</f>
        <v>211.9006347656246</v>
      </c>
    </row>
    <row r="316" spans="1:17" x14ac:dyDescent="0.25">
      <c r="A316">
        <v>626</v>
      </c>
      <c r="B316">
        <v>110315</v>
      </c>
      <c r="C316">
        <v>1</v>
      </c>
      <c r="D316" t="s">
        <v>1282</v>
      </c>
      <c r="E316" t="s">
        <v>327</v>
      </c>
      <c r="F316" t="s">
        <v>1282</v>
      </c>
      <c r="G316">
        <v>1</v>
      </c>
      <c r="H316">
        <v>315</v>
      </c>
      <c r="I316" t="s">
        <v>209</v>
      </c>
      <c r="J316">
        <v>1128</v>
      </c>
      <c r="K316" s="8">
        <f>SUMIF(SoundCast_Data!$A$2:$A$1001,RouteID_Conversion!$H$2:$H$999,SoundCast_Data!$C$2:$C$1001)</f>
        <v>123.4872589111327</v>
      </c>
      <c r="N316">
        <v>315</v>
      </c>
      <c r="O316" t="s">
        <v>1013</v>
      </c>
      <c r="P316">
        <v>1238</v>
      </c>
      <c r="Q316" s="8">
        <f>SUMIF(SoundCast_Data!$Q$2:$Q$747,RouteID_Conversion!N316,SoundCast_Data!$P$2:$P$747)</f>
        <v>216.83364105224564</v>
      </c>
    </row>
    <row r="317" spans="1:17" x14ac:dyDescent="0.25">
      <c r="A317">
        <v>1</v>
      </c>
      <c r="B317">
        <v>110316</v>
      </c>
      <c r="C317">
        <v>1</v>
      </c>
      <c r="D317" t="s">
        <v>326</v>
      </c>
      <c r="E317" t="s">
        <v>327</v>
      </c>
      <c r="F317" t="s">
        <v>326</v>
      </c>
      <c r="G317">
        <v>1</v>
      </c>
      <c r="H317">
        <v>316</v>
      </c>
      <c r="I317" t="s">
        <v>211</v>
      </c>
      <c r="J317">
        <v>1129</v>
      </c>
      <c r="K317" s="8">
        <f>SUMIF(SoundCast_Data!$A$2:$A$1001,RouteID_Conversion!$H$2:$H$999,SoundCast_Data!$C$2:$C$1001)</f>
        <v>3.4508858919143597</v>
      </c>
      <c r="N317">
        <v>316</v>
      </c>
      <c r="O317" t="s">
        <v>1763</v>
      </c>
      <c r="P317">
        <v>1240</v>
      </c>
      <c r="Q317" s="8">
        <f>SUMIF(SoundCast_Data!$Q$2:$Q$747,RouteID_Conversion!N317,SoundCast_Data!$P$2:$P$747)</f>
        <v>434.60728454589753</v>
      </c>
    </row>
    <row r="318" spans="1:17" x14ac:dyDescent="0.25">
      <c r="A318">
        <v>248</v>
      </c>
      <c r="B318">
        <v>110317</v>
      </c>
      <c r="C318">
        <v>1</v>
      </c>
      <c r="D318" t="s">
        <v>720</v>
      </c>
      <c r="E318" t="s">
        <v>327</v>
      </c>
      <c r="F318" t="s">
        <v>720</v>
      </c>
      <c r="G318">
        <v>1</v>
      </c>
      <c r="H318">
        <v>317</v>
      </c>
      <c r="I318" t="s">
        <v>211</v>
      </c>
      <c r="J318">
        <v>1129</v>
      </c>
      <c r="K318" s="8">
        <f>SUMIF(SoundCast_Data!$A$2:$A$1001,RouteID_Conversion!$H$2:$H$999,SoundCast_Data!$C$2:$C$1001)</f>
        <v>0.10000000149011599</v>
      </c>
      <c r="N318">
        <v>317</v>
      </c>
      <c r="O318" t="s">
        <v>1763</v>
      </c>
      <c r="P318">
        <v>1240</v>
      </c>
      <c r="Q318" s="8">
        <f>SUMIF(SoundCast_Data!$Q$2:$Q$747,RouteID_Conversion!N318,SoundCast_Data!$P$2:$P$747)</f>
        <v>850.45095825195199</v>
      </c>
    </row>
    <row r="319" spans="1:17" x14ac:dyDescent="0.25">
      <c r="A319">
        <v>486</v>
      </c>
      <c r="B319">
        <v>110318</v>
      </c>
      <c r="C319">
        <v>1</v>
      </c>
      <c r="D319" t="s">
        <v>1077</v>
      </c>
      <c r="E319" t="s">
        <v>327</v>
      </c>
      <c r="F319" t="s">
        <v>1077</v>
      </c>
      <c r="G319">
        <v>1</v>
      </c>
      <c r="H319">
        <v>318</v>
      </c>
      <c r="I319" t="s">
        <v>213</v>
      </c>
      <c r="J319">
        <v>1131</v>
      </c>
      <c r="K319" s="8">
        <f>SUMIF(SoundCast_Data!$A$2:$A$1001,RouteID_Conversion!$H$2:$H$999,SoundCast_Data!$C$2:$C$1001)</f>
        <v>106.08707046508781</v>
      </c>
      <c r="N319">
        <v>318</v>
      </c>
      <c r="O319" t="s">
        <v>1140</v>
      </c>
      <c r="P319">
        <v>1245</v>
      </c>
      <c r="Q319" s="8">
        <f>SUMIF(SoundCast_Data!$Q$2:$Q$747,RouteID_Conversion!N319,SoundCast_Data!$P$2:$P$747)</f>
        <v>430.91968536376925</v>
      </c>
    </row>
    <row r="320" spans="1:17" x14ac:dyDescent="0.25">
      <c r="A320">
        <v>487</v>
      </c>
      <c r="B320">
        <v>110319</v>
      </c>
      <c r="C320">
        <v>1</v>
      </c>
      <c r="D320" t="s">
        <v>1078</v>
      </c>
      <c r="E320" t="s">
        <v>327</v>
      </c>
      <c r="F320" t="s">
        <v>1078</v>
      </c>
      <c r="G320">
        <v>1</v>
      </c>
      <c r="H320">
        <v>319</v>
      </c>
      <c r="I320" t="s">
        <v>213</v>
      </c>
      <c r="J320">
        <v>1131</v>
      </c>
      <c r="K320" s="8">
        <f>SUMIF(SoundCast_Data!$A$2:$A$1001,RouteID_Conversion!$H$2:$H$999,SoundCast_Data!$C$2:$C$1001)</f>
        <v>34.423080444335795</v>
      </c>
      <c r="N320">
        <v>319</v>
      </c>
      <c r="O320" t="s">
        <v>1140</v>
      </c>
      <c r="P320">
        <v>1245</v>
      </c>
      <c r="Q320" s="8">
        <f>SUMIF(SoundCast_Data!$Q$2:$Q$747,RouteID_Conversion!N320,SoundCast_Data!$P$2:$P$747)</f>
        <v>78.698899269103805</v>
      </c>
    </row>
    <row r="321" spans="1:17" x14ac:dyDescent="0.25">
      <c r="A321">
        <v>806</v>
      </c>
      <c r="B321">
        <v>110320</v>
      </c>
      <c r="C321">
        <v>1</v>
      </c>
      <c r="D321" t="s">
        <v>1529</v>
      </c>
      <c r="E321" t="s">
        <v>327</v>
      </c>
      <c r="F321" t="s">
        <v>1529</v>
      </c>
      <c r="G321">
        <v>1</v>
      </c>
      <c r="H321">
        <v>320</v>
      </c>
      <c r="I321" t="s">
        <v>213</v>
      </c>
      <c r="J321">
        <v>1131</v>
      </c>
      <c r="K321" s="8">
        <f>SUMIF(SoundCast_Data!$A$2:$A$1001,RouteID_Conversion!$H$2:$H$999,SoundCast_Data!$C$2:$C$1001)</f>
        <v>43.079149246215799</v>
      </c>
      <c r="N321">
        <v>320</v>
      </c>
      <c r="O321" t="s">
        <v>1140</v>
      </c>
      <c r="P321">
        <v>1245</v>
      </c>
      <c r="Q321" s="8">
        <f>SUMIF(SoundCast_Data!$Q$2:$Q$747,RouteID_Conversion!N321,SoundCast_Data!$P$2:$P$747)</f>
        <v>461.7073822021481</v>
      </c>
    </row>
    <row r="322" spans="1:17" x14ac:dyDescent="0.25">
      <c r="A322">
        <v>466</v>
      </c>
      <c r="B322">
        <v>110321</v>
      </c>
      <c r="C322">
        <v>1</v>
      </c>
      <c r="D322" t="s">
        <v>1045</v>
      </c>
      <c r="E322" t="s">
        <v>327</v>
      </c>
      <c r="F322" t="s">
        <v>1045</v>
      </c>
      <c r="G322">
        <v>1</v>
      </c>
      <c r="H322">
        <v>321</v>
      </c>
      <c r="I322" t="s">
        <v>215</v>
      </c>
      <c r="J322">
        <v>1132</v>
      </c>
      <c r="K322" s="8">
        <f>SUMIF(SoundCast_Data!$A$2:$A$1001,RouteID_Conversion!$H$2:$H$999,SoundCast_Data!$C$2:$C$1001)</f>
        <v>144.7702636718748</v>
      </c>
      <c r="N322">
        <v>321</v>
      </c>
      <c r="O322" t="s">
        <v>1140</v>
      </c>
      <c r="P322">
        <v>1245</v>
      </c>
      <c r="Q322" s="8">
        <f>SUMIF(SoundCast_Data!$Q$2:$Q$747,RouteID_Conversion!N322,SoundCast_Data!$P$2:$P$747)</f>
        <v>73.573062896728402</v>
      </c>
    </row>
    <row r="323" spans="1:17" x14ac:dyDescent="0.25">
      <c r="A323">
        <v>467</v>
      </c>
      <c r="B323">
        <v>110322</v>
      </c>
      <c r="C323">
        <v>1</v>
      </c>
      <c r="D323" t="s">
        <v>1046</v>
      </c>
      <c r="E323" t="s">
        <v>327</v>
      </c>
      <c r="F323" t="s">
        <v>1046</v>
      </c>
      <c r="G323">
        <v>1</v>
      </c>
      <c r="H323">
        <v>322</v>
      </c>
      <c r="I323" t="s">
        <v>215</v>
      </c>
      <c r="J323">
        <v>1132</v>
      </c>
      <c r="K323" s="8">
        <f>SUMIF(SoundCast_Data!$A$2:$A$1001,RouteID_Conversion!$H$2:$H$999,SoundCast_Data!$C$2:$C$1001)</f>
        <v>69.991321563720504</v>
      </c>
      <c r="N323">
        <v>322</v>
      </c>
      <c r="O323" t="s">
        <v>999</v>
      </c>
      <c r="P323">
        <v>1248</v>
      </c>
      <c r="Q323" s="8">
        <f>SUMIF(SoundCast_Data!$Q$2:$Q$747,RouteID_Conversion!N323,SoundCast_Data!$P$2:$P$747)</f>
        <v>175.24759101867591</v>
      </c>
    </row>
    <row r="324" spans="1:17" x14ac:dyDescent="0.25">
      <c r="A324">
        <v>805</v>
      </c>
      <c r="B324">
        <v>110323</v>
      </c>
      <c r="C324">
        <v>1</v>
      </c>
      <c r="D324" t="s">
        <v>1528</v>
      </c>
      <c r="E324" t="s">
        <v>327</v>
      </c>
      <c r="F324" t="s">
        <v>1528</v>
      </c>
      <c r="G324">
        <v>1</v>
      </c>
      <c r="H324">
        <v>323</v>
      </c>
      <c r="I324" t="s">
        <v>215</v>
      </c>
      <c r="J324">
        <v>1132</v>
      </c>
      <c r="K324" s="8">
        <f>SUMIF(SoundCast_Data!$A$2:$A$1001,RouteID_Conversion!$H$2:$H$999,SoundCast_Data!$C$2:$C$1001)</f>
        <v>86.059247970580898</v>
      </c>
      <c r="N324">
        <v>323</v>
      </c>
      <c r="O324" t="s">
        <v>999</v>
      </c>
      <c r="P324">
        <v>1248</v>
      </c>
      <c r="Q324" s="8">
        <f>SUMIF(SoundCast_Data!$Q$2:$Q$747,RouteID_Conversion!N324,SoundCast_Data!$P$2:$P$747)</f>
        <v>223.86644744873021</v>
      </c>
    </row>
    <row r="325" spans="1:17" x14ac:dyDescent="0.25">
      <c r="A325">
        <v>774</v>
      </c>
      <c r="B325">
        <v>110324</v>
      </c>
      <c r="C325">
        <v>1</v>
      </c>
      <c r="D325" t="s">
        <v>1491</v>
      </c>
      <c r="E325" t="s">
        <v>327</v>
      </c>
      <c r="F325" t="s">
        <v>1491</v>
      </c>
      <c r="G325">
        <v>1</v>
      </c>
      <c r="H325">
        <v>324</v>
      </c>
      <c r="I325" t="s">
        <v>215</v>
      </c>
      <c r="J325">
        <v>1132</v>
      </c>
      <c r="K325" s="8">
        <f>SUMIF(SoundCast_Data!$A$2:$A$1001,RouteID_Conversion!$H$2:$H$999,SoundCast_Data!$C$2:$C$1001)</f>
        <v>18.747955799102769</v>
      </c>
      <c r="N325">
        <v>324</v>
      </c>
      <c r="O325" t="s">
        <v>1768</v>
      </c>
      <c r="P325">
        <v>1249</v>
      </c>
      <c r="Q325" s="8">
        <f>SUMIF(SoundCast_Data!$Q$2:$Q$747,RouteID_Conversion!N325,SoundCast_Data!$P$2:$P$747)</f>
        <v>176.98798179626462</v>
      </c>
    </row>
    <row r="326" spans="1:17" x14ac:dyDescent="0.25">
      <c r="A326">
        <v>868</v>
      </c>
      <c r="B326">
        <v>110325</v>
      </c>
      <c r="C326">
        <v>1</v>
      </c>
      <c r="D326" t="s">
        <v>1635</v>
      </c>
      <c r="E326" t="s">
        <v>327</v>
      </c>
      <c r="F326" t="s">
        <v>1635</v>
      </c>
      <c r="G326">
        <v>1</v>
      </c>
      <c r="H326">
        <v>325</v>
      </c>
      <c r="I326" t="s">
        <v>217</v>
      </c>
      <c r="J326">
        <v>1133</v>
      </c>
      <c r="K326" s="8">
        <f>SUMIF(SoundCast_Data!$A$2:$A$1001,RouteID_Conversion!$H$2:$H$999,SoundCast_Data!$C$2:$C$1001)</f>
        <v>73.984378814697109</v>
      </c>
      <c r="N326">
        <v>325</v>
      </c>
      <c r="O326" t="s">
        <v>1768</v>
      </c>
      <c r="P326">
        <v>1249</v>
      </c>
      <c r="Q326" s="8">
        <f>SUMIF(SoundCast_Data!$Q$2:$Q$747,RouteID_Conversion!N326,SoundCast_Data!$P$2:$P$747)</f>
        <v>139.90482711791981</v>
      </c>
    </row>
    <row r="327" spans="1:17" x14ac:dyDescent="0.25">
      <c r="A327">
        <v>488</v>
      </c>
      <c r="B327">
        <v>110326</v>
      </c>
      <c r="C327">
        <v>1</v>
      </c>
      <c r="D327" t="s">
        <v>1079</v>
      </c>
      <c r="E327" t="s">
        <v>327</v>
      </c>
      <c r="F327" t="s">
        <v>1079</v>
      </c>
      <c r="G327">
        <v>1</v>
      </c>
      <c r="H327">
        <v>326</v>
      </c>
      <c r="I327" t="s">
        <v>219</v>
      </c>
      <c r="J327">
        <v>1134</v>
      </c>
      <c r="K327" s="8">
        <f>SUMIF(SoundCast_Data!$A$2:$A$1001,RouteID_Conversion!$H$2:$H$999,SoundCast_Data!$C$2:$C$1001)</f>
        <v>70.6337757110594</v>
      </c>
      <c r="N327">
        <v>326</v>
      </c>
      <c r="O327" t="s">
        <v>1768</v>
      </c>
      <c r="P327">
        <v>1249</v>
      </c>
      <c r="Q327" s="8">
        <f>SUMIF(SoundCast_Data!$Q$2:$Q$747,RouteID_Conversion!N327,SoundCast_Data!$P$2:$P$747)</f>
        <v>102.2282667160033</v>
      </c>
    </row>
    <row r="328" spans="1:17" x14ac:dyDescent="0.25">
      <c r="A328">
        <v>489</v>
      </c>
      <c r="B328">
        <v>110327</v>
      </c>
      <c r="C328">
        <v>1</v>
      </c>
      <c r="D328" t="s">
        <v>1080</v>
      </c>
      <c r="E328" t="s">
        <v>327</v>
      </c>
      <c r="F328" t="s">
        <v>1080</v>
      </c>
      <c r="G328">
        <v>1</v>
      </c>
      <c r="H328">
        <v>327</v>
      </c>
      <c r="I328" t="s">
        <v>219</v>
      </c>
      <c r="J328">
        <v>1134</v>
      </c>
      <c r="K328" s="8">
        <f>SUMIF(SoundCast_Data!$A$2:$A$1001,RouteID_Conversion!$H$2:$H$999,SoundCast_Data!$C$2:$C$1001)</f>
        <v>70.6337757110594</v>
      </c>
      <c r="N328">
        <v>327</v>
      </c>
      <c r="O328" t="s">
        <v>546</v>
      </c>
      <c r="P328">
        <v>1251</v>
      </c>
      <c r="Q328" s="8">
        <f>SUMIF(SoundCast_Data!$Q$2:$Q$747,RouteID_Conversion!N328,SoundCast_Data!$P$2:$P$747)</f>
        <v>81.279711723327495</v>
      </c>
    </row>
    <row r="329" spans="1:17" x14ac:dyDescent="0.25">
      <c r="A329">
        <v>426</v>
      </c>
      <c r="B329">
        <v>110328</v>
      </c>
      <c r="C329">
        <v>1</v>
      </c>
      <c r="D329" t="s">
        <v>984</v>
      </c>
      <c r="E329" t="s">
        <v>327</v>
      </c>
      <c r="F329" t="s">
        <v>984</v>
      </c>
      <c r="G329">
        <v>1</v>
      </c>
      <c r="H329">
        <v>328</v>
      </c>
      <c r="I329" t="s">
        <v>221</v>
      </c>
      <c r="J329">
        <v>1139</v>
      </c>
      <c r="K329" s="8">
        <f>SUMIF(SoundCast_Data!$A$2:$A$1001,RouteID_Conversion!$H$2:$H$999,SoundCast_Data!$C$2:$C$1001)</f>
        <v>23.6593933105468</v>
      </c>
      <c r="N329">
        <v>328</v>
      </c>
      <c r="O329" t="s">
        <v>546</v>
      </c>
      <c r="P329">
        <v>1251</v>
      </c>
      <c r="Q329" s="8">
        <f>SUMIF(SoundCast_Data!$Q$2:$Q$747,RouteID_Conversion!N329,SoundCast_Data!$P$2:$P$747)</f>
        <v>37.419156074523862</v>
      </c>
    </row>
    <row r="330" spans="1:17" x14ac:dyDescent="0.25">
      <c r="A330">
        <v>3</v>
      </c>
      <c r="B330">
        <v>110329</v>
      </c>
      <c r="C330">
        <v>1</v>
      </c>
      <c r="D330" t="s">
        <v>329</v>
      </c>
      <c r="E330" t="s">
        <v>327</v>
      </c>
      <c r="F330" t="s">
        <v>329</v>
      </c>
      <c r="G330">
        <v>1</v>
      </c>
      <c r="H330">
        <v>329</v>
      </c>
      <c r="I330" t="s">
        <v>221</v>
      </c>
      <c r="J330">
        <v>1139</v>
      </c>
      <c r="K330" s="8">
        <f>SUMIF(SoundCast_Data!$A$2:$A$1001,RouteID_Conversion!$H$2:$H$999,SoundCast_Data!$C$2:$C$1001)</f>
        <v>9.2489285469055087</v>
      </c>
      <c r="N330">
        <v>329</v>
      </c>
      <c r="O330" t="s">
        <v>546</v>
      </c>
      <c r="P330">
        <v>1251</v>
      </c>
      <c r="Q330" s="8">
        <f>SUMIF(SoundCast_Data!$Q$2:$Q$747,RouteID_Conversion!N330,SoundCast_Data!$P$2:$P$747)</f>
        <v>37.419156074523862</v>
      </c>
    </row>
    <row r="331" spans="1:17" x14ac:dyDescent="0.25">
      <c r="A331">
        <v>716</v>
      </c>
      <c r="B331">
        <v>110330</v>
      </c>
      <c r="C331">
        <v>1</v>
      </c>
      <c r="D331" t="s">
        <v>1400</v>
      </c>
      <c r="E331" t="s">
        <v>327</v>
      </c>
      <c r="F331" t="s">
        <v>1400</v>
      </c>
      <c r="G331">
        <v>1</v>
      </c>
      <c r="H331">
        <v>330</v>
      </c>
      <c r="I331" t="s">
        <v>223</v>
      </c>
      <c r="J331">
        <v>1140</v>
      </c>
      <c r="K331" s="8">
        <f>SUMIF(SoundCast_Data!$A$2:$A$1001,RouteID_Conversion!$H$2:$H$999,SoundCast_Data!$C$2:$C$1001)</f>
        <v>192.42653656005851</v>
      </c>
      <c r="N331">
        <v>330</v>
      </c>
      <c r="O331" t="s">
        <v>1774</v>
      </c>
      <c r="P331">
        <v>1253</v>
      </c>
      <c r="Q331" s="8">
        <f>SUMIF(SoundCast_Data!$Q$2:$Q$747,RouteID_Conversion!N331,SoundCast_Data!$P$2:$P$747)</f>
        <v>449.64059066772393</v>
      </c>
    </row>
    <row r="332" spans="1:17" x14ac:dyDescent="0.25">
      <c r="A332">
        <v>578</v>
      </c>
      <c r="B332">
        <v>110331</v>
      </c>
      <c r="C332">
        <v>1</v>
      </c>
      <c r="D332" t="s">
        <v>1211</v>
      </c>
      <c r="E332" t="s">
        <v>327</v>
      </c>
      <c r="F332" t="s">
        <v>1211</v>
      </c>
      <c r="G332">
        <v>1</v>
      </c>
      <c r="H332">
        <v>331</v>
      </c>
      <c r="I332" t="s">
        <v>223</v>
      </c>
      <c r="J332">
        <v>1140</v>
      </c>
      <c r="K332" s="8">
        <f>SUMIF(SoundCast_Data!$A$2:$A$1001,RouteID_Conversion!$H$2:$H$999,SoundCast_Data!$C$2:$C$1001)</f>
        <v>41.8596925735472</v>
      </c>
      <c r="N332">
        <v>331</v>
      </c>
      <c r="O332" t="s">
        <v>1774</v>
      </c>
      <c r="P332">
        <v>1253</v>
      </c>
      <c r="Q332" s="8">
        <f>SUMIF(SoundCast_Data!$Q$2:$Q$747,RouteID_Conversion!N332,SoundCast_Data!$P$2:$P$747)</f>
        <v>109.0651702880858</v>
      </c>
    </row>
    <row r="333" spans="1:17" x14ac:dyDescent="0.25">
      <c r="A333">
        <v>579</v>
      </c>
      <c r="B333">
        <v>110332</v>
      </c>
      <c r="C333">
        <v>1</v>
      </c>
      <c r="D333" t="s">
        <v>1212</v>
      </c>
      <c r="E333" t="s">
        <v>327</v>
      </c>
      <c r="F333" t="s">
        <v>1212</v>
      </c>
      <c r="G333">
        <v>1</v>
      </c>
      <c r="H333">
        <v>332</v>
      </c>
      <c r="I333" t="s">
        <v>223</v>
      </c>
      <c r="J333">
        <v>1140</v>
      </c>
      <c r="K333" s="8">
        <f>SUMIF(SoundCast_Data!$A$2:$A$1001,RouteID_Conversion!$H$2:$H$999,SoundCast_Data!$C$2:$C$1001)</f>
        <v>360.81703948974609</v>
      </c>
      <c r="N333">
        <v>332</v>
      </c>
      <c r="O333" t="s">
        <v>1774</v>
      </c>
      <c r="P333">
        <v>1253</v>
      </c>
      <c r="Q333" s="8">
        <f>SUMIF(SoundCast_Data!$Q$2:$Q$747,RouteID_Conversion!N333,SoundCast_Data!$P$2:$P$747)</f>
        <v>594.90088653564203</v>
      </c>
    </row>
    <row r="334" spans="1:17" x14ac:dyDescent="0.25">
      <c r="A334">
        <v>580</v>
      </c>
      <c r="B334">
        <v>110333</v>
      </c>
      <c r="C334">
        <v>1</v>
      </c>
      <c r="D334" t="s">
        <v>1213</v>
      </c>
      <c r="E334" t="s">
        <v>327</v>
      </c>
      <c r="F334" t="s">
        <v>1213</v>
      </c>
      <c r="G334">
        <v>1</v>
      </c>
      <c r="H334">
        <v>333</v>
      </c>
      <c r="I334" t="s">
        <v>223</v>
      </c>
      <c r="J334">
        <v>1140</v>
      </c>
      <c r="K334" s="8">
        <f>SUMIF(SoundCast_Data!$A$2:$A$1001,RouteID_Conversion!$H$2:$H$999,SoundCast_Data!$C$2:$C$1001)</f>
        <v>31.995155811309708</v>
      </c>
      <c r="N334">
        <v>333</v>
      </c>
      <c r="O334" t="s">
        <v>1287</v>
      </c>
      <c r="P334">
        <v>1255</v>
      </c>
      <c r="Q334" s="8">
        <f>SUMIF(SoundCast_Data!$Q$2:$Q$747,RouteID_Conversion!N334,SoundCast_Data!$P$2:$P$747)</f>
        <v>537.7128372192376</v>
      </c>
    </row>
    <row r="335" spans="1:17" x14ac:dyDescent="0.25">
      <c r="A335">
        <v>516</v>
      </c>
      <c r="B335">
        <v>110334</v>
      </c>
      <c r="C335">
        <v>1</v>
      </c>
      <c r="D335" t="s">
        <v>1122</v>
      </c>
      <c r="E335" t="s">
        <v>327</v>
      </c>
      <c r="F335" t="s">
        <v>1122</v>
      </c>
      <c r="G335">
        <v>1</v>
      </c>
      <c r="H335">
        <v>334</v>
      </c>
      <c r="I335" t="s">
        <v>225</v>
      </c>
      <c r="J335">
        <v>1143</v>
      </c>
      <c r="K335" s="8">
        <f>SUMIF(SoundCast_Data!$A$2:$A$1001,RouteID_Conversion!$H$2:$H$999,SoundCast_Data!$C$2:$C$1001)</f>
        <v>106.1133594512939</v>
      </c>
      <c r="N335">
        <v>334</v>
      </c>
      <c r="O335" t="s">
        <v>1287</v>
      </c>
      <c r="P335">
        <v>1255</v>
      </c>
      <c r="Q335" s="8">
        <f>SUMIF(SoundCast_Data!$Q$2:$Q$747,RouteID_Conversion!N335,SoundCast_Data!$P$2:$P$747)</f>
        <v>1137.7935180664049</v>
      </c>
    </row>
    <row r="336" spans="1:17" x14ac:dyDescent="0.25">
      <c r="A336">
        <v>468</v>
      </c>
      <c r="B336">
        <v>110335</v>
      </c>
      <c r="C336">
        <v>1</v>
      </c>
      <c r="D336" t="s">
        <v>1047</v>
      </c>
      <c r="E336" t="s">
        <v>327</v>
      </c>
      <c r="F336" t="s">
        <v>1047</v>
      </c>
      <c r="G336">
        <v>1</v>
      </c>
      <c r="H336">
        <v>335</v>
      </c>
      <c r="I336" t="s">
        <v>227</v>
      </c>
      <c r="J336">
        <v>1148</v>
      </c>
      <c r="K336" s="8">
        <f>SUMIF(SoundCast_Data!$A$2:$A$1001,RouteID_Conversion!$H$2:$H$999,SoundCast_Data!$C$2:$C$1001)</f>
        <v>174.90991973876939</v>
      </c>
      <c r="N336">
        <v>335</v>
      </c>
      <c r="O336" t="s">
        <v>704</v>
      </c>
      <c r="P336">
        <v>1269</v>
      </c>
      <c r="Q336" s="8">
        <f>SUMIF(SoundCast_Data!$Q$2:$Q$747,RouteID_Conversion!N336,SoundCast_Data!$P$2:$P$747)</f>
        <v>44.927869319915715</v>
      </c>
    </row>
    <row r="337" spans="1:17" x14ac:dyDescent="0.25">
      <c r="A337">
        <v>451</v>
      </c>
      <c r="B337">
        <v>110336</v>
      </c>
      <c r="C337">
        <v>1</v>
      </c>
      <c r="D337" t="s">
        <v>1029</v>
      </c>
      <c r="E337" t="s">
        <v>327</v>
      </c>
      <c r="F337" t="s">
        <v>1029</v>
      </c>
      <c r="G337">
        <v>1</v>
      </c>
      <c r="H337">
        <v>336</v>
      </c>
      <c r="I337" t="s">
        <v>227</v>
      </c>
      <c r="J337">
        <v>1148</v>
      </c>
      <c r="K337" s="8">
        <f>SUMIF(SoundCast_Data!$A$2:$A$1001,RouteID_Conversion!$H$2:$H$999,SoundCast_Data!$C$2:$C$1001)</f>
        <v>60.727119445800597</v>
      </c>
      <c r="N337">
        <v>336</v>
      </c>
      <c r="O337" t="s">
        <v>704</v>
      </c>
      <c r="P337">
        <v>1269</v>
      </c>
      <c r="Q337" s="8">
        <f>SUMIF(SoundCast_Data!$Q$2:$Q$747,RouteID_Conversion!N337,SoundCast_Data!$P$2:$P$747)</f>
        <v>43.147278785705453</v>
      </c>
    </row>
    <row r="338" spans="1:17" x14ac:dyDescent="0.25">
      <c r="A338">
        <v>515</v>
      </c>
      <c r="B338">
        <v>110337</v>
      </c>
      <c r="C338">
        <v>1</v>
      </c>
      <c r="D338" t="s">
        <v>1121</v>
      </c>
      <c r="E338" t="s">
        <v>327</v>
      </c>
      <c r="F338" t="s">
        <v>1121</v>
      </c>
      <c r="G338">
        <v>1</v>
      </c>
      <c r="H338">
        <v>337</v>
      </c>
      <c r="I338" t="s">
        <v>229</v>
      </c>
      <c r="J338">
        <v>1149</v>
      </c>
      <c r="K338" s="8">
        <f>SUMIF(SoundCast_Data!$A$2:$A$1001,RouteID_Conversion!$H$2:$H$999,SoundCast_Data!$C$2:$C$1001)</f>
        <v>8.3357254266738803</v>
      </c>
      <c r="N338">
        <v>337</v>
      </c>
      <c r="O338" t="s">
        <v>1782</v>
      </c>
      <c r="P338">
        <v>1271</v>
      </c>
      <c r="Q338" s="8">
        <f>SUMIF(SoundCast_Data!$Q$2:$Q$747,RouteID_Conversion!N338,SoundCast_Data!$P$2:$P$747)</f>
        <v>871.35142517089707</v>
      </c>
    </row>
    <row r="339" spans="1:17" x14ac:dyDescent="0.25">
      <c r="A339">
        <v>514</v>
      </c>
      <c r="B339">
        <v>110338</v>
      </c>
      <c r="C339">
        <v>1</v>
      </c>
      <c r="D339" t="s">
        <v>1120</v>
      </c>
      <c r="E339" t="s">
        <v>327</v>
      </c>
      <c r="F339" t="s">
        <v>1120</v>
      </c>
      <c r="G339">
        <v>1</v>
      </c>
      <c r="H339">
        <v>338</v>
      </c>
      <c r="I339" t="s">
        <v>229</v>
      </c>
      <c r="J339">
        <v>1149</v>
      </c>
      <c r="K339" s="8">
        <f>SUMIF(SoundCast_Data!$A$2:$A$1001,RouteID_Conversion!$H$2:$H$999,SoundCast_Data!$C$2:$C$1001)</f>
        <v>30.173372268676719</v>
      </c>
      <c r="N339">
        <v>338</v>
      </c>
      <c r="O339" t="s">
        <v>1782</v>
      </c>
      <c r="P339">
        <v>1271</v>
      </c>
      <c r="Q339" s="8">
        <f>SUMIF(SoundCast_Data!$Q$2:$Q$747,RouteID_Conversion!N339,SoundCast_Data!$P$2:$P$747)</f>
        <v>969.72596740722599</v>
      </c>
    </row>
    <row r="340" spans="1:17" x14ac:dyDescent="0.25">
      <c r="A340">
        <v>627</v>
      </c>
      <c r="B340">
        <v>110339</v>
      </c>
      <c r="C340">
        <v>1</v>
      </c>
      <c r="D340" t="s">
        <v>1283</v>
      </c>
      <c r="E340" t="s">
        <v>327</v>
      </c>
      <c r="F340" t="s">
        <v>1283</v>
      </c>
      <c r="G340">
        <v>1</v>
      </c>
      <c r="H340">
        <v>339</v>
      </c>
      <c r="I340" t="s">
        <v>231</v>
      </c>
      <c r="J340">
        <v>1150</v>
      </c>
      <c r="K340" s="8">
        <f>SUMIF(SoundCast_Data!$A$2:$A$1001,RouteID_Conversion!$H$2:$H$999,SoundCast_Data!$C$2:$C$1001)</f>
        <v>83.751129150390511</v>
      </c>
      <c r="N340">
        <v>339</v>
      </c>
      <c r="O340" t="s">
        <v>1782</v>
      </c>
      <c r="P340">
        <v>1271</v>
      </c>
      <c r="Q340" s="8">
        <f>SUMIF(SoundCast_Data!$Q$2:$Q$747,RouteID_Conversion!N340,SoundCast_Data!$P$2:$P$747)</f>
        <v>144.00707054138172</v>
      </c>
    </row>
    <row r="341" spans="1:17" x14ac:dyDescent="0.25">
      <c r="A341">
        <v>628</v>
      </c>
      <c r="B341">
        <v>110340</v>
      </c>
      <c r="C341">
        <v>1</v>
      </c>
      <c r="D341" t="s">
        <v>1284</v>
      </c>
      <c r="E341" t="s">
        <v>327</v>
      </c>
      <c r="F341" t="s">
        <v>1284</v>
      </c>
      <c r="G341">
        <v>1</v>
      </c>
      <c r="H341">
        <v>340</v>
      </c>
      <c r="I341" t="s">
        <v>231</v>
      </c>
      <c r="J341">
        <v>1150</v>
      </c>
      <c r="K341" s="8">
        <f>SUMIF(SoundCast_Data!$A$2:$A$1001,RouteID_Conversion!$H$2:$H$999,SoundCast_Data!$C$2:$C$1001)</f>
        <v>975.30718994140602</v>
      </c>
      <c r="N341">
        <v>340</v>
      </c>
      <c r="O341" t="s">
        <v>1782</v>
      </c>
      <c r="P341">
        <v>1271</v>
      </c>
      <c r="Q341" s="8">
        <f>SUMIF(SoundCast_Data!$Q$2:$Q$747,RouteID_Conversion!N341,SoundCast_Data!$P$2:$P$747)</f>
        <v>144.00707054138172</v>
      </c>
    </row>
    <row r="342" spans="1:17" x14ac:dyDescent="0.25">
      <c r="A342">
        <v>629</v>
      </c>
      <c r="B342">
        <v>110341</v>
      </c>
      <c r="C342">
        <v>1</v>
      </c>
      <c r="D342" t="s">
        <v>1285</v>
      </c>
      <c r="E342" t="s">
        <v>327</v>
      </c>
      <c r="F342" t="s">
        <v>1285</v>
      </c>
      <c r="G342">
        <v>1</v>
      </c>
      <c r="H342">
        <v>341</v>
      </c>
      <c r="I342" t="s">
        <v>231</v>
      </c>
      <c r="J342">
        <v>1150</v>
      </c>
      <c r="K342" s="8">
        <f>SUMIF(SoundCast_Data!$A$2:$A$1001,RouteID_Conversion!$H$2:$H$999,SoundCast_Data!$C$2:$C$1001)</f>
        <v>826.4071807861319</v>
      </c>
      <c r="N342">
        <v>341</v>
      </c>
      <c r="O342" t="s">
        <v>1787</v>
      </c>
      <c r="P342">
        <v>1272</v>
      </c>
      <c r="Q342" s="8">
        <f>SUMIF(SoundCast_Data!$Q$2:$Q$747,RouteID_Conversion!N342,SoundCast_Data!$P$2:$P$747)</f>
        <v>46.030548572540262</v>
      </c>
    </row>
    <row r="343" spans="1:17" x14ac:dyDescent="0.25">
      <c r="A343">
        <v>577</v>
      </c>
      <c r="B343">
        <v>110342</v>
      </c>
      <c r="C343">
        <v>1</v>
      </c>
      <c r="D343" t="s">
        <v>1210</v>
      </c>
      <c r="E343" t="s">
        <v>327</v>
      </c>
      <c r="F343" t="s">
        <v>1210</v>
      </c>
      <c r="G343">
        <v>1</v>
      </c>
      <c r="H343">
        <v>342</v>
      </c>
      <c r="I343" t="s">
        <v>233</v>
      </c>
      <c r="J343">
        <v>1152</v>
      </c>
      <c r="K343" s="8">
        <f>SUMIF(SoundCast_Data!$A$2:$A$1001,RouteID_Conversion!$H$2:$H$999,SoundCast_Data!$C$2:$C$1001)</f>
        <v>81.3489341735838</v>
      </c>
      <c r="N343">
        <v>342</v>
      </c>
      <c r="O343" t="s">
        <v>1787</v>
      </c>
      <c r="P343">
        <v>1272</v>
      </c>
      <c r="Q343" s="8">
        <f>SUMIF(SoundCast_Data!$Q$2:$Q$747,RouteID_Conversion!N343,SoundCast_Data!$P$2:$P$747)</f>
        <v>49.309797286987241</v>
      </c>
    </row>
    <row r="344" spans="1:17" x14ac:dyDescent="0.25">
      <c r="A344">
        <v>731</v>
      </c>
      <c r="B344">
        <v>110343</v>
      </c>
      <c r="C344">
        <v>1</v>
      </c>
      <c r="D344" t="s">
        <v>1425</v>
      </c>
      <c r="E344" t="s">
        <v>327</v>
      </c>
      <c r="F344" t="s">
        <v>1425</v>
      </c>
      <c r="G344">
        <v>1</v>
      </c>
      <c r="H344">
        <v>343</v>
      </c>
      <c r="I344" t="s">
        <v>235</v>
      </c>
      <c r="J344">
        <v>1153</v>
      </c>
      <c r="K344" s="8">
        <f>SUMIF(SoundCast_Data!$A$2:$A$1001,RouteID_Conversion!$H$2:$H$999,SoundCast_Data!$C$2:$C$1001)</f>
        <v>81.098642349242994</v>
      </c>
      <c r="N344">
        <v>343</v>
      </c>
      <c r="O344" t="s">
        <v>1549</v>
      </c>
      <c r="P344">
        <v>1277</v>
      </c>
      <c r="Q344" s="8">
        <f>SUMIF(SoundCast_Data!$Q$2:$Q$747,RouteID_Conversion!N344,SoundCast_Data!$P$2:$P$747)</f>
        <v>26.059673309326129</v>
      </c>
    </row>
    <row r="345" spans="1:17" x14ac:dyDescent="0.25">
      <c r="A345">
        <v>732</v>
      </c>
      <c r="B345">
        <v>110344</v>
      </c>
      <c r="C345">
        <v>1</v>
      </c>
      <c r="D345" t="s">
        <v>1426</v>
      </c>
      <c r="E345" t="s">
        <v>327</v>
      </c>
      <c r="F345" t="s">
        <v>1426</v>
      </c>
      <c r="G345">
        <v>1</v>
      </c>
      <c r="H345">
        <v>344</v>
      </c>
      <c r="I345" t="s">
        <v>235</v>
      </c>
      <c r="J345">
        <v>1153</v>
      </c>
      <c r="K345" s="8">
        <f>SUMIF(SoundCast_Data!$A$2:$A$1001,RouteID_Conversion!$H$2:$H$999,SoundCast_Data!$C$2:$C$1001)</f>
        <v>105.01503753662089</v>
      </c>
      <c r="N345">
        <v>344</v>
      </c>
      <c r="O345" t="s">
        <v>1648</v>
      </c>
      <c r="P345">
        <v>1301</v>
      </c>
      <c r="Q345" s="8">
        <f>SUMIF(SoundCast_Data!$Q$2:$Q$747,RouteID_Conversion!N345,SoundCast_Data!$P$2:$P$747)</f>
        <v>15.62319636344901</v>
      </c>
    </row>
    <row r="346" spans="1:17" x14ac:dyDescent="0.25">
      <c r="A346">
        <v>343</v>
      </c>
      <c r="B346">
        <v>110345</v>
      </c>
      <c r="C346">
        <v>1</v>
      </c>
      <c r="D346" t="s">
        <v>878</v>
      </c>
      <c r="E346" t="s">
        <v>327</v>
      </c>
      <c r="F346" t="s">
        <v>878</v>
      </c>
      <c r="G346">
        <v>1</v>
      </c>
      <c r="H346">
        <v>345</v>
      </c>
      <c r="I346" t="s">
        <v>237</v>
      </c>
      <c r="J346">
        <v>1154</v>
      </c>
      <c r="K346" s="8">
        <f>SUMIF(SoundCast_Data!$A$2:$A$1001,RouteID_Conversion!$H$2:$H$999,SoundCast_Data!$C$2:$C$1001)</f>
        <v>14.218103170394881</v>
      </c>
      <c r="N346">
        <v>345</v>
      </c>
      <c r="O346" t="s">
        <v>1664</v>
      </c>
      <c r="P346">
        <v>1312</v>
      </c>
      <c r="Q346" s="8">
        <f>SUMIF(SoundCast_Data!$Q$2:$Q$747,RouteID_Conversion!N346,SoundCast_Data!$P$2:$P$747)</f>
        <v>45.968412399291893</v>
      </c>
    </row>
    <row r="347" spans="1:17" x14ac:dyDescent="0.25">
      <c r="A347">
        <v>344</v>
      </c>
      <c r="B347">
        <v>110346</v>
      </c>
      <c r="C347">
        <v>1</v>
      </c>
      <c r="D347" t="s">
        <v>879</v>
      </c>
      <c r="E347" t="s">
        <v>327</v>
      </c>
      <c r="F347" t="s">
        <v>879</v>
      </c>
      <c r="G347">
        <v>1</v>
      </c>
      <c r="H347">
        <v>346</v>
      </c>
      <c r="I347" t="s">
        <v>239</v>
      </c>
      <c r="J347">
        <v>1155</v>
      </c>
      <c r="K347" s="8">
        <f>SUMIF(SoundCast_Data!$A$2:$A$1001,RouteID_Conversion!$H$2:$H$999,SoundCast_Data!$C$2:$C$1001)</f>
        <v>10.389556884765611</v>
      </c>
      <c r="N347">
        <v>346</v>
      </c>
      <c r="O347" t="s">
        <v>567</v>
      </c>
      <c r="P347">
        <v>1330</v>
      </c>
      <c r="Q347" s="8">
        <f>SUMIF(SoundCast_Data!$Q$2:$Q$747,RouteID_Conversion!N347,SoundCast_Data!$P$2:$P$747)</f>
        <v>5.8249778747558505</v>
      </c>
    </row>
    <row r="348" spans="1:17" x14ac:dyDescent="0.25">
      <c r="A348">
        <v>345</v>
      </c>
      <c r="B348">
        <v>110347</v>
      </c>
      <c r="C348">
        <v>1</v>
      </c>
      <c r="D348" t="s">
        <v>880</v>
      </c>
      <c r="E348" t="s">
        <v>327</v>
      </c>
      <c r="F348" t="s">
        <v>880</v>
      </c>
      <c r="G348">
        <v>1</v>
      </c>
      <c r="H348">
        <v>347</v>
      </c>
      <c r="I348" t="s">
        <v>239</v>
      </c>
      <c r="J348">
        <v>1155</v>
      </c>
      <c r="K348" s="8">
        <f>SUMIF(SoundCast_Data!$A$2:$A$1001,RouteID_Conversion!$H$2:$H$999,SoundCast_Data!$C$2:$C$1001)</f>
        <v>81.590179443359304</v>
      </c>
      <c r="N348">
        <v>347</v>
      </c>
      <c r="O348" t="s">
        <v>567</v>
      </c>
      <c r="P348">
        <v>1330</v>
      </c>
      <c r="Q348" s="8">
        <f>SUMIF(SoundCast_Data!$Q$2:$Q$747,RouteID_Conversion!N348,SoundCast_Data!$P$2:$P$747)</f>
        <v>5.6249779462814207</v>
      </c>
    </row>
    <row r="349" spans="1:17" x14ac:dyDescent="0.25">
      <c r="A349">
        <v>71</v>
      </c>
      <c r="B349">
        <v>110348</v>
      </c>
      <c r="C349">
        <v>1</v>
      </c>
      <c r="D349" t="s">
        <v>428</v>
      </c>
      <c r="E349" t="s">
        <v>327</v>
      </c>
      <c r="F349" t="s">
        <v>428</v>
      </c>
      <c r="G349">
        <v>1</v>
      </c>
      <c r="H349">
        <v>348</v>
      </c>
      <c r="I349" t="s">
        <v>241</v>
      </c>
      <c r="J349">
        <v>1156</v>
      </c>
      <c r="K349" s="8">
        <f>SUMIF(SoundCast_Data!$A$2:$A$1001,RouteID_Conversion!$H$2:$H$999,SoundCast_Data!$C$2:$C$1001)</f>
        <v>11.523747205734228</v>
      </c>
      <c r="N349">
        <v>348</v>
      </c>
      <c r="O349" t="s">
        <v>571</v>
      </c>
      <c r="P349">
        <v>1331</v>
      </c>
      <c r="Q349" s="8">
        <f>SUMIF(SoundCast_Data!$Q$2:$Q$747,RouteID_Conversion!N349,SoundCast_Data!$P$2:$P$747)</f>
        <v>99.328077316284094</v>
      </c>
    </row>
    <row r="350" spans="1:17" x14ac:dyDescent="0.25">
      <c r="A350">
        <v>17</v>
      </c>
      <c r="B350">
        <v>110349</v>
      </c>
      <c r="C350">
        <v>1</v>
      </c>
      <c r="D350" t="s">
        <v>347</v>
      </c>
      <c r="E350" t="s">
        <v>327</v>
      </c>
      <c r="F350" t="s">
        <v>347</v>
      </c>
      <c r="G350">
        <v>1</v>
      </c>
      <c r="H350">
        <v>349</v>
      </c>
      <c r="I350" t="s">
        <v>241</v>
      </c>
      <c r="J350">
        <v>1156</v>
      </c>
      <c r="K350" s="8">
        <f>SUMIF(SoundCast_Data!$A$2:$A$1001,RouteID_Conversion!$H$2:$H$999,SoundCast_Data!$C$2:$C$1001)</f>
        <v>17.088559389114369</v>
      </c>
      <c r="N350">
        <v>349</v>
      </c>
      <c r="O350" t="s">
        <v>571</v>
      </c>
      <c r="P350">
        <v>1331</v>
      </c>
      <c r="Q350" s="8">
        <f>SUMIF(SoundCast_Data!$Q$2:$Q$747,RouteID_Conversion!N350,SoundCast_Data!$P$2:$P$747)</f>
        <v>100.01006984710681</v>
      </c>
    </row>
    <row r="351" spans="1:17" x14ac:dyDescent="0.25">
      <c r="A351">
        <v>72</v>
      </c>
      <c r="B351">
        <v>110350</v>
      </c>
      <c r="C351">
        <v>1</v>
      </c>
      <c r="D351" t="s">
        <v>429</v>
      </c>
      <c r="E351" t="s">
        <v>327</v>
      </c>
      <c r="F351" t="s">
        <v>429</v>
      </c>
      <c r="G351">
        <v>1</v>
      </c>
      <c r="H351">
        <v>350</v>
      </c>
      <c r="I351" t="s">
        <v>241</v>
      </c>
      <c r="J351">
        <v>1156</v>
      </c>
      <c r="K351" s="8">
        <f>SUMIF(SoundCast_Data!$A$2:$A$1001,RouteID_Conversion!$H$2:$H$999,SoundCast_Data!$C$2:$C$1001)</f>
        <v>13.755295038223249</v>
      </c>
      <c r="N351">
        <v>350</v>
      </c>
      <c r="O351" t="s">
        <v>575</v>
      </c>
      <c r="P351">
        <v>1345</v>
      </c>
      <c r="Q351" s="8">
        <f>SUMIF(SoundCast_Data!$Q$2:$Q$747,RouteID_Conversion!N351,SoundCast_Data!$P$2:$P$747)</f>
        <v>131.6269454956053</v>
      </c>
    </row>
    <row r="352" spans="1:17" x14ac:dyDescent="0.25">
      <c r="A352">
        <v>18</v>
      </c>
      <c r="B352">
        <v>110351</v>
      </c>
      <c r="C352">
        <v>1</v>
      </c>
      <c r="D352" t="s">
        <v>348</v>
      </c>
      <c r="E352" t="s">
        <v>327</v>
      </c>
      <c r="F352" t="s">
        <v>348</v>
      </c>
      <c r="G352">
        <v>1</v>
      </c>
      <c r="H352">
        <v>351</v>
      </c>
      <c r="I352" t="s">
        <v>241</v>
      </c>
      <c r="J352">
        <v>1156</v>
      </c>
      <c r="K352" s="8">
        <f>SUMIF(SoundCast_Data!$A$2:$A$1001,RouteID_Conversion!$H$2:$H$999,SoundCast_Data!$C$2:$C$1001)</f>
        <v>13.351182937622051</v>
      </c>
      <c r="N352">
        <v>351</v>
      </c>
      <c r="O352" t="s">
        <v>575</v>
      </c>
      <c r="P352">
        <v>1345</v>
      </c>
      <c r="Q352" s="8">
        <f>SUMIF(SoundCast_Data!$Q$2:$Q$747,RouteID_Conversion!N352,SoundCast_Data!$P$2:$P$747)</f>
        <v>87.223201751708899</v>
      </c>
    </row>
    <row r="353" spans="1:17" x14ac:dyDescent="0.25">
      <c r="A353">
        <v>19</v>
      </c>
      <c r="B353">
        <v>110352</v>
      </c>
      <c r="C353">
        <v>1</v>
      </c>
      <c r="D353" t="s">
        <v>349</v>
      </c>
      <c r="E353" t="s">
        <v>327</v>
      </c>
      <c r="F353" t="s">
        <v>349</v>
      </c>
      <c r="G353">
        <v>1</v>
      </c>
      <c r="H353">
        <v>352</v>
      </c>
      <c r="I353" t="s">
        <v>241</v>
      </c>
      <c r="J353">
        <v>1156</v>
      </c>
      <c r="K353" s="8">
        <f>SUMIF(SoundCast_Data!$A$2:$A$1001,RouteID_Conversion!$H$2:$H$999,SoundCast_Data!$C$2:$C$1001)</f>
        <v>5.7230155467986892</v>
      </c>
      <c r="N353">
        <v>352</v>
      </c>
      <c r="O353" t="s">
        <v>578</v>
      </c>
      <c r="P353">
        <v>1346</v>
      </c>
      <c r="Q353" s="8">
        <f>SUMIF(SoundCast_Data!$Q$2:$Q$747,RouteID_Conversion!N353,SoundCast_Data!$P$2:$P$747)</f>
        <v>13.442978978157031</v>
      </c>
    </row>
    <row r="354" spans="1:17" x14ac:dyDescent="0.25">
      <c r="A354">
        <v>490</v>
      </c>
      <c r="B354">
        <v>110353</v>
      </c>
      <c r="C354">
        <v>1</v>
      </c>
      <c r="D354" t="s">
        <v>1081</v>
      </c>
      <c r="E354" t="s">
        <v>327</v>
      </c>
      <c r="F354" t="s">
        <v>1081</v>
      </c>
      <c r="G354">
        <v>1</v>
      </c>
      <c r="H354">
        <v>353</v>
      </c>
      <c r="I354" t="s">
        <v>243</v>
      </c>
      <c r="J354">
        <v>1157</v>
      </c>
      <c r="K354" s="8">
        <f>SUMIF(SoundCast_Data!$A$2:$A$1001,RouteID_Conversion!$H$2:$H$999,SoundCast_Data!$C$2:$C$1001)</f>
        <v>94.097858428954893</v>
      </c>
      <c r="N354">
        <v>353</v>
      </c>
      <c r="O354" t="s">
        <v>578</v>
      </c>
      <c r="P354">
        <v>1346</v>
      </c>
      <c r="Q354" s="8">
        <f>SUMIF(SoundCast_Data!$Q$2:$Q$747,RouteID_Conversion!N354,SoundCast_Data!$P$2:$P$747)</f>
        <v>177.73464584350521</v>
      </c>
    </row>
    <row r="355" spans="1:17" x14ac:dyDescent="0.25">
      <c r="A355">
        <v>564</v>
      </c>
      <c r="B355">
        <v>110354</v>
      </c>
      <c r="C355">
        <v>1</v>
      </c>
      <c r="D355" t="s">
        <v>1195</v>
      </c>
      <c r="E355" t="s">
        <v>327</v>
      </c>
      <c r="F355" t="s">
        <v>1195</v>
      </c>
      <c r="G355">
        <v>1</v>
      </c>
      <c r="H355">
        <v>354</v>
      </c>
      <c r="I355" t="s">
        <v>245</v>
      </c>
      <c r="J355">
        <v>1158</v>
      </c>
      <c r="K355" s="8">
        <f>SUMIF(SoundCast_Data!$A$2:$A$1001,RouteID_Conversion!$H$2:$H$999,SoundCast_Data!$C$2:$C$1001)</f>
        <v>140.5198516845702</v>
      </c>
      <c r="N355">
        <v>354</v>
      </c>
      <c r="O355" t="s">
        <v>578</v>
      </c>
      <c r="P355">
        <v>1346</v>
      </c>
      <c r="Q355" s="8">
        <f>SUMIF(SoundCast_Data!$Q$2:$Q$747,RouteID_Conversion!N355,SoundCast_Data!$P$2:$P$747)</f>
        <v>126.8263063430785</v>
      </c>
    </row>
    <row r="356" spans="1:17" x14ac:dyDescent="0.25">
      <c r="A356">
        <v>565</v>
      </c>
      <c r="B356">
        <v>110355</v>
      </c>
      <c r="C356">
        <v>1</v>
      </c>
      <c r="D356" t="s">
        <v>1196</v>
      </c>
      <c r="E356" t="s">
        <v>327</v>
      </c>
      <c r="F356" t="s">
        <v>1196</v>
      </c>
      <c r="G356">
        <v>1</v>
      </c>
      <c r="H356">
        <v>355</v>
      </c>
      <c r="I356" t="s">
        <v>247</v>
      </c>
      <c r="J356">
        <v>1159</v>
      </c>
      <c r="K356" s="8">
        <f>SUMIF(SoundCast_Data!$A$2:$A$1001,RouteID_Conversion!$H$2:$H$999,SoundCast_Data!$C$2:$C$1001)</f>
        <v>137.0092887878416</v>
      </c>
      <c r="N356">
        <v>355</v>
      </c>
      <c r="O356" t="s">
        <v>333</v>
      </c>
      <c r="P356">
        <v>1347</v>
      </c>
      <c r="Q356" s="8">
        <f>SUMIF(SoundCast_Data!$Q$2:$Q$747,RouteID_Conversion!N356,SoundCast_Data!$P$2:$P$747)</f>
        <v>309.21094131469647</v>
      </c>
    </row>
    <row r="357" spans="1:17" x14ac:dyDescent="0.25">
      <c r="A357">
        <v>734</v>
      </c>
      <c r="B357">
        <v>110356</v>
      </c>
      <c r="C357">
        <v>1</v>
      </c>
      <c r="D357" t="s">
        <v>1429</v>
      </c>
      <c r="E357" t="s">
        <v>327</v>
      </c>
      <c r="F357" t="s">
        <v>1429</v>
      </c>
      <c r="G357">
        <v>1</v>
      </c>
      <c r="H357">
        <v>356</v>
      </c>
      <c r="I357" t="s">
        <v>249</v>
      </c>
      <c r="J357">
        <v>1161</v>
      </c>
      <c r="K357" s="8">
        <f>SUMIF(SoundCast_Data!$A$2:$A$1001,RouteID_Conversion!$H$2:$H$999,SoundCast_Data!$C$2:$C$1001)</f>
        <v>294.53044509887627</v>
      </c>
      <c r="N357">
        <v>356</v>
      </c>
      <c r="O357" t="s">
        <v>333</v>
      </c>
      <c r="P357">
        <v>1347</v>
      </c>
      <c r="Q357" s="8">
        <f>SUMIF(SoundCast_Data!$Q$2:$Q$747,RouteID_Conversion!N357,SoundCast_Data!$P$2:$P$747)</f>
        <v>184.2133369445794</v>
      </c>
    </row>
    <row r="358" spans="1:17" x14ac:dyDescent="0.25">
      <c r="A358">
        <v>566</v>
      </c>
      <c r="B358">
        <v>110357</v>
      </c>
      <c r="C358">
        <v>1</v>
      </c>
      <c r="D358" t="s">
        <v>1197</v>
      </c>
      <c r="E358" t="s">
        <v>327</v>
      </c>
      <c r="F358" t="s">
        <v>1197</v>
      </c>
      <c r="G358">
        <v>1</v>
      </c>
      <c r="H358">
        <v>357</v>
      </c>
      <c r="I358" t="s">
        <v>251</v>
      </c>
      <c r="J358">
        <v>1162</v>
      </c>
      <c r="K358" s="8">
        <f>SUMIF(SoundCast_Data!$A$2:$A$1001,RouteID_Conversion!$H$2:$H$999,SoundCast_Data!$C$2:$C$1001)</f>
        <v>90.515495300292898</v>
      </c>
      <c r="N358">
        <v>357</v>
      </c>
      <c r="O358" t="s">
        <v>336</v>
      </c>
      <c r="P358">
        <v>1348</v>
      </c>
      <c r="Q358" s="8">
        <f>SUMIF(SoundCast_Data!$Q$2:$Q$747,RouteID_Conversion!N358,SoundCast_Data!$P$2:$P$747)</f>
        <v>225.03168106079019</v>
      </c>
    </row>
    <row r="359" spans="1:17" x14ac:dyDescent="0.25">
      <c r="A359">
        <v>567</v>
      </c>
      <c r="B359">
        <v>110358</v>
      </c>
      <c r="C359">
        <v>1</v>
      </c>
      <c r="D359" t="s">
        <v>1198</v>
      </c>
      <c r="E359" t="s">
        <v>327</v>
      </c>
      <c r="F359" t="s">
        <v>1198</v>
      </c>
      <c r="G359">
        <v>1</v>
      </c>
      <c r="H359">
        <v>358</v>
      </c>
      <c r="I359" t="s">
        <v>251</v>
      </c>
      <c r="J359">
        <v>1162</v>
      </c>
      <c r="K359" s="8">
        <f>SUMIF(SoundCast_Data!$A$2:$A$1001,RouteID_Conversion!$H$2:$H$999,SoundCast_Data!$C$2:$C$1001)</f>
        <v>32.889086723327623</v>
      </c>
      <c r="N359">
        <v>358</v>
      </c>
      <c r="O359" t="s">
        <v>336</v>
      </c>
      <c r="P359">
        <v>1348</v>
      </c>
      <c r="Q359" s="8">
        <f>SUMIF(SoundCast_Data!$Q$2:$Q$747,RouteID_Conversion!N359,SoundCast_Data!$P$2:$P$747)</f>
        <v>269.90149307250948</v>
      </c>
    </row>
    <row r="360" spans="1:17" x14ac:dyDescent="0.25">
      <c r="A360">
        <v>250</v>
      </c>
      <c r="B360">
        <v>110359</v>
      </c>
      <c r="C360">
        <v>1</v>
      </c>
      <c r="D360" t="s">
        <v>722</v>
      </c>
      <c r="E360" t="s">
        <v>327</v>
      </c>
      <c r="F360" t="s">
        <v>722</v>
      </c>
      <c r="G360">
        <v>1</v>
      </c>
      <c r="H360">
        <v>359</v>
      </c>
      <c r="I360" t="s">
        <v>253</v>
      </c>
      <c r="J360">
        <v>1164</v>
      </c>
      <c r="K360" s="8">
        <f>SUMIF(SoundCast_Data!$A$2:$A$1001,RouteID_Conversion!$H$2:$H$999,SoundCast_Data!$C$2:$C$1001)</f>
        <v>104.00189781188951</v>
      </c>
      <c r="N360">
        <v>359</v>
      </c>
      <c r="O360" t="s">
        <v>1667</v>
      </c>
      <c r="P360">
        <v>1355</v>
      </c>
      <c r="Q360" s="8">
        <f>SUMIF(SoundCast_Data!$Q$2:$Q$747,RouteID_Conversion!N360,SoundCast_Data!$P$2:$P$747)</f>
        <v>25.350028991699158</v>
      </c>
    </row>
    <row r="361" spans="1:17" x14ac:dyDescent="0.25">
      <c r="A361">
        <v>251</v>
      </c>
      <c r="B361">
        <v>110360</v>
      </c>
      <c r="C361">
        <v>1</v>
      </c>
      <c r="D361" t="s">
        <v>723</v>
      </c>
      <c r="E361" t="s">
        <v>327</v>
      </c>
      <c r="F361" t="s">
        <v>723</v>
      </c>
      <c r="G361">
        <v>1</v>
      </c>
      <c r="H361">
        <v>360</v>
      </c>
      <c r="I361" t="s">
        <v>253</v>
      </c>
      <c r="J361">
        <v>1164</v>
      </c>
      <c r="K361" s="8">
        <f>SUMIF(SoundCast_Data!$A$2:$A$1001,RouteID_Conversion!$H$2:$H$999,SoundCast_Data!$C$2:$C$1001)</f>
        <v>162.9498138427733</v>
      </c>
      <c r="N361">
        <v>360</v>
      </c>
      <c r="O361" t="s">
        <v>581</v>
      </c>
      <c r="P361">
        <v>1358</v>
      </c>
      <c r="Q361" s="8">
        <f>SUMIF(SoundCast_Data!$Q$2:$Q$747,RouteID_Conversion!N361,SoundCast_Data!$P$2:$P$747)</f>
        <v>2692.4328002929678</v>
      </c>
    </row>
    <row r="362" spans="1:17" x14ac:dyDescent="0.25">
      <c r="A362">
        <v>121</v>
      </c>
      <c r="B362">
        <v>110361</v>
      </c>
      <c r="C362">
        <v>1</v>
      </c>
      <c r="D362" t="s">
        <v>522</v>
      </c>
      <c r="E362" t="s">
        <v>327</v>
      </c>
      <c r="F362" t="s">
        <v>522</v>
      </c>
      <c r="G362">
        <v>1</v>
      </c>
      <c r="H362">
        <v>361</v>
      </c>
      <c r="I362" t="s">
        <v>255</v>
      </c>
      <c r="J362">
        <v>1166</v>
      </c>
      <c r="K362" s="8">
        <f>SUMIF(SoundCast_Data!$A$2:$A$1001,RouteID_Conversion!$H$2:$H$999,SoundCast_Data!$C$2:$C$1001)</f>
        <v>172.86457443237293</v>
      </c>
      <c r="N362">
        <v>361</v>
      </c>
      <c r="O362" t="s">
        <v>581</v>
      </c>
      <c r="P362">
        <v>1358</v>
      </c>
      <c r="Q362" s="8">
        <f>SUMIF(SoundCast_Data!$Q$2:$Q$747,RouteID_Conversion!N362,SoundCast_Data!$P$2:$P$747)</f>
        <v>2119.402221679687</v>
      </c>
    </row>
    <row r="363" spans="1:17" x14ac:dyDescent="0.25">
      <c r="A363">
        <v>122</v>
      </c>
      <c r="B363">
        <v>110362</v>
      </c>
      <c r="C363">
        <v>1</v>
      </c>
      <c r="D363" t="s">
        <v>523</v>
      </c>
      <c r="E363" t="s">
        <v>327</v>
      </c>
      <c r="F363" t="s">
        <v>523</v>
      </c>
      <c r="G363">
        <v>1</v>
      </c>
      <c r="H363">
        <v>362</v>
      </c>
      <c r="I363" t="s">
        <v>255</v>
      </c>
      <c r="J363">
        <v>1166</v>
      </c>
      <c r="K363" s="8">
        <f>SUMIF(SoundCast_Data!$A$2:$A$1001,RouteID_Conversion!$H$2:$H$999,SoundCast_Data!$C$2:$C$1001)</f>
        <v>139.78261566162109</v>
      </c>
      <c r="N363">
        <v>362</v>
      </c>
      <c r="O363" t="s">
        <v>1104</v>
      </c>
      <c r="P363">
        <v>1372</v>
      </c>
      <c r="Q363" s="8">
        <f>SUMIF(SoundCast_Data!$Q$2:$Q$747,RouteID_Conversion!N363,SoundCast_Data!$P$2:$P$747)</f>
        <v>93.590085029601894</v>
      </c>
    </row>
    <row r="364" spans="1:17" x14ac:dyDescent="0.25">
      <c r="A364">
        <v>937</v>
      </c>
      <c r="B364">
        <v>110363</v>
      </c>
      <c r="C364">
        <v>1</v>
      </c>
      <c r="D364" t="s">
        <v>1753</v>
      </c>
      <c r="E364" t="s">
        <v>327</v>
      </c>
      <c r="F364" t="s">
        <v>1753</v>
      </c>
      <c r="G364">
        <v>1</v>
      </c>
      <c r="H364">
        <v>363</v>
      </c>
      <c r="I364" t="s">
        <v>257</v>
      </c>
      <c r="J364">
        <v>1167</v>
      </c>
      <c r="K364" s="8">
        <f>SUMIF(SoundCast_Data!$A$2:$A$1001,RouteID_Conversion!$H$2:$H$999,SoundCast_Data!$C$2:$C$1001)</f>
        <v>134.1656417846678</v>
      </c>
      <c r="N364">
        <v>363</v>
      </c>
      <c r="O364" t="s">
        <v>1104</v>
      </c>
      <c r="P364">
        <v>1372</v>
      </c>
      <c r="Q364" s="8">
        <f>SUMIF(SoundCast_Data!$Q$2:$Q$747,RouteID_Conversion!N364,SoundCast_Data!$P$2:$P$747)</f>
        <v>786.17591857910008</v>
      </c>
    </row>
    <row r="365" spans="1:17" x14ac:dyDescent="0.25">
      <c r="A365">
        <v>128</v>
      </c>
      <c r="B365">
        <v>110364</v>
      </c>
      <c r="C365">
        <v>1</v>
      </c>
      <c r="D365" t="s">
        <v>532</v>
      </c>
      <c r="E365" t="s">
        <v>327</v>
      </c>
      <c r="F365" t="s">
        <v>532</v>
      </c>
      <c r="G365">
        <v>1</v>
      </c>
      <c r="H365">
        <v>364</v>
      </c>
      <c r="I365" t="s">
        <v>259</v>
      </c>
      <c r="J365">
        <v>1168</v>
      </c>
      <c r="K365" s="8">
        <f>SUMIF(SoundCast_Data!$A$2:$A$1001,RouteID_Conversion!$H$2:$H$999,SoundCast_Data!$C$2:$C$1001)</f>
        <v>93.9238471984862</v>
      </c>
      <c r="N365">
        <v>364</v>
      </c>
      <c r="O365" t="s">
        <v>1104</v>
      </c>
      <c r="P365">
        <v>1372</v>
      </c>
      <c r="Q365" s="8">
        <f>SUMIF(SoundCast_Data!$Q$2:$Q$747,RouteID_Conversion!N365,SoundCast_Data!$P$2:$P$747)</f>
        <v>485.22413635253838</v>
      </c>
    </row>
    <row r="366" spans="1:17" x14ac:dyDescent="0.25">
      <c r="A366">
        <v>129</v>
      </c>
      <c r="B366">
        <v>110365</v>
      </c>
      <c r="C366">
        <v>1</v>
      </c>
      <c r="D366" t="s">
        <v>533</v>
      </c>
      <c r="E366" t="s">
        <v>327</v>
      </c>
      <c r="F366" t="s">
        <v>533</v>
      </c>
      <c r="G366">
        <v>1</v>
      </c>
      <c r="H366">
        <v>365</v>
      </c>
      <c r="I366" t="s">
        <v>259</v>
      </c>
      <c r="J366">
        <v>1168</v>
      </c>
      <c r="K366" s="8">
        <f>SUMIF(SoundCast_Data!$A$2:$A$1001,RouteID_Conversion!$H$2:$H$999,SoundCast_Data!$C$2:$C$1001)</f>
        <v>132.4519672393798</v>
      </c>
      <c r="N366">
        <v>365</v>
      </c>
      <c r="O366" t="s">
        <v>1104</v>
      </c>
      <c r="P366">
        <v>1372</v>
      </c>
      <c r="Q366" s="8">
        <f>SUMIF(SoundCast_Data!$Q$2:$Q$747,RouteID_Conversion!N366,SoundCast_Data!$P$2:$P$747)</f>
        <v>61.48165893554674</v>
      </c>
    </row>
    <row r="367" spans="1:17" x14ac:dyDescent="0.25">
      <c r="A367">
        <v>507</v>
      </c>
      <c r="B367">
        <v>110366</v>
      </c>
      <c r="C367">
        <v>1</v>
      </c>
      <c r="D367" t="s">
        <v>1112</v>
      </c>
      <c r="E367" t="s">
        <v>327</v>
      </c>
      <c r="F367" t="s">
        <v>1112</v>
      </c>
      <c r="G367">
        <v>1</v>
      </c>
      <c r="H367">
        <v>366</v>
      </c>
      <c r="I367" t="s">
        <v>261</v>
      </c>
      <c r="J367">
        <v>1169</v>
      </c>
      <c r="K367" s="8">
        <f>SUMIF(SoundCast_Data!$A$2:$A$1001,RouteID_Conversion!$H$2:$H$999,SoundCast_Data!$C$2:$C$1001)</f>
        <v>266.39459991455021</v>
      </c>
      <c r="N367">
        <v>366</v>
      </c>
      <c r="O367" t="s">
        <v>583</v>
      </c>
      <c r="P367">
        <v>1373</v>
      </c>
      <c r="Q367" s="8">
        <f>SUMIF(SoundCast_Data!$Q$2:$Q$747,RouteID_Conversion!N367,SoundCast_Data!$P$2:$P$747)</f>
        <v>50.320810794830265</v>
      </c>
    </row>
    <row r="368" spans="1:17" x14ac:dyDescent="0.25">
      <c r="A368">
        <v>508</v>
      </c>
      <c r="B368">
        <v>110367</v>
      </c>
      <c r="C368">
        <v>1</v>
      </c>
      <c r="D368" t="s">
        <v>1113</v>
      </c>
      <c r="E368" t="s">
        <v>327</v>
      </c>
      <c r="F368" t="s">
        <v>1113</v>
      </c>
      <c r="G368">
        <v>1</v>
      </c>
      <c r="H368">
        <v>367</v>
      </c>
      <c r="I368" t="s">
        <v>261</v>
      </c>
      <c r="J368">
        <v>1169</v>
      </c>
      <c r="K368" s="8">
        <f>SUMIF(SoundCast_Data!$A$2:$A$1001,RouteID_Conversion!$H$2:$H$999,SoundCast_Data!$C$2:$C$1001)</f>
        <v>328.71116638183457</v>
      </c>
      <c r="N368">
        <v>367</v>
      </c>
      <c r="O368" t="s">
        <v>583</v>
      </c>
      <c r="P368">
        <v>1373</v>
      </c>
      <c r="Q368" s="8">
        <f>SUMIF(SoundCast_Data!$Q$2:$Q$747,RouteID_Conversion!N368,SoundCast_Data!$P$2:$P$747)</f>
        <v>75.493745803832908</v>
      </c>
    </row>
    <row r="369" spans="1:17" x14ac:dyDescent="0.25">
      <c r="A369">
        <v>568</v>
      </c>
      <c r="B369">
        <v>110368</v>
      </c>
      <c r="C369">
        <v>1</v>
      </c>
      <c r="D369" t="s">
        <v>1199</v>
      </c>
      <c r="E369" t="s">
        <v>327</v>
      </c>
      <c r="F369" t="s">
        <v>1199</v>
      </c>
      <c r="G369">
        <v>1</v>
      </c>
      <c r="H369">
        <v>368</v>
      </c>
      <c r="I369" t="s">
        <v>263</v>
      </c>
      <c r="J369">
        <v>1173</v>
      </c>
      <c r="K369" s="8">
        <f>SUMIF(SoundCast_Data!$A$2:$A$1001,RouteID_Conversion!$H$2:$H$999,SoundCast_Data!$C$2:$C$1001)</f>
        <v>22.126908779144273</v>
      </c>
      <c r="N369">
        <v>368</v>
      </c>
      <c r="O369" t="s">
        <v>1670</v>
      </c>
      <c r="P369">
        <v>6522</v>
      </c>
      <c r="Q369" s="8">
        <f>SUMIF(SoundCast_Data!$Q$2:$Q$747,RouteID_Conversion!N369,SoundCast_Data!$P$2:$P$747)</f>
        <v>209.04560470581009</v>
      </c>
    </row>
    <row r="370" spans="1:17" x14ac:dyDescent="0.25">
      <c r="A370">
        <v>348</v>
      </c>
      <c r="B370">
        <v>110369</v>
      </c>
      <c r="C370">
        <v>1</v>
      </c>
      <c r="D370" t="s">
        <v>883</v>
      </c>
      <c r="E370" t="s">
        <v>327</v>
      </c>
      <c r="F370" t="s">
        <v>883</v>
      </c>
      <c r="G370">
        <v>1</v>
      </c>
      <c r="H370">
        <v>369</v>
      </c>
      <c r="I370" t="s">
        <v>265</v>
      </c>
      <c r="J370">
        <v>1174</v>
      </c>
      <c r="K370" s="8">
        <f>SUMIF(SoundCast_Data!$A$2:$A$1001,RouteID_Conversion!$H$2:$H$999,SoundCast_Data!$C$2:$C$1001)</f>
        <v>408.82156372070199</v>
      </c>
      <c r="N370">
        <v>369</v>
      </c>
      <c r="O370" t="s">
        <v>1670</v>
      </c>
      <c r="P370">
        <v>6522</v>
      </c>
      <c r="Q370" s="8">
        <f>SUMIF(SoundCast_Data!$Q$2:$Q$747,RouteID_Conversion!N370,SoundCast_Data!$P$2:$P$747)</f>
        <v>569.56091308593682</v>
      </c>
    </row>
    <row r="371" spans="1:17" x14ac:dyDescent="0.25">
      <c r="A371">
        <v>477</v>
      </c>
      <c r="B371">
        <v>110370</v>
      </c>
      <c r="C371">
        <v>1</v>
      </c>
      <c r="D371" t="s">
        <v>1056</v>
      </c>
      <c r="E371" t="s">
        <v>327</v>
      </c>
      <c r="F371" t="s">
        <v>1056</v>
      </c>
      <c r="G371">
        <v>1</v>
      </c>
      <c r="H371">
        <v>370</v>
      </c>
      <c r="I371" t="s">
        <v>265</v>
      </c>
      <c r="J371">
        <v>1174</v>
      </c>
      <c r="K371" s="8">
        <f>SUMIF(SoundCast_Data!$A$2:$A$1001,RouteID_Conversion!$H$2:$H$999,SoundCast_Data!$C$2:$C$1001)</f>
        <v>80.601861953735295</v>
      </c>
      <c r="N371">
        <v>370</v>
      </c>
      <c r="O371" t="s">
        <v>1670</v>
      </c>
      <c r="P371">
        <v>6522</v>
      </c>
      <c r="Q371" s="8">
        <f>SUMIF(SoundCast_Data!$Q$2:$Q$747,RouteID_Conversion!N371,SoundCast_Data!$P$2:$P$747)</f>
        <v>113.91217613220209</v>
      </c>
    </row>
    <row r="372" spans="1:17" x14ac:dyDescent="0.25">
      <c r="A372">
        <v>254</v>
      </c>
      <c r="B372">
        <v>110371</v>
      </c>
      <c r="C372">
        <v>1</v>
      </c>
      <c r="D372" t="s">
        <v>726</v>
      </c>
      <c r="E372" t="s">
        <v>327</v>
      </c>
      <c r="F372" t="s">
        <v>726</v>
      </c>
      <c r="G372">
        <v>1</v>
      </c>
      <c r="H372">
        <v>371</v>
      </c>
      <c r="I372" t="s">
        <v>265</v>
      </c>
      <c r="J372">
        <v>1174</v>
      </c>
      <c r="K372" s="8">
        <f>SUMIF(SoundCast_Data!$A$2:$A$1001,RouteID_Conversion!$H$2:$H$999,SoundCast_Data!$C$2:$C$1001)</f>
        <v>40.300930976867505</v>
      </c>
      <c r="N372">
        <v>371</v>
      </c>
      <c r="O372" t="s">
        <v>1670</v>
      </c>
      <c r="P372">
        <v>6522</v>
      </c>
      <c r="Q372" s="8">
        <f>SUMIF(SoundCast_Data!$Q$2:$Q$747,RouteID_Conversion!N372,SoundCast_Data!$P$2:$P$747)</f>
        <v>93.968729019164911</v>
      </c>
    </row>
    <row r="373" spans="1:17" x14ac:dyDescent="0.25">
      <c r="A373">
        <v>255</v>
      </c>
      <c r="B373">
        <v>110372</v>
      </c>
      <c r="C373">
        <v>1</v>
      </c>
      <c r="D373" t="s">
        <v>727</v>
      </c>
      <c r="E373" t="s">
        <v>327</v>
      </c>
      <c r="F373" t="s">
        <v>727</v>
      </c>
      <c r="G373">
        <v>1</v>
      </c>
      <c r="H373">
        <v>372</v>
      </c>
      <c r="I373" t="s">
        <v>265</v>
      </c>
      <c r="J373">
        <v>1174</v>
      </c>
      <c r="K373" s="8">
        <f>SUMIF(SoundCast_Data!$A$2:$A$1001,RouteID_Conversion!$H$2:$H$999,SoundCast_Data!$C$2:$C$1001)</f>
        <v>159.480354309082</v>
      </c>
      <c r="N373">
        <v>372</v>
      </c>
      <c r="O373" t="s">
        <v>1670</v>
      </c>
      <c r="P373">
        <v>6522</v>
      </c>
      <c r="Q373" s="8">
        <f>SUMIF(SoundCast_Data!$Q$2:$Q$747,RouteID_Conversion!N373,SoundCast_Data!$P$2:$P$747)</f>
        <v>247.38456153869569</v>
      </c>
    </row>
    <row r="374" spans="1:17" x14ac:dyDescent="0.25">
      <c r="A374">
        <v>349</v>
      </c>
      <c r="B374">
        <v>110373</v>
      </c>
      <c r="C374">
        <v>1</v>
      </c>
      <c r="D374" t="s">
        <v>884</v>
      </c>
      <c r="E374" t="s">
        <v>327</v>
      </c>
      <c r="F374" t="s">
        <v>884</v>
      </c>
      <c r="G374">
        <v>1</v>
      </c>
      <c r="H374">
        <v>373</v>
      </c>
      <c r="I374" t="s">
        <v>265</v>
      </c>
      <c r="J374">
        <v>1174</v>
      </c>
      <c r="K374" s="8">
        <f>SUMIF(SoundCast_Data!$A$2:$A$1001,RouteID_Conversion!$H$2:$H$999,SoundCast_Data!$C$2:$C$1001)</f>
        <v>39.870088577270401</v>
      </c>
      <c r="N374">
        <v>373</v>
      </c>
      <c r="O374" t="s">
        <v>399</v>
      </c>
      <c r="P374">
        <v>6540</v>
      </c>
      <c r="Q374" s="8">
        <f>SUMIF(SoundCast_Data!$Q$2:$Q$747,RouteID_Conversion!N374,SoundCast_Data!$P$2:$P$747)</f>
        <v>285.30076599121043</v>
      </c>
    </row>
    <row r="375" spans="1:17" x14ac:dyDescent="0.25">
      <c r="A375">
        <v>569</v>
      </c>
      <c r="B375">
        <v>110374</v>
      </c>
      <c r="C375">
        <v>1</v>
      </c>
      <c r="D375" t="s">
        <v>1200</v>
      </c>
      <c r="E375" t="s">
        <v>327</v>
      </c>
      <c r="F375" t="s">
        <v>1200</v>
      </c>
      <c r="G375">
        <v>1</v>
      </c>
      <c r="H375">
        <v>374</v>
      </c>
      <c r="I375" t="s">
        <v>267</v>
      </c>
      <c r="J375">
        <v>1175</v>
      </c>
      <c r="K375" s="8">
        <f>SUMIF(SoundCast_Data!$A$2:$A$1001,RouteID_Conversion!$H$2:$H$999,SoundCast_Data!$C$2:$C$1001)</f>
        <v>76.078964233398295</v>
      </c>
      <c r="N375">
        <v>374</v>
      </c>
      <c r="O375" t="s">
        <v>399</v>
      </c>
      <c r="P375">
        <v>6540</v>
      </c>
      <c r="Q375" s="8">
        <f>SUMIF(SoundCast_Data!$Q$2:$Q$747,RouteID_Conversion!N375,SoundCast_Data!$P$2:$P$747)</f>
        <v>47.550127983093226</v>
      </c>
    </row>
    <row r="376" spans="1:17" x14ac:dyDescent="0.25">
      <c r="A376">
        <v>570</v>
      </c>
      <c r="B376">
        <v>110375</v>
      </c>
      <c r="C376">
        <v>1</v>
      </c>
      <c r="D376" t="s">
        <v>1201</v>
      </c>
      <c r="E376" t="s">
        <v>327</v>
      </c>
      <c r="F376" t="s">
        <v>1201</v>
      </c>
      <c r="G376">
        <v>1</v>
      </c>
      <c r="H376">
        <v>375</v>
      </c>
      <c r="I376" t="s">
        <v>269</v>
      </c>
      <c r="J376">
        <v>1177</v>
      </c>
      <c r="K376" s="8">
        <f>SUMIF(SoundCast_Data!$A$2:$A$1001,RouteID_Conversion!$H$2:$H$999,SoundCast_Data!$C$2:$C$1001)</f>
        <v>667.35725402831906</v>
      </c>
      <c r="N376">
        <v>375</v>
      </c>
      <c r="O376" t="s">
        <v>399</v>
      </c>
      <c r="P376">
        <v>6540</v>
      </c>
      <c r="Q376" s="8">
        <f>SUMIF(SoundCast_Data!$Q$2:$Q$747,RouteID_Conversion!N376,SoundCast_Data!$P$2:$P$747)</f>
        <v>431.73196411132722</v>
      </c>
    </row>
    <row r="377" spans="1:17" x14ac:dyDescent="0.25">
      <c r="A377">
        <v>571</v>
      </c>
      <c r="B377">
        <v>110376</v>
      </c>
      <c r="C377">
        <v>1</v>
      </c>
      <c r="D377" t="s">
        <v>1202</v>
      </c>
      <c r="E377" t="s">
        <v>327</v>
      </c>
      <c r="F377" t="s">
        <v>1202</v>
      </c>
      <c r="G377">
        <v>1</v>
      </c>
      <c r="H377">
        <v>376</v>
      </c>
      <c r="I377" t="s">
        <v>271</v>
      </c>
      <c r="J377">
        <v>1179</v>
      </c>
      <c r="K377" s="8">
        <f>SUMIF(SoundCast_Data!$A$2:$A$1001,RouteID_Conversion!$H$2:$H$999,SoundCast_Data!$C$2:$C$1001)</f>
        <v>356.86673736572101</v>
      </c>
      <c r="N377">
        <v>376</v>
      </c>
      <c r="O377" t="s">
        <v>399</v>
      </c>
      <c r="P377">
        <v>6540</v>
      </c>
      <c r="Q377" s="8">
        <f>SUMIF(SoundCast_Data!$Q$2:$Q$747,RouteID_Conversion!N377,SoundCast_Data!$P$2:$P$747)</f>
        <v>71.955327987670799</v>
      </c>
    </row>
    <row r="378" spans="1:17" x14ac:dyDescent="0.25">
      <c r="A378">
        <v>808</v>
      </c>
      <c r="B378">
        <v>110377</v>
      </c>
      <c r="C378">
        <v>1</v>
      </c>
      <c r="D378" t="s">
        <v>1531</v>
      </c>
      <c r="E378" t="s">
        <v>327</v>
      </c>
      <c r="F378" t="s">
        <v>1531</v>
      </c>
      <c r="G378">
        <v>1</v>
      </c>
      <c r="H378">
        <v>377</v>
      </c>
      <c r="I378" t="s">
        <v>273</v>
      </c>
      <c r="J378">
        <v>1180</v>
      </c>
      <c r="K378" s="8">
        <f>SUMIF(SoundCast_Data!$A$2:$A$1001,RouteID_Conversion!$H$2:$H$999,SoundCast_Data!$C$2:$C$1001)</f>
        <v>120.04203033447259</v>
      </c>
      <c r="N378">
        <v>377</v>
      </c>
      <c r="O378" t="s">
        <v>1551</v>
      </c>
      <c r="P378">
        <v>6545</v>
      </c>
      <c r="Q378" s="8">
        <f>SUMIF(SoundCast_Data!$Q$2:$Q$747,RouteID_Conversion!N378,SoundCast_Data!$P$2:$P$747)</f>
        <v>98.101063728332463</v>
      </c>
    </row>
    <row r="379" spans="1:17" x14ac:dyDescent="0.25">
      <c r="A379">
        <v>809</v>
      </c>
      <c r="B379">
        <v>110378</v>
      </c>
      <c r="C379">
        <v>1</v>
      </c>
      <c r="D379" t="s">
        <v>1532</v>
      </c>
      <c r="E379" t="s">
        <v>327</v>
      </c>
      <c r="F379" t="s">
        <v>1532</v>
      </c>
      <c r="G379">
        <v>1</v>
      </c>
      <c r="H379">
        <v>378</v>
      </c>
      <c r="I379" t="s">
        <v>273</v>
      </c>
      <c r="J379">
        <v>1180</v>
      </c>
      <c r="K379" s="8">
        <f>SUMIF(SoundCast_Data!$A$2:$A$1001,RouteID_Conversion!$H$2:$H$999,SoundCast_Data!$C$2:$C$1001)</f>
        <v>300.10505676269491</v>
      </c>
      <c r="N379">
        <v>378</v>
      </c>
      <c r="O379" t="s">
        <v>1551</v>
      </c>
      <c r="P379">
        <v>6545</v>
      </c>
      <c r="Q379" s="8">
        <f>SUMIF(SoundCast_Data!$Q$2:$Q$747,RouteID_Conversion!N379,SoundCast_Data!$P$2:$P$747)</f>
        <v>98.101063728332463</v>
      </c>
    </row>
    <row r="380" spans="1:17" x14ac:dyDescent="0.25">
      <c r="A380">
        <v>810</v>
      </c>
      <c r="B380">
        <v>110379</v>
      </c>
      <c r="C380">
        <v>1</v>
      </c>
      <c r="D380" t="s">
        <v>1533</v>
      </c>
      <c r="E380" t="s">
        <v>327</v>
      </c>
      <c r="F380" t="s">
        <v>1533</v>
      </c>
      <c r="G380">
        <v>1</v>
      </c>
      <c r="H380">
        <v>379</v>
      </c>
      <c r="I380" t="s">
        <v>273</v>
      </c>
      <c r="J380">
        <v>1180</v>
      </c>
      <c r="K380" s="8">
        <f>SUMIF(SoundCast_Data!$A$2:$A$1001,RouteID_Conversion!$H$2:$H$999,SoundCast_Data!$C$2:$C$1001)</f>
        <v>243.5356445312498</v>
      </c>
      <c r="N380">
        <v>379</v>
      </c>
      <c r="O380" t="s">
        <v>1551</v>
      </c>
      <c r="P380">
        <v>6545</v>
      </c>
      <c r="Q380" s="8">
        <f>SUMIF(SoundCast_Data!$Q$2:$Q$747,RouteID_Conversion!N380,SoundCast_Data!$P$2:$P$747)</f>
        <v>147.15159606933588</v>
      </c>
    </row>
    <row r="381" spans="1:17" x14ac:dyDescent="0.25">
      <c r="A381">
        <v>350</v>
      </c>
      <c r="B381">
        <v>110380</v>
      </c>
      <c r="C381">
        <v>1</v>
      </c>
      <c r="D381" t="s">
        <v>885</v>
      </c>
      <c r="E381" t="s">
        <v>327</v>
      </c>
      <c r="F381" t="s">
        <v>885</v>
      </c>
      <c r="G381">
        <v>1</v>
      </c>
      <c r="H381">
        <v>380</v>
      </c>
      <c r="I381" t="s">
        <v>275</v>
      </c>
      <c r="J381">
        <v>1181</v>
      </c>
      <c r="K381" s="8">
        <f>SUMIF(SoundCast_Data!$A$2:$A$1001,RouteID_Conversion!$H$2:$H$999,SoundCast_Data!$C$2:$C$1001)</f>
        <v>229.5238685607909</v>
      </c>
      <c r="N381">
        <v>380</v>
      </c>
      <c r="O381" t="s">
        <v>1551</v>
      </c>
      <c r="P381">
        <v>6545</v>
      </c>
      <c r="Q381" s="8">
        <f>SUMIF(SoundCast_Data!$Q$2:$Q$747,RouteID_Conversion!N381,SoundCast_Data!$P$2:$P$747)</f>
        <v>795.88953399658067</v>
      </c>
    </row>
    <row r="382" spans="1:17" x14ac:dyDescent="0.25">
      <c r="A382">
        <v>351</v>
      </c>
      <c r="B382">
        <v>110381</v>
      </c>
      <c r="C382">
        <v>1</v>
      </c>
      <c r="D382" t="s">
        <v>886</v>
      </c>
      <c r="E382" t="s">
        <v>327</v>
      </c>
      <c r="F382" t="s">
        <v>886</v>
      </c>
      <c r="G382">
        <v>1</v>
      </c>
      <c r="H382">
        <v>381</v>
      </c>
      <c r="I382" t="s">
        <v>275</v>
      </c>
      <c r="J382">
        <v>1181</v>
      </c>
      <c r="K382" s="8">
        <f>SUMIF(SoundCast_Data!$A$2:$A$1001,RouteID_Conversion!$H$2:$H$999,SoundCast_Data!$C$2:$C$1001)</f>
        <v>234.49249267578111</v>
      </c>
      <c r="N382">
        <v>381</v>
      </c>
      <c r="O382" t="s">
        <v>1551</v>
      </c>
      <c r="P382">
        <v>6545</v>
      </c>
      <c r="Q382" s="8">
        <f>SUMIF(SoundCast_Data!$Q$2:$Q$747,RouteID_Conversion!N382,SoundCast_Data!$P$2:$P$747)</f>
        <v>98.101063728332463</v>
      </c>
    </row>
    <row r="383" spans="1:17" x14ac:dyDescent="0.25">
      <c r="A383">
        <v>352</v>
      </c>
      <c r="B383">
        <v>110382</v>
      </c>
      <c r="C383">
        <v>1</v>
      </c>
      <c r="D383" t="s">
        <v>887</v>
      </c>
      <c r="E383" t="s">
        <v>327</v>
      </c>
      <c r="F383" t="s">
        <v>887</v>
      </c>
      <c r="G383">
        <v>1</v>
      </c>
      <c r="H383">
        <v>382</v>
      </c>
      <c r="I383" t="s">
        <v>277</v>
      </c>
      <c r="J383">
        <v>1182</v>
      </c>
      <c r="K383" s="8">
        <f>SUMIF(SoundCast_Data!$A$2:$A$1001,RouteID_Conversion!$H$2:$H$999,SoundCast_Data!$C$2:$C$1001)</f>
        <v>37.644762992858801</v>
      </c>
      <c r="N383">
        <v>382</v>
      </c>
      <c r="O383" t="s">
        <v>1551</v>
      </c>
      <c r="P383">
        <v>6545</v>
      </c>
      <c r="Q383" s="8">
        <f>SUMIF(SoundCast_Data!$Q$2:$Q$747,RouteID_Conversion!N383,SoundCast_Data!$P$2:$P$747)</f>
        <v>97.275391578674146</v>
      </c>
    </row>
    <row r="384" spans="1:17" x14ac:dyDescent="0.25">
      <c r="A384">
        <v>256</v>
      </c>
      <c r="B384">
        <v>110383</v>
      </c>
      <c r="C384">
        <v>1</v>
      </c>
      <c r="D384" t="s">
        <v>728</v>
      </c>
      <c r="E384" t="s">
        <v>327</v>
      </c>
      <c r="F384" t="s">
        <v>728</v>
      </c>
      <c r="G384">
        <v>1</v>
      </c>
      <c r="H384">
        <v>383</v>
      </c>
      <c r="I384" t="s">
        <v>277</v>
      </c>
      <c r="J384">
        <v>1182</v>
      </c>
      <c r="K384" s="8">
        <f>SUMIF(SoundCast_Data!$A$2:$A$1001,RouteID_Conversion!$H$2:$H$999,SoundCast_Data!$C$2:$C$1001)</f>
        <v>77.78039360046381</v>
      </c>
      <c r="N384">
        <v>383</v>
      </c>
      <c r="O384" t="s">
        <v>1551</v>
      </c>
      <c r="P384">
        <v>6545</v>
      </c>
      <c r="Q384" s="8">
        <f>SUMIF(SoundCast_Data!$Q$2:$Q$747,RouteID_Conversion!N384,SoundCast_Data!$P$2:$P$747)</f>
        <v>97.275391578674146</v>
      </c>
    </row>
    <row r="385" spans="1:17" x14ac:dyDescent="0.25">
      <c r="A385">
        <v>257</v>
      </c>
      <c r="B385">
        <v>110384</v>
      </c>
      <c r="C385">
        <v>1</v>
      </c>
      <c r="D385" t="s">
        <v>729</v>
      </c>
      <c r="E385" t="s">
        <v>327</v>
      </c>
      <c r="F385" t="s">
        <v>729</v>
      </c>
      <c r="G385">
        <v>1</v>
      </c>
      <c r="H385">
        <v>384</v>
      </c>
      <c r="I385" t="s">
        <v>279</v>
      </c>
      <c r="J385">
        <v>1183</v>
      </c>
      <c r="K385" s="8">
        <f>SUMIF(SoundCast_Data!$A$2:$A$1001,RouteID_Conversion!$H$2:$H$999,SoundCast_Data!$C$2:$C$1001)</f>
        <v>160.0584754943846</v>
      </c>
      <c r="N385">
        <v>384</v>
      </c>
      <c r="O385" t="s">
        <v>1551</v>
      </c>
      <c r="P385">
        <v>6545</v>
      </c>
      <c r="Q385" s="8">
        <f>SUMIF(SoundCast_Data!$Q$2:$Q$747,RouteID_Conversion!N385,SoundCast_Data!$P$2:$P$747)</f>
        <v>1078.4116210937491</v>
      </c>
    </row>
    <row r="386" spans="1:17" x14ac:dyDescent="0.25">
      <c r="A386">
        <v>353</v>
      </c>
      <c r="B386">
        <v>110385</v>
      </c>
      <c r="C386">
        <v>1</v>
      </c>
      <c r="D386" t="s">
        <v>888</v>
      </c>
      <c r="E386" t="s">
        <v>327</v>
      </c>
      <c r="F386" t="s">
        <v>888</v>
      </c>
      <c r="G386">
        <v>1</v>
      </c>
      <c r="H386">
        <v>385</v>
      </c>
      <c r="I386" t="s">
        <v>279</v>
      </c>
      <c r="J386">
        <v>1183</v>
      </c>
      <c r="K386" s="8">
        <f>SUMIF(SoundCast_Data!$A$2:$A$1001,RouteID_Conversion!$H$2:$H$999,SoundCast_Data!$C$2:$C$1001)</f>
        <v>43.929999351501294</v>
      </c>
      <c r="N386">
        <v>385</v>
      </c>
      <c r="O386" t="s">
        <v>1551</v>
      </c>
      <c r="P386">
        <v>6545</v>
      </c>
      <c r="Q386" s="8">
        <f>SUMIF(SoundCast_Data!$Q$2:$Q$747,RouteID_Conversion!N386,SoundCast_Data!$P$2:$P$747)</f>
        <v>1081.586654663085</v>
      </c>
    </row>
    <row r="387" spans="1:17" x14ac:dyDescent="0.25">
      <c r="A387">
        <v>354</v>
      </c>
      <c r="B387">
        <v>110386</v>
      </c>
      <c r="C387">
        <v>1</v>
      </c>
      <c r="D387" t="s">
        <v>889</v>
      </c>
      <c r="E387" t="s">
        <v>327</v>
      </c>
      <c r="F387" t="s">
        <v>889</v>
      </c>
      <c r="G387">
        <v>1</v>
      </c>
      <c r="H387">
        <v>386</v>
      </c>
      <c r="I387" t="s">
        <v>281</v>
      </c>
      <c r="J387">
        <v>1187</v>
      </c>
      <c r="K387" s="8">
        <f>SUMIF(SoundCast_Data!$A$2:$A$1001,RouteID_Conversion!$H$2:$H$999,SoundCast_Data!$C$2:$C$1001)</f>
        <v>64.500999450683508</v>
      </c>
      <c r="N387">
        <v>386</v>
      </c>
      <c r="O387" t="s">
        <v>1585</v>
      </c>
      <c r="P387">
        <v>6550</v>
      </c>
      <c r="Q387" s="8">
        <f>SUMIF(SoundCast_Data!$Q$2:$Q$747,RouteID_Conversion!N387,SoundCast_Data!$P$2:$P$747)</f>
        <v>427.7452621459953</v>
      </c>
    </row>
    <row r="388" spans="1:17" x14ac:dyDescent="0.25">
      <c r="A388">
        <v>123</v>
      </c>
      <c r="B388">
        <v>110387</v>
      </c>
      <c r="C388">
        <v>1</v>
      </c>
      <c r="D388" t="s">
        <v>524</v>
      </c>
      <c r="E388" t="s">
        <v>327</v>
      </c>
      <c r="F388" t="s">
        <v>524</v>
      </c>
      <c r="G388">
        <v>1</v>
      </c>
      <c r="H388">
        <v>387</v>
      </c>
      <c r="I388" t="s">
        <v>281</v>
      </c>
      <c r="J388">
        <v>1187</v>
      </c>
      <c r="K388" s="8">
        <f>SUMIF(SoundCast_Data!$A$2:$A$1001,RouteID_Conversion!$H$2:$H$999,SoundCast_Data!$C$2:$C$1001)</f>
        <v>18.667805194854722</v>
      </c>
      <c r="N388">
        <v>387</v>
      </c>
      <c r="O388" t="s">
        <v>1585</v>
      </c>
      <c r="P388">
        <v>6550</v>
      </c>
      <c r="Q388" s="8">
        <f>SUMIF(SoundCast_Data!$Q$2:$Q$747,RouteID_Conversion!N388,SoundCast_Data!$P$2:$P$747)</f>
        <v>1840.990386962882</v>
      </c>
    </row>
    <row r="389" spans="1:17" x14ac:dyDescent="0.25">
      <c r="A389">
        <v>572</v>
      </c>
      <c r="B389">
        <v>110388</v>
      </c>
      <c r="C389">
        <v>1</v>
      </c>
      <c r="D389" t="s">
        <v>1203</v>
      </c>
      <c r="E389" t="s">
        <v>327</v>
      </c>
      <c r="F389" t="s">
        <v>1203</v>
      </c>
      <c r="G389">
        <v>1</v>
      </c>
      <c r="H389">
        <v>388</v>
      </c>
      <c r="I389" t="s">
        <v>283</v>
      </c>
      <c r="J389">
        <v>1190</v>
      </c>
      <c r="K389" s="8">
        <f>SUMIF(SoundCast_Data!$A$2:$A$1001,RouteID_Conversion!$H$2:$H$999,SoundCast_Data!$C$2:$C$1001)</f>
        <v>155.4752597808837</v>
      </c>
      <c r="N389">
        <v>388</v>
      </c>
      <c r="O389" t="s">
        <v>1585</v>
      </c>
      <c r="P389">
        <v>6550</v>
      </c>
      <c r="Q389" s="8">
        <f>SUMIF(SoundCast_Data!$Q$2:$Q$747,RouteID_Conversion!N389,SoundCast_Data!$P$2:$P$747)</f>
        <v>342.92570495605412</v>
      </c>
    </row>
    <row r="390" spans="1:17" x14ac:dyDescent="0.25">
      <c r="A390">
        <v>573</v>
      </c>
      <c r="B390">
        <v>110389</v>
      </c>
      <c r="C390">
        <v>1</v>
      </c>
      <c r="D390" t="s">
        <v>1204</v>
      </c>
      <c r="E390" t="s">
        <v>327</v>
      </c>
      <c r="F390" t="s">
        <v>1204</v>
      </c>
      <c r="G390">
        <v>1</v>
      </c>
      <c r="H390">
        <v>389</v>
      </c>
      <c r="I390" t="s">
        <v>285</v>
      </c>
      <c r="J390">
        <v>1192</v>
      </c>
      <c r="K390" s="8">
        <f>SUMIF(SoundCast_Data!$A$2:$A$1001,RouteID_Conversion!$H$2:$H$999,SoundCast_Data!$C$2:$C$1001)</f>
        <v>66.553162574767896</v>
      </c>
      <c r="N390">
        <v>389</v>
      </c>
      <c r="O390" t="s">
        <v>1585</v>
      </c>
      <c r="P390">
        <v>6550</v>
      </c>
      <c r="Q390" s="8">
        <f>SUMIF(SoundCast_Data!$Q$2:$Q$747,RouteID_Conversion!N390,SoundCast_Data!$P$2:$P$747)</f>
        <v>1143.085662841796</v>
      </c>
    </row>
    <row r="391" spans="1:17" x14ac:dyDescent="0.25">
      <c r="A391">
        <v>574</v>
      </c>
      <c r="B391">
        <v>110390</v>
      </c>
      <c r="C391">
        <v>1</v>
      </c>
      <c r="D391" t="s">
        <v>1205</v>
      </c>
      <c r="E391" t="s">
        <v>327</v>
      </c>
      <c r="F391" t="s">
        <v>1205</v>
      </c>
      <c r="G391">
        <v>1</v>
      </c>
      <c r="H391">
        <v>390</v>
      </c>
      <c r="I391" t="s">
        <v>285</v>
      </c>
      <c r="J391">
        <v>1192</v>
      </c>
      <c r="K391" s="8">
        <f>SUMIF(SoundCast_Data!$A$2:$A$1001,RouteID_Conversion!$H$2:$H$999,SoundCast_Data!$C$2:$C$1001)</f>
        <v>61.712776184081896</v>
      </c>
      <c r="N391">
        <v>390</v>
      </c>
      <c r="O391" t="s">
        <v>1585</v>
      </c>
      <c r="P391">
        <v>6550</v>
      </c>
      <c r="Q391" s="8">
        <f>SUMIF(SoundCast_Data!$Q$2:$Q$747,RouteID_Conversion!N391,SoundCast_Data!$P$2:$P$747)</f>
        <v>214.7822055816649</v>
      </c>
    </row>
    <row r="392" spans="1:17" x14ac:dyDescent="0.25">
      <c r="A392">
        <v>721</v>
      </c>
      <c r="B392">
        <v>110391</v>
      </c>
      <c r="C392">
        <v>1</v>
      </c>
      <c r="D392" t="s">
        <v>1408</v>
      </c>
      <c r="E392" t="s">
        <v>327</v>
      </c>
      <c r="F392" t="s">
        <v>1408</v>
      </c>
      <c r="G392">
        <v>1</v>
      </c>
      <c r="H392">
        <v>391</v>
      </c>
      <c r="I392" t="s">
        <v>287</v>
      </c>
      <c r="J392">
        <v>1196</v>
      </c>
      <c r="K392" s="8">
        <f>SUMIF(SoundCast_Data!$A$2:$A$1001,RouteID_Conversion!$H$2:$H$999,SoundCast_Data!$C$2:$C$1001)</f>
        <v>226.74800872802729</v>
      </c>
      <c r="N392">
        <v>391</v>
      </c>
      <c r="O392" t="s">
        <v>1585</v>
      </c>
      <c r="P392">
        <v>6550</v>
      </c>
      <c r="Q392" s="8">
        <f>SUMIF(SoundCast_Data!$Q$2:$Q$747,RouteID_Conversion!N392,SoundCast_Data!$P$2:$P$747)</f>
        <v>214.7822055816649</v>
      </c>
    </row>
    <row r="393" spans="1:17" x14ac:dyDescent="0.25">
      <c r="A393">
        <v>869</v>
      </c>
      <c r="B393">
        <v>110392</v>
      </c>
      <c r="C393">
        <v>1</v>
      </c>
      <c r="D393" t="s">
        <v>1636</v>
      </c>
      <c r="E393" t="s">
        <v>327</v>
      </c>
      <c r="F393" t="s">
        <v>1636</v>
      </c>
      <c r="G393">
        <v>1</v>
      </c>
      <c r="H393">
        <v>392</v>
      </c>
      <c r="I393" t="s">
        <v>289</v>
      </c>
      <c r="J393">
        <v>1197</v>
      </c>
      <c r="K393" s="8">
        <f>SUMIF(SoundCast_Data!$A$2:$A$1001,RouteID_Conversion!$H$2:$H$999,SoundCast_Data!$C$2:$C$1001)</f>
        <v>227.09779357910099</v>
      </c>
      <c r="N393">
        <v>392</v>
      </c>
      <c r="O393" t="s">
        <v>1585</v>
      </c>
      <c r="P393">
        <v>6550</v>
      </c>
      <c r="Q393" s="8">
        <f>SUMIF(SoundCast_Data!$Q$2:$Q$747,RouteID_Conversion!N393,SoundCast_Data!$P$2:$P$747)</f>
        <v>1371.7028198242181</v>
      </c>
    </row>
    <row r="394" spans="1:17" x14ac:dyDescent="0.25">
      <c r="A394">
        <v>452</v>
      </c>
      <c r="B394">
        <v>110393</v>
      </c>
      <c r="C394">
        <v>1</v>
      </c>
      <c r="D394" t="s">
        <v>1030</v>
      </c>
      <c r="E394" t="s">
        <v>327</v>
      </c>
      <c r="F394" t="s">
        <v>1030</v>
      </c>
      <c r="G394">
        <v>1</v>
      </c>
      <c r="H394">
        <v>393</v>
      </c>
      <c r="I394" t="s">
        <v>291</v>
      </c>
      <c r="J394">
        <v>1200</v>
      </c>
      <c r="K394" s="8">
        <f>SUMIF(SoundCast_Data!$A$2:$A$1001,RouteID_Conversion!$H$2:$H$999,SoundCast_Data!$C$2:$C$1001)</f>
        <v>3.0187990665435698</v>
      </c>
      <c r="N394">
        <v>393</v>
      </c>
      <c r="O394" t="s">
        <v>1585</v>
      </c>
      <c r="P394">
        <v>6550</v>
      </c>
      <c r="Q394" s="8">
        <f>SUMIF(SoundCast_Data!$Q$2:$Q$747,RouteID_Conversion!N394,SoundCast_Data!$P$2:$P$747)</f>
        <v>228.61713790893549</v>
      </c>
    </row>
    <row r="395" spans="1:17" x14ac:dyDescent="0.25">
      <c r="A395">
        <v>453</v>
      </c>
      <c r="B395">
        <v>110394</v>
      </c>
      <c r="C395">
        <v>1</v>
      </c>
      <c r="D395" t="s">
        <v>1031</v>
      </c>
      <c r="E395" t="s">
        <v>327</v>
      </c>
      <c r="F395" t="s">
        <v>1031</v>
      </c>
      <c r="G395">
        <v>1</v>
      </c>
      <c r="H395">
        <v>394</v>
      </c>
      <c r="I395" t="s">
        <v>291</v>
      </c>
      <c r="J395">
        <v>1200</v>
      </c>
      <c r="K395" s="8">
        <f>SUMIF(SoundCast_Data!$A$2:$A$1001,RouteID_Conversion!$H$2:$H$999,SoundCast_Data!$C$2:$C$1001)</f>
        <v>12.075196266174299</v>
      </c>
      <c r="N395">
        <v>394</v>
      </c>
      <c r="O395" t="s">
        <v>1590</v>
      </c>
      <c r="P395">
        <v>6554</v>
      </c>
      <c r="Q395" s="8">
        <f>SUMIF(SoundCast_Data!$Q$2:$Q$747,RouteID_Conversion!N395,SoundCast_Data!$P$2:$P$747)</f>
        <v>886.03076171874909</v>
      </c>
    </row>
    <row r="396" spans="1:17" x14ac:dyDescent="0.25">
      <c r="A396">
        <v>454</v>
      </c>
      <c r="B396">
        <v>110395</v>
      </c>
      <c r="C396">
        <v>1</v>
      </c>
      <c r="D396" t="s">
        <v>1032</v>
      </c>
      <c r="E396" t="s">
        <v>327</v>
      </c>
      <c r="F396" t="s">
        <v>1032</v>
      </c>
      <c r="G396">
        <v>1</v>
      </c>
      <c r="H396">
        <v>395</v>
      </c>
      <c r="I396" t="s">
        <v>291</v>
      </c>
      <c r="J396">
        <v>1200</v>
      </c>
      <c r="K396" s="8">
        <f>SUMIF(SoundCast_Data!$A$2:$A$1001,RouteID_Conversion!$H$2:$H$999,SoundCast_Data!$C$2:$C$1001)</f>
        <v>26.606390953063951</v>
      </c>
      <c r="N396">
        <v>395</v>
      </c>
      <c r="O396" t="s">
        <v>1590</v>
      </c>
      <c r="P396">
        <v>6554</v>
      </c>
      <c r="Q396" s="8">
        <f>SUMIF(SoundCast_Data!$Q$2:$Q$747,RouteID_Conversion!N396,SoundCast_Data!$P$2:$P$747)</f>
        <v>886.03076171874909</v>
      </c>
    </row>
    <row r="397" spans="1:17" x14ac:dyDescent="0.25">
      <c r="A397">
        <v>355</v>
      </c>
      <c r="B397">
        <v>110396</v>
      </c>
      <c r="C397">
        <v>1</v>
      </c>
      <c r="D397" t="s">
        <v>890</v>
      </c>
      <c r="E397" t="s">
        <v>327</v>
      </c>
      <c r="F397" t="s">
        <v>890</v>
      </c>
      <c r="G397">
        <v>1</v>
      </c>
      <c r="H397">
        <v>396</v>
      </c>
      <c r="I397" t="s">
        <v>293</v>
      </c>
      <c r="J397">
        <v>1201</v>
      </c>
      <c r="K397" s="8">
        <f>SUMIF(SoundCast_Data!$A$2:$A$1001,RouteID_Conversion!$H$2:$H$999,SoundCast_Data!$C$2:$C$1001)</f>
        <v>22.849999427795399</v>
      </c>
      <c r="N397">
        <v>396</v>
      </c>
      <c r="O397" t="s">
        <v>1590</v>
      </c>
      <c r="P397">
        <v>6554</v>
      </c>
      <c r="Q397" s="8">
        <f>SUMIF(SoundCast_Data!$Q$2:$Q$747,RouteID_Conversion!N397,SoundCast_Data!$P$2:$P$747)</f>
        <v>869.99514770507801</v>
      </c>
    </row>
    <row r="398" spans="1:17" x14ac:dyDescent="0.25">
      <c r="A398">
        <v>828</v>
      </c>
      <c r="B398">
        <v>110397</v>
      </c>
      <c r="C398">
        <v>1</v>
      </c>
      <c r="D398" t="s">
        <v>1563</v>
      </c>
      <c r="E398" t="s">
        <v>327</v>
      </c>
      <c r="F398" t="s">
        <v>1563</v>
      </c>
      <c r="G398">
        <v>1</v>
      </c>
      <c r="H398">
        <v>397</v>
      </c>
      <c r="I398" t="s">
        <v>295</v>
      </c>
      <c r="J398">
        <v>1202</v>
      </c>
      <c r="K398" s="8">
        <f>SUMIF(SoundCast_Data!$A$2:$A$1001,RouteID_Conversion!$H$2:$H$999,SoundCast_Data!$C$2:$C$1001)</f>
        <v>296.2908706665026</v>
      </c>
      <c r="N398">
        <v>397</v>
      </c>
      <c r="O398" t="s">
        <v>1590</v>
      </c>
      <c r="P398">
        <v>6554</v>
      </c>
      <c r="Q398" s="8">
        <f>SUMIF(SoundCast_Data!$Q$2:$Q$747,RouteID_Conversion!N398,SoundCast_Data!$P$2:$P$747)</f>
        <v>870.78631591796795</v>
      </c>
    </row>
    <row r="399" spans="1:17" x14ac:dyDescent="0.25">
      <c r="A399">
        <v>829</v>
      </c>
      <c r="B399">
        <v>110398</v>
      </c>
      <c r="C399">
        <v>1</v>
      </c>
      <c r="D399" t="s">
        <v>1564</v>
      </c>
      <c r="E399" t="s">
        <v>327</v>
      </c>
      <c r="F399" t="s">
        <v>1564</v>
      </c>
      <c r="G399">
        <v>1</v>
      </c>
      <c r="H399">
        <v>398</v>
      </c>
      <c r="I399" t="s">
        <v>295</v>
      </c>
      <c r="J399">
        <v>1202</v>
      </c>
      <c r="K399" s="8">
        <f>SUMIF(SoundCast_Data!$A$2:$A$1001,RouteID_Conversion!$H$2:$H$999,SoundCast_Data!$C$2:$C$1001)</f>
        <v>74.072717666625806</v>
      </c>
      <c r="N399">
        <v>398</v>
      </c>
      <c r="O399" t="s">
        <v>1590</v>
      </c>
      <c r="P399">
        <v>6554</v>
      </c>
      <c r="Q399" s="8">
        <f>SUMIF(SoundCast_Data!$Q$2:$Q$747,RouteID_Conversion!N399,SoundCast_Data!$P$2:$P$747)</f>
        <v>349.17793464660576</v>
      </c>
    </row>
    <row r="400" spans="1:17" x14ac:dyDescent="0.25">
      <c r="A400">
        <v>830</v>
      </c>
      <c r="B400">
        <v>110399</v>
      </c>
      <c r="C400">
        <v>1</v>
      </c>
      <c r="D400" t="s">
        <v>1565</v>
      </c>
      <c r="E400" t="s">
        <v>327</v>
      </c>
      <c r="F400" t="s">
        <v>1565</v>
      </c>
      <c r="G400">
        <v>1</v>
      </c>
      <c r="H400">
        <v>399</v>
      </c>
      <c r="I400" t="s">
        <v>295</v>
      </c>
      <c r="J400">
        <v>1202</v>
      </c>
      <c r="K400" s="8">
        <f>SUMIF(SoundCast_Data!$A$2:$A$1001,RouteID_Conversion!$H$2:$H$999,SoundCast_Data!$C$2:$C$1001)</f>
        <v>31.756323814391997</v>
      </c>
      <c r="N400">
        <v>399</v>
      </c>
      <c r="O400" t="s">
        <v>1590</v>
      </c>
      <c r="P400">
        <v>6554</v>
      </c>
      <c r="Q400" s="8">
        <f>SUMIF(SoundCast_Data!$Q$2:$Q$747,RouteID_Conversion!N400,SoundCast_Data!$P$2:$P$747)</f>
        <v>785.65028762817292</v>
      </c>
    </row>
    <row r="401" spans="1:17" x14ac:dyDescent="0.25">
      <c r="A401">
        <v>527</v>
      </c>
      <c r="B401">
        <v>110400</v>
      </c>
      <c r="C401">
        <v>1</v>
      </c>
      <c r="D401" t="s">
        <v>1138</v>
      </c>
      <c r="E401" t="s">
        <v>327</v>
      </c>
      <c r="F401" t="s">
        <v>1138</v>
      </c>
      <c r="G401">
        <v>1</v>
      </c>
      <c r="H401">
        <v>400</v>
      </c>
      <c r="I401" t="s">
        <v>297</v>
      </c>
      <c r="J401">
        <v>1203</v>
      </c>
      <c r="K401" s="8">
        <f>SUMIF(SoundCast_Data!$A$2:$A$1001,RouteID_Conversion!$H$2:$H$999,SoundCast_Data!$C$2:$C$1001)</f>
        <v>3.9064102768897899</v>
      </c>
      <c r="N401">
        <v>400</v>
      </c>
      <c r="O401" t="s">
        <v>1590</v>
      </c>
      <c r="P401">
        <v>6554</v>
      </c>
      <c r="Q401" s="8">
        <f>SUMIF(SoundCast_Data!$Q$2:$Q$747,RouteID_Conversion!N401,SoundCast_Data!$P$2:$P$747)</f>
        <v>714.159278869628</v>
      </c>
    </row>
    <row r="402" spans="1:17" x14ac:dyDescent="0.25">
      <c r="A402">
        <v>101</v>
      </c>
      <c r="B402">
        <v>110401</v>
      </c>
      <c r="C402">
        <v>1</v>
      </c>
      <c r="D402" t="s">
        <v>483</v>
      </c>
      <c r="E402" t="s">
        <v>327</v>
      </c>
      <c r="F402" t="s">
        <v>483</v>
      </c>
      <c r="G402">
        <v>1</v>
      </c>
      <c r="H402">
        <v>401</v>
      </c>
      <c r="I402" t="s">
        <v>297</v>
      </c>
      <c r="J402">
        <v>1203</v>
      </c>
      <c r="K402" s="8">
        <f>SUMIF(SoundCast_Data!$A$2:$A$1001,RouteID_Conversion!$H$2:$H$999,SoundCast_Data!$C$2:$C$1001)</f>
        <v>7.9378205537795896</v>
      </c>
      <c r="N402">
        <v>401</v>
      </c>
      <c r="O402" t="s">
        <v>1789</v>
      </c>
      <c r="P402">
        <v>6555</v>
      </c>
      <c r="Q402" s="8">
        <f>SUMIF(SoundCast_Data!$Q$2:$Q$747,RouteID_Conversion!N402,SoundCast_Data!$P$2:$P$747)</f>
        <v>82.434753417968594</v>
      </c>
    </row>
    <row r="403" spans="1:17" x14ac:dyDescent="0.25">
      <c r="A403">
        <v>102</v>
      </c>
      <c r="B403">
        <v>110402</v>
      </c>
      <c r="C403">
        <v>1</v>
      </c>
      <c r="D403" t="s">
        <v>484</v>
      </c>
      <c r="E403" t="s">
        <v>327</v>
      </c>
      <c r="F403" t="s">
        <v>484</v>
      </c>
      <c r="G403">
        <v>1</v>
      </c>
      <c r="H403">
        <v>402</v>
      </c>
      <c r="I403" t="s">
        <v>297</v>
      </c>
      <c r="J403">
        <v>1203</v>
      </c>
      <c r="K403" s="8">
        <f>SUMIF(SoundCast_Data!$A$2:$A$1001,RouteID_Conversion!$H$2:$H$999,SoundCast_Data!$C$2:$C$1001)</f>
        <v>12.094230890274039</v>
      </c>
      <c r="N403">
        <v>402</v>
      </c>
      <c r="O403" t="s">
        <v>1803</v>
      </c>
      <c r="P403">
        <v>6556</v>
      </c>
      <c r="Q403" s="8">
        <f>SUMIF(SoundCast_Data!$Q$2:$Q$747,RouteID_Conversion!N403,SoundCast_Data!$P$2:$P$747)</f>
        <v>77.340293884277258</v>
      </c>
    </row>
    <row r="404" spans="1:17" x14ac:dyDescent="0.25">
      <c r="A404">
        <v>261</v>
      </c>
      <c r="B404">
        <v>110403</v>
      </c>
      <c r="C404">
        <v>1</v>
      </c>
      <c r="D404" t="s">
        <v>733</v>
      </c>
      <c r="E404" t="s">
        <v>327</v>
      </c>
      <c r="F404" t="s">
        <v>733</v>
      </c>
      <c r="G404">
        <v>1</v>
      </c>
      <c r="H404">
        <v>403</v>
      </c>
      <c r="I404" t="s">
        <v>297</v>
      </c>
      <c r="J404">
        <v>1203</v>
      </c>
      <c r="K404" s="8">
        <f>SUMIF(SoundCast_Data!$A$2:$A$1001,RouteID_Conversion!$H$2:$H$999,SoundCast_Data!$C$2:$C$1001)</f>
        <v>0</v>
      </c>
      <c r="N404">
        <v>403</v>
      </c>
      <c r="O404" t="s">
        <v>1792</v>
      </c>
      <c r="P404">
        <v>6560</v>
      </c>
      <c r="Q404" s="8">
        <f>SUMIF(SoundCast_Data!$Q$2:$Q$747,RouteID_Conversion!N404,SoundCast_Data!$P$2:$P$747)</f>
        <v>360.37573623657204</v>
      </c>
    </row>
    <row r="405" spans="1:17" x14ac:dyDescent="0.25">
      <c r="A405">
        <v>262</v>
      </c>
      <c r="B405">
        <v>110404</v>
      </c>
      <c r="C405">
        <v>1</v>
      </c>
      <c r="D405" t="s">
        <v>734</v>
      </c>
      <c r="E405" t="s">
        <v>327</v>
      </c>
      <c r="F405" t="s">
        <v>734</v>
      </c>
      <c r="G405">
        <v>1</v>
      </c>
      <c r="H405">
        <v>404</v>
      </c>
      <c r="I405" t="s">
        <v>297</v>
      </c>
      <c r="J405">
        <v>1203</v>
      </c>
      <c r="K405" s="8">
        <f>SUMIF(SoundCast_Data!$A$2:$A$1001,RouteID_Conversion!$H$2:$H$999,SoundCast_Data!$C$2:$C$1001)</f>
        <v>0</v>
      </c>
      <c r="N405">
        <v>404</v>
      </c>
      <c r="O405" t="s">
        <v>1792</v>
      </c>
      <c r="P405">
        <v>6560</v>
      </c>
      <c r="Q405" s="8">
        <f>SUMIF(SoundCast_Data!$Q$2:$Q$747,RouteID_Conversion!N405,SoundCast_Data!$P$2:$P$747)</f>
        <v>334.7922973632808</v>
      </c>
    </row>
    <row r="406" spans="1:17" x14ac:dyDescent="0.25">
      <c r="A406">
        <v>427</v>
      </c>
      <c r="B406">
        <v>110405</v>
      </c>
      <c r="C406">
        <v>1</v>
      </c>
      <c r="D406" t="s">
        <v>985</v>
      </c>
      <c r="E406" t="s">
        <v>327</v>
      </c>
      <c r="F406" t="s">
        <v>985</v>
      </c>
      <c r="G406">
        <v>1</v>
      </c>
      <c r="H406">
        <v>405</v>
      </c>
      <c r="I406" t="s">
        <v>299</v>
      </c>
      <c r="J406">
        <v>1204</v>
      </c>
      <c r="K406" s="8">
        <f>SUMIF(SoundCast_Data!$A$2:$A$1001,RouteID_Conversion!$H$2:$H$999,SoundCast_Data!$C$2:$C$1001)</f>
        <v>30.446620941162088</v>
      </c>
      <c r="N406">
        <v>405</v>
      </c>
      <c r="O406" t="s">
        <v>1792</v>
      </c>
      <c r="P406">
        <v>6560</v>
      </c>
      <c r="Q406" s="8">
        <f>SUMIF(SoundCast_Data!$Q$2:$Q$747,RouteID_Conversion!N406,SoundCast_Data!$P$2:$P$747)</f>
        <v>255.62671661376871</v>
      </c>
    </row>
    <row r="407" spans="1:17" x14ac:dyDescent="0.25">
      <c r="A407">
        <v>356</v>
      </c>
      <c r="B407">
        <v>110406</v>
      </c>
      <c r="C407">
        <v>1</v>
      </c>
      <c r="D407" t="s">
        <v>891</v>
      </c>
      <c r="E407" t="s">
        <v>327</v>
      </c>
      <c r="F407" t="s">
        <v>891</v>
      </c>
      <c r="G407">
        <v>1</v>
      </c>
      <c r="H407">
        <v>406</v>
      </c>
      <c r="I407" t="s">
        <v>299</v>
      </c>
      <c r="J407">
        <v>1204</v>
      </c>
      <c r="K407" s="8">
        <f>SUMIF(SoundCast_Data!$A$2:$A$1001,RouteID_Conversion!$H$2:$H$999,SoundCast_Data!$C$2:$C$1001)</f>
        <v>66.817966461181499</v>
      </c>
      <c r="N407">
        <v>406</v>
      </c>
      <c r="O407" t="s">
        <v>1792</v>
      </c>
      <c r="P407">
        <v>6560</v>
      </c>
      <c r="Q407" s="8">
        <f>SUMIF(SoundCast_Data!$Q$2:$Q$747,RouteID_Conversion!N407,SoundCast_Data!$P$2:$P$747)</f>
        <v>69.341413497924705</v>
      </c>
    </row>
    <row r="408" spans="1:17" x14ac:dyDescent="0.25">
      <c r="A408">
        <v>870</v>
      </c>
      <c r="B408">
        <v>110407</v>
      </c>
      <c r="C408">
        <v>1</v>
      </c>
      <c r="D408" t="s">
        <v>1637</v>
      </c>
      <c r="E408" t="s">
        <v>327</v>
      </c>
      <c r="F408" t="s">
        <v>1637</v>
      </c>
      <c r="G408">
        <v>1</v>
      </c>
      <c r="H408">
        <v>407</v>
      </c>
      <c r="I408" t="s">
        <v>301</v>
      </c>
      <c r="J408">
        <v>1205</v>
      </c>
      <c r="K408" s="8">
        <f>SUMIF(SoundCast_Data!$A$2:$A$1001,RouteID_Conversion!$H$2:$H$999,SoundCast_Data!$C$2:$C$1001)</f>
        <v>55.641666412353395</v>
      </c>
      <c r="N408">
        <v>407</v>
      </c>
      <c r="O408" t="s">
        <v>1792</v>
      </c>
      <c r="P408">
        <v>6560</v>
      </c>
      <c r="Q408" s="8">
        <f>SUMIF(SoundCast_Data!$Q$2:$Q$747,RouteID_Conversion!N408,SoundCast_Data!$P$2:$P$747)</f>
        <v>100.44731903076161</v>
      </c>
    </row>
    <row r="409" spans="1:17" x14ac:dyDescent="0.25">
      <c r="A409">
        <v>871</v>
      </c>
      <c r="B409">
        <v>110408</v>
      </c>
      <c r="C409">
        <v>1</v>
      </c>
      <c r="D409" t="s">
        <v>1638</v>
      </c>
      <c r="E409" t="s">
        <v>327</v>
      </c>
      <c r="F409" t="s">
        <v>1638</v>
      </c>
      <c r="G409">
        <v>1</v>
      </c>
      <c r="H409">
        <v>408</v>
      </c>
      <c r="I409" t="s">
        <v>301</v>
      </c>
      <c r="J409">
        <v>1205</v>
      </c>
      <c r="K409" s="8">
        <f>SUMIF(SoundCast_Data!$A$2:$A$1001,RouteID_Conversion!$H$2:$H$999,SoundCast_Data!$C$2:$C$1001)</f>
        <v>112.17222213745099</v>
      </c>
      <c r="N409">
        <v>408</v>
      </c>
      <c r="O409" t="s">
        <v>1806</v>
      </c>
      <c r="P409">
        <v>6566</v>
      </c>
      <c r="Q409" s="8">
        <f>SUMIF(SoundCast_Data!$Q$2:$Q$747,RouteID_Conversion!N409,SoundCast_Data!$P$2:$P$747)</f>
        <v>476.01382446289017</v>
      </c>
    </row>
    <row r="410" spans="1:17" x14ac:dyDescent="0.25">
      <c r="A410">
        <v>533</v>
      </c>
      <c r="B410">
        <v>110409</v>
      </c>
      <c r="C410">
        <v>1</v>
      </c>
      <c r="D410" t="s">
        <v>1146</v>
      </c>
      <c r="E410" t="s">
        <v>327</v>
      </c>
      <c r="F410" t="s">
        <v>1146</v>
      </c>
      <c r="G410">
        <v>1</v>
      </c>
      <c r="H410">
        <v>409</v>
      </c>
      <c r="I410" t="s">
        <v>303</v>
      </c>
      <c r="J410">
        <v>1206</v>
      </c>
      <c r="K410" s="8">
        <f>SUMIF(SoundCast_Data!$A$2:$A$1001,RouteID_Conversion!$H$2:$H$999,SoundCast_Data!$C$2:$C$1001)</f>
        <v>4.2067078351974398</v>
      </c>
      <c r="N410">
        <v>409</v>
      </c>
      <c r="O410" t="s">
        <v>1806</v>
      </c>
      <c r="P410">
        <v>6566</v>
      </c>
      <c r="Q410" s="8">
        <f>SUMIF(SoundCast_Data!$Q$2:$Q$747,RouteID_Conversion!N410,SoundCast_Data!$P$2:$P$747)</f>
        <v>97.85956430435165</v>
      </c>
    </row>
    <row r="411" spans="1:17" x14ac:dyDescent="0.25">
      <c r="A411">
        <v>357</v>
      </c>
      <c r="B411">
        <v>110410</v>
      </c>
      <c r="C411">
        <v>1</v>
      </c>
      <c r="D411" t="s">
        <v>892</v>
      </c>
      <c r="E411" t="s">
        <v>327</v>
      </c>
      <c r="F411" t="s">
        <v>892</v>
      </c>
      <c r="G411">
        <v>1</v>
      </c>
      <c r="H411">
        <v>410</v>
      </c>
      <c r="I411" t="s">
        <v>305</v>
      </c>
      <c r="J411">
        <v>1207</v>
      </c>
      <c r="K411" s="8">
        <f>SUMIF(SoundCast_Data!$A$2:$A$1001,RouteID_Conversion!$H$2:$H$999,SoundCast_Data!$C$2:$C$1001)</f>
        <v>14.836272239685051</v>
      </c>
      <c r="N411">
        <v>410</v>
      </c>
      <c r="O411" t="s">
        <v>1806</v>
      </c>
      <c r="P411">
        <v>6566</v>
      </c>
      <c r="Q411" s="8">
        <f>SUMIF(SoundCast_Data!$Q$2:$Q$747,RouteID_Conversion!N411,SoundCast_Data!$P$2:$P$747)</f>
        <v>65.239706993102956</v>
      </c>
    </row>
    <row r="412" spans="1:17" x14ac:dyDescent="0.25">
      <c r="A412">
        <v>541</v>
      </c>
      <c r="B412">
        <v>110411</v>
      </c>
      <c r="C412">
        <v>1</v>
      </c>
      <c r="D412" t="s">
        <v>1154</v>
      </c>
      <c r="E412" t="s">
        <v>327</v>
      </c>
      <c r="F412" t="s">
        <v>1154</v>
      </c>
      <c r="G412">
        <v>1</v>
      </c>
      <c r="H412">
        <v>411</v>
      </c>
      <c r="I412" t="s">
        <v>307</v>
      </c>
      <c r="J412">
        <v>1208</v>
      </c>
      <c r="K412" s="8">
        <f>SUMIF(SoundCast_Data!$A$2:$A$1001,RouteID_Conversion!$H$2:$H$999,SoundCast_Data!$C$2:$C$1001)</f>
        <v>14.29509210586547</v>
      </c>
      <c r="N412">
        <v>411</v>
      </c>
      <c r="O412" t="s">
        <v>1806</v>
      </c>
      <c r="P412">
        <v>6566</v>
      </c>
      <c r="Q412" s="8">
        <f>SUMIF(SoundCast_Data!$Q$2:$Q$747,RouteID_Conversion!N412,SoundCast_Data!$P$2:$P$747)</f>
        <v>293.57865524291952</v>
      </c>
    </row>
    <row r="413" spans="1:17" x14ac:dyDescent="0.25">
      <c r="A413">
        <v>534</v>
      </c>
      <c r="B413">
        <v>110412</v>
      </c>
      <c r="C413">
        <v>1</v>
      </c>
      <c r="D413" t="s">
        <v>1147</v>
      </c>
      <c r="E413" t="s">
        <v>327</v>
      </c>
      <c r="F413" t="s">
        <v>1147</v>
      </c>
      <c r="G413">
        <v>1</v>
      </c>
      <c r="H413">
        <v>412</v>
      </c>
      <c r="I413" t="s">
        <v>309</v>
      </c>
      <c r="J413">
        <v>1209</v>
      </c>
      <c r="K413" s="8">
        <f>SUMIF(SoundCast_Data!$A$2:$A$1001,RouteID_Conversion!$H$2:$H$999,SoundCast_Data!$C$2:$C$1001)</f>
        <v>23.378986358642489</v>
      </c>
      <c r="N413">
        <v>412</v>
      </c>
      <c r="O413" t="s">
        <v>1209</v>
      </c>
      <c r="P413">
        <v>6577</v>
      </c>
      <c r="Q413" s="8">
        <f>SUMIF(SoundCast_Data!$Q$2:$Q$747,RouteID_Conversion!N413,SoundCast_Data!$P$2:$P$747)</f>
        <v>56.834168434142946</v>
      </c>
    </row>
    <row r="414" spans="1:17" x14ac:dyDescent="0.25">
      <c r="A414">
        <v>536</v>
      </c>
      <c r="B414">
        <v>110413</v>
      </c>
      <c r="C414">
        <v>1</v>
      </c>
      <c r="D414" t="s">
        <v>1149</v>
      </c>
      <c r="E414" t="s">
        <v>327</v>
      </c>
      <c r="F414" t="s">
        <v>1149</v>
      </c>
      <c r="G414">
        <v>1</v>
      </c>
      <c r="H414">
        <v>413</v>
      </c>
      <c r="I414" t="s">
        <v>309</v>
      </c>
      <c r="J414">
        <v>1209</v>
      </c>
      <c r="K414" s="8">
        <f>SUMIF(SoundCast_Data!$A$2:$A$1001,RouteID_Conversion!$H$2:$H$999,SoundCast_Data!$C$2:$C$1001)</f>
        <v>27.036517143249419</v>
      </c>
      <c r="N414">
        <v>413</v>
      </c>
      <c r="O414" t="s">
        <v>427</v>
      </c>
      <c r="P414">
        <v>6599</v>
      </c>
      <c r="Q414" s="8">
        <f>SUMIF(SoundCast_Data!$Q$2:$Q$747,RouteID_Conversion!N414,SoundCast_Data!$P$2:$P$747)</f>
        <v>5.8309082984924228</v>
      </c>
    </row>
    <row r="415" spans="1:17" x14ac:dyDescent="0.25">
      <c r="A415">
        <v>535</v>
      </c>
      <c r="B415">
        <v>110414</v>
      </c>
      <c r="C415">
        <v>1</v>
      </c>
      <c r="D415" t="s">
        <v>1148</v>
      </c>
      <c r="E415" t="s">
        <v>327</v>
      </c>
      <c r="F415" t="s">
        <v>1148</v>
      </c>
      <c r="G415">
        <v>1</v>
      </c>
      <c r="H415">
        <v>414</v>
      </c>
      <c r="I415" t="s">
        <v>309</v>
      </c>
      <c r="J415">
        <v>1209</v>
      </c>
      <c r="K415" s="8">
        <f>SUMIF(SoundCast_Data!$A$2:$A$1001,RouteID_Conversion!$H$2:$H$999,SoundCast_Data!$C$2:$C$1001)</f>
        <v>13.51825857162474</v>
      </c>
      <c r="N415">
        <v>414</v>
      </c>
      <c r="O415" t="s">
        <v>427</v>
      </c>
      <c r="P415">
        <v>6599</v>
      </c>
      <c r="Q415" s="8">
        <f>SUMIF(SoundCast_Data!$Q$2:$Q$747,RouteID_Conversion!N415,SoundCast_Data!$P$2:$P$747)</f>
        <v>11.994395017623891</v>
      </c>
    </row>
    <row r="416" spans="1:17" x14ac:dyDescent="0.25">
      <c r="A416">
        <v>831</v>
      </c>
      <c r="B416">
        <v>110415</v>
      </c>
      <c r="C416">
        <v>1</v>
      </c>
      <c r="D416" t="s">
        <v>1566</v>
      </c>
      <c r="E416" t="s">
        <v>327</v>
      </c>
      <c r="F416" t="s">
        <v>1566</v>
      </c>
      <c r="G416">
        <v>1</v>
      </c>
      <c r="H416">
        <v>415</v>
      </c>
      <c r="I416" t="s">
        <v>311</v>
      </c>
      <c r="J416">
        <v>1210</v>
      </c>
      <c r="K416" s="8">
        <f>SUMIF(SoundCast_Data!$A$2:$A$1001,RouteID_Conversion!$H$2:$H$999,SoundCast_Data!$C$2:$C$1001)</f>
        <v>138.5481529235839</v>
      </c>
      <c r="N416">
        <v>415</v>
      </c>
      <c r="O416" t="s">
        <v>427</v>
      </c>
      <c r="P416">
        <v>6599</v>
      </c>
      <c r="Q416" s="8">
        <f>SUMIF(SoundCast_Data!$Q$2:$Q$747,RouteID_Conversion!N416,SoundCast_Data!$P$2:$P$747)</f>
        <v>380.72440719604458</v>
      </c>
    </row>
    <row r="417" spans="1:17" x14ac:dyDescent="0.25">
      <c r="A417">
        <v>832</v>
      </c>
      <c r="B417">
        <v>110416</v>
      </c>
      <c r="C417">
        <v>1</v>
      </c>
      <c r="D417" t="s">
        <v>1567</v>
      </c>
      <c r="E417" t="s">
        <v>327</v>
      </c>
      <c r="F417" t="s">
        <v>1567</v>
      </c>
      <c r="G417">
        <v>1</v>
      </c>
      <c r="H417">
        <v>416</v>
      </c>
      <c r="I417" t="s">
        <v>313</v>
      </c>
      <c r="J417">
        <v>1211</v>
      </c>
      <c r="K417" s="8">
        <f>SUMIF(SoundCast_Data!$A$2:$A$1001,RouteID_Conversion!$H$2:$H$999,SoundCast_Data!$C$2:$C$1001)</f>
        <v>97.461021423339716</v>
      </c>
      <c r="N417">
        <v>416</v>
      </c>
      <c r="O417" t="s">
        <v>427</v>
      </c>
      <c r="P417">
        <v>6599</v>
      </c>
      <c r="Q417" s="8">
        <f>SUMIF(SoundCast_Data!$Q$2:$Q$747,RouteID_Conversion!N417,SoundCast_Data!$P$2:$P$747)</f>
        <v>1106.469406127929</v>
      </c>
    </row>
    <row r="418" spans="1:17" x14ac:dyDescent="0.25">
      <c r="A418">
        <v>833</v>
      </c>
      <c r="B418">
        <v>110417</v>
      </c>
      <c r="C418">
        <v>1</v>
      </c>
      <c r="D418" t="s">
        <v>1568</v>
      </c>
      <c r="E418" t="s">
        <v>327</v>
      </c>
      <c r="F418" t="s">
        <v>1568</v>
      </c>
      <c r="G418">
        <v>1</v>
      </c>
      <c r="H418">
        <v>417</v>
      </c>
      <c r="I418" t="s">
        <v>315</v>
      </c>
      <c r="J418">
        <v>1212</v>
      </c>
      <c r="K418" s="8">
        <f>SUMIF(SoundCast_Data!$A$2:$A$1001,RouteID_Conversion!$H$2:$H$999,SoundCast_Data!$C$2:$C$1001)</f>
        <v>182.00468826293928</v>
      </c>
      <c r="N418">
        <v>417</v>
      </c>
      <c r="O418" t="s">
        <v>427</v>
      </c>
      <c r="P418">
        <v>6599</v>
      </c>
      <c r="Q418" s="8">
        <f>SUMIF(SoundCast_Data!$Q$2:$Q$747,RouteID_Conversion!N418,SoundCast_Data!$P$2:$P$747)</f>
        <v>12.01746463775633</v>
      </c>
    </row>
    <row r="419" spans="1:17" x14ac:dyDescent="0.25">
      <c r="A419">
        <v>834</v>
      </c>
      <c r="B419">
        <v>110418</v>
      </c>
      <c r="C419">
        <v>1</v>
      </c>
      <c r="D419" t="s">
        <v>1569</v>
      </c>
      <c r="E419" t="s">
        <v>327</v>
      </c>
      <c r="F419" t="s">
        <v>1569</v>
      </c>
      <c r="G419">
        <v>1</v>
      </c>
      <c r="H419">
        <v>418</v>
      </c>
      <c r="I419" t="s">
        <v>315</v>
      </c>
      <c r="J419">
        <v>1212</v>
      </c>
      <c r="K419" s="8">
        <f>SUMIF(SoundCast_Data!$A$2:$A$1001,RouteID_Conversion!$H$2:$H$999,SoundCast_Data!$C$2:$C$1001)</f>
        <v>448.360130310057</v>
      </c>
      <c r="N419">
        <v>418</v>
      </c>
      <c r="O419" t="s">
        <v>1752</v>
      </c>
      <c r="P419">
        <v>1661</v>
      </c>
      <c r="Q419" s="8">
        <f>SUMIF(SoundCast_Data!$Q$2:$Q$747,RouteID_Conversion!N419,SoundCast_Data!$P$2:$P$747)</f>
        <v>0.61812762171029967</v>
      </c>
    </row>
    <row r="420" spans="1:17" x14ac:dyDescent="0.25">
      <c r="A420">
        <v>835</v>
      </c>
      <c r="B420">
        <v>110419</v>
      </c>
      <c r="C420">
        <v>1</v>
      </c>
      <c r="D420" t="s">
        <v>1570</v>
      </c>
      <c r="E420" t="s">
        <v>327</v>
      </c>
      <c r="F420" t="s">
        <v>1570</v>
      </c>
      <c r="G420">
        <v>1</v>
      </c>
      <c r="H420">
        <v>419</v>
      </c>
      <c r="I420" t="s">
        <v>315</v>
      </c>
      <c r="J420">
        <v>1212</v>
      </c>
      <c r="K420" s="8">
        <f>SUMIF(SoundCast_Data!$A$2:$A$1001,RouteID_Conversion!$H$2:$H$999,SoundCast_Data!$C$2:$C$1001)</f>
        <v>149.4533729553221</v>
      </c>
      <c r="N420">
        <v>419</v>
      </c>
      <c r="O420" t="s">
        <v>1752</v>
      </c>
      <c r="P420">
        <v>1661</v>
      </c>
      <c r="Q420" s="8">
        <f>SUMIF(SoundCast_Data!$Q$2:$Q$747,RouteID_Conversion!N420,SoundCast_Data!$P$2:$P$747)</f>
        <v>12.622554302215562</v>
      </c>
    </row>
    <row r="421" spans="1:17" x14ac:dyDescent="0.25">
      <c r="A421">
        <v>836</v>
      </c>
      <c r="B421">
        <v>110420</v>
      </c>
      <c r="C421">
        <v>1</v>
      </c>
      <c r="D421" t="s">
        <v>1571</v>
      </c>
      <c r="E421" t="s">
        <v>327</v>
      </c>
      <c r="F421" t="s">
        <v>1571</v>
      </c>
      <c r="G421">
        <v>1</v>
      </c>
      <c r="H421">
        <v>420</v>
      </c>
      <c r="I421" t="s">
        <v>1572</v>
      </c>
      <c r="J421">
        <v>1214</v>
      </c>
      <c r="K421" s="8">
        <f>SUMIF(SoundCast_Data!$A$2:$A$1001,RouteID_Conversion!$H$2:$H$999,SoundCast_Data!$C$2:$C$1001)</f>
        <v>395.6124343872055</v>
      </c>
      <c r="N421">
        <v>420</v>
      </c>
      <c r="O421" t="s">
        <v>1796</v>
      </c>
      <c r="P421">
        <v>1885</v>
      </c>
      <c r="Q421" s="8">
        <f>SUMIF(SoundCast_Data!$Q$2:$Q$747,RouteID_Conversion!N421,SoundCast_Data!$P$2:$P$747)</f>
        <v>16.620757818222021</v>
      </c>
    </row>
    <row r="422" spans="1:17" x14ac:dyDescent="0.25">
      <c r="A422">
        <v>837</v>
      </c>
      <c r="B422">
        <v>110421</v>
      </c>
      <c r="C422">
        <v>1</v>
      </c>
      <c r="D422" t="s">
        <v>1573</v>
      </c>
      <c r="E422" t="s">
        <v>327</v>
      </c>
      <c r="F422" t="s">
        <v>1573</v>
      </c>
      <c r="G422">
        <v>1</v>
      </c>
      <c r="H422">
        <v>421</v>
      </c>
      <c r="I422" t="s">
        <v>1574</v>
      </c>
      <c r="J422">
        <v>1215</v>
      </c>
      <c r="K422" s="8">
        <f>SUMIF(SoundCast_Data!$A$2:$A$1001,RouteID_Conversion!$H$2:$H$999,SoundCast_Data!$C$2:$C$1001)</f>
        <v>197.2023925781248</v>
      </c>
      <c r="N422">
        <v>421</v>
      </c>
      <c r="O422" t="s">
        <v>751</v>
      </c>
      <c r="P422">
        <v>1888</v>
      </c>
      <c r="Q422" s="8">
        <f>SUMIF(SoundCast_Data!$Q$2:$Q$747,RouteID_Conversion!N422,SoundCast_Data!$P$2:$P$747)</f>
        <v>14.501204729080181</v>
      </c>
    </row>
    <row r="423" spans="1:17" x14ac:dyDescent="0.25">
      <c r="A423">
        <v>838</v>
      </c>
      <c r="B423">
        <v>110422</v>
      </c>
      <c r="C423">
        <v>1</v>
      </c>
      <c r="D423" t="s">
        <v>1575</v>
      </c>
      <c r="E423" t="s">
        <v>327</v>
      </c>
      <c r="F423" t="s">
        <v>1575</v>
      </c>
      <c r="G423">
        <v>1</v>
      </c>
      <c r="H423">
        <v>422</v>
      </c>
      <c r="I423" t="s">
        <v>1576</v>
      </c>
      <c r="J423">
        <v>1216</v>
      </c>
      <c r="K423" s="8">
        <f>SUMIF(SoundCast_Data!$A$2:$A$1001,RouteID_Conversion!$H$2:$H$999,SoundCast_Data!$C$2:$C$1001)</f>
        <v>368.22260284423686</v>
      </c>
      <c r="N423">
        <v>422</v>
      </c>
      <c r="O423" t="s">
        <v>1818</v>
      </c>
      <c r="P423">
        <v>1889</v>
      </c>
      <c r="Q423" s="8">
        <f>SUMIF(SoundCast_Data!$Q$2:$Q$747,RouteID_Conversion!N423,SoundCast_Data!$P$2:$P$747)</f>
        <v>2.3716101050376821</v>
      </c>
    </row>
    <row r="424" spans="1:17" x14ac:dyDescent="0.25">
      <c r="A424">
        <v>839</v>
      </c>
      <c r="B424">
        <v>110423</v>
      </c>
      <c r="C424">
        <v>1</v>
      </c>
      <c r="D424" t="s">
        <v>1577</v>
      </c>
      <c r="E424" t="s">
        <v>327</v>
      </c>
      <c r="F424" t="s">
        <v>1577</v>
      </c>
      <c r="G424">
        <v>1</v>
      </c>
      <c r="H424">
        <v>423</v>
      </c>
      <c r="I424" t="s">
        <v>1578</v>
      </c>
      <c r="J424">
        <v>1217</v>
      </c>
      <c r="K424" s="8">
        <f>SUMIF(SoundCast_Data!$A$2:$A$1001,RouteID_Conversion!$H$2:$H$999,SoundCast_Data!$C$2:$C$1001)</f>
        <v>211.50228500366188</v>
      </c>
      <c r="N424">
        <v>423</v>
      </c>
      <c r="O424" t="s">
        <v>1145</v>
      </c>
      <c r="P424">
        <v>1890</v>
      </c>
      <c r="Q424" s="8">
        <f>SUMIF(SoundCast_Data!$Q$2:$Q$747,RouteID_Conversion!N424,SoundCast_Data!$P$2:$P$747)</f>
        <v>16.18519282341002</v>
      </c>
    </row>
    <row r="425" spans="1:17" x14ac:dyDescent="0.25">
      <c r="A425">
        <v>848</v>
      </c>
      <c r="B425">
        <v>110424</v>
      </c>
      <c r="C425">
        <v>1</v>
      </c>
      <c r="D425" t="s">
        <v>1591</v>
      </c>
      <c r="E425" t="s">
        <v>327</v>
      </c>
      <c r="F425" t="s">
        <v>1591</v>
      </c>
      <c r="G425">
        <v>1</v>
      </c>
      <c r="H425">
        <v>424</v>
      </c>
      <c r="I425" t="s">
        <v>1592</v>
      </c>
      <c r="J425">
        <v>1218</v>
      </c>
      <c r="K425" s="8">
        <f>SUMIF(SoundCast_Data!$A$2:$A$1001,RouteID_Conversion!$H$2:$H$999,SoundCast_Data!$C$2:$C$1001)</f>
        <v>424.67998504638609</v>
      </c>
      <c r="N425">
        <v>424</v>
      </c>
      <c r="O425" t="s">
        <v>461</v>
      </c>
      <c r="P425">
        <v>1901</v>
      </c>
      <c r="Q425" s="8">
        <f>SUMIF(SoundCast_Data!$Q$2:$Q$747,RouteID_Conversion!N425,SoundCast_Data!$P$2:$P$747)</f>
        <v>45.450000762939396</v>
      </c>
    </row>
    <row r="426" spans="1:17" x14ac:dyDescent="0.25">
      <c r="A426">
        <v>263</v>
      </c>
      <c r="B426">
        <v>110425</v>
      </c>
      <c r="C426">
        <v>1</v>
      </c>
      <c r="D426" t="s">
        <v>735</v>
      </c>
      <c r="E426" t="s">
        <v>327</v>
      </c>
      <c r="F426" t="s">
        <v>735</v>
      </c>
      <c r="G426">
        <v>1</v>
      </c>
      <c r="H426">
        <v>425</v>
      </c>
      <c r="I426" t="s">
        <v>736</v>
      </c>
      <c r="J426">
        <v>1219</v>
      </c>
      <c r="K426" s="8">
        <f>SUMIF(SoundCast_Data!$A$2:$A$1001,RouteID_Conversion!$H$2:$H$999,SoundCast_Data!$C$2:$C$1001)</f>
        <v>16.913586616516088</v>
      </c>
      <c r="N426">
        <v>425</v>
      </c>
      <c r="O426" t="s">
        <v>461</v>
      </c>
      <c r="P426">
        <v>1901</v>
      </c>
      <c r="Q426" s="8">
        <f>SUMIF(SoundCast_Data!$Q$2:$Q$747,RouteID_Conversion!N426,SoundCast_Data!$P$2:$P$747)</f>
        <v>38.033514261245628</v>
      </c>
    </row>
    <row r="427" spans="1:17" x14ac:dyDescent="0.25">
      <c r="A427">
        <v>358</v>
      </c>
      <c r="B427">
        <v>110426</v>
      </c>
      <c r="C427">
        <v>1</v>
      </c>
      <c r="D427" t="s">
        <v>893</v>
      </c>
      <c r="E427" t="s">
        <v>327</v>
      </c>
      <c r="F427" t="s">
        <v>893</v>
      </c>
      <c r="G427">
        <v>1</v>
      </c>
      <c r="H427">
        <v>426</v>
      </c>
      <c r="I427" t="s">
        <v>736</v>
      </c>
      <c r="J427">
        <v>1219</v>
      </c>
      <c r="K427" s="8">
        <f>SUMIF(SoundCast_Data!$A$2:$A$1001,RouteID_Conversion!$H$2:$H$999,SoundCast_Data!$C$2:$C$1001)</f>
        <v>40.413344383239505</v>
      </c>
      <c r="N427">
        <v>426</v>
      </c>
      <c r="O427" t="s">
        <v>526</v>
      </c>
      <c r="P427">
        <v>1903</v>
      </c>
      <c r="Q427" s="8">
        <f>SUMIF(SoundCast_Data!$Q$2:$Q$747,RouteID_Conversion!N427,SoundCast_Data!$P$2:$P$747)</f>
        <v>136.69350433349601</v>
      </c>
    </row>
    <row r="428" spans="1:17" x14ac:dyDescent="0.25">
      <c r="A428">
        <v>359</v>
      </c>
      <c r="B428">
        <v>110427</v>
      </c>
      <c r="C428">
        <v>1</v>
      </c>
      <c r="D428" t="s">
        <v>894</v>
      </c>
      <c r="E428" t="s">
        <v>327</v>
      </c>
      <c r="F428" t="s">
        <v>894</v>
      </c>
      <c r="G428">
        <v>1</v>
      </c>
      <c r="H428">
        <v>427</v>
      </c>
      <c r="I428" t="s">
        <v>736</v>
      </c>
      <c r="J428">
        <v>1219</v>
      </c>
      <c r="K428" s="8">
        <f>SUMIF(SoundCast_Data!$A$2:$A$1001,RouteID_Conversion!$H$2:$H$999,SoundCast_Data!$C$2:$C$1001)</f>
        <v>38.648345947265497</v>
      </c>
      <c r="N428">
        <v>427</v>
      </c>
      <c r="O428" t="s">
        <v>526</v>
      </c>
      <c r="P428">
        <v>1903</v>
      </c>
      <c r="Q428" s="8">
        <f>SUMIF(SoundCast_Data!$Q$2:$Q$747,RouteID_Conversion!N428,SoundCast_Data!$P$2:$P$747)</f>
        <v>123.73657608032211</v>
      </c>
    </row>
    <row r="429" spans="1:17" x14ac:dyDescent="0.25">
      <c r="A429">
        <v>433</v>
      </c>
      <c r="B429">
        <v>110428</v>
      </c>
      <c r="C429">
        <v>1</v>
      </c>
      <c r="D429" t="s">
        <v>995</v>
      </c>
      <c r="E429" t="s">
        <v>327</v>
      </c>
      <c r="F429" t="s">
        <v>995</v>
      </c>
      <c r="G429">
        <v>1</v>
      </c>
      <c r="H429">
        <v>428</v>
      </c>
      <c r="I429" t="s">
        <v>996</v>
      </c>
      <c r="J429">
        <v>1221</v>
      </c>
      <c r="K429" s="8">
        <f>SUMIF(SoundCast_Data!$A$2:$A$1001,RouteID_Conversion!$H$2:$H$999,SoundCast_Data!$C$2:$C$1001)</f>
        <v>115.2230911254882</v>
      </c>
      <c r="N429">
        <v>428</v>
      </c>
      <c r="O429" t="s">
        <v>756</v>
      </c>
      <c r="P429">
        <v>1908</v>
      </c>
      <c r="Q429" s="8">
        <f>SUMIF(SoundCast_Data!$Q$2:$Q$747,RouteID_Conversion!N429,SoundCast_Data!$P$2:$P$747)</f>
        <v>13.151282310485829</v>
      </c>
    </row>
    <row r="430" spans="1:17" x14ac:dyDescent="0.25">
      <c r="A430">
        <v>434</v>
      </c>
      <c r="B430">
        <v>110429</v>
      </c>
      <c r="C430">
        <v>1</v>
      </c>
      <c r="D430" t="s">
        <v>997</v>
      </c>
      <c r="E430" t="s">
        <v>327</v>
      </c>
      <c r="F430" t="s">
        <v>997</v>
      </c>
      <c r="G430">
        <v>1</v>
      </c>
      <c r="H430">
        <v>429</v>
      </c>
      <c r="I430" t="s">
        <v>996</v>
      </c>
      <c r="J430">
        <v>1221</v>
      </c>
      <c r="K430" s="8">
        <f>SUMIF(SoundCast_Data!$A$2:$A$1001,RouteID_Conversion!$H$2:$H$999,SoundCast_Data!$C$2:$C$1001)</f>
        <v>343.47450256347611</v>
      </c>
      <c r="N430">
        <v>429</v>
      </c>
      <c r="O430" t="s">
        <v>756</v>
      </c>
      <c r="P430">
        <v>1908</v>
      </c>
      <c r="Q430" s="8">
        <f>SUMIF(SoundCast_Data!$Q$2:$Q$747,RouteID_Conversion!N430,SoundCast_Data!$P$2:$P$747)</f>
        <v>47.495841979980369</v>
      </c>
    </row>
    <row r="431" spans="1:17" x14ac:dyDescent="0.25">
      <c r="A431">
        <v>938</v>
      </c>
      <c r="B431">
        <v>110430</v>
      </c>
      <c r="C431">
        <v>1</v>
      </c>
      <c r="D431" t="s">
        <v>1754</v>
      </c>
      <c r="E431" t="s">
        <v>327</v>
      </c>
      <c r="F431" t="s">
        <v>1754</v>
      </c>
      <c r="G431">
        <v>1</v>
      </c>
      <c r="H431">
        <v>430</v>
      </c>
      <c r="I431" t="s">
        <v>1755</v>
      </c>
      <c r="J431">
        <v>1222</v>
      </c>
      <c r="K431" s="8">
        <f>SUMIF(SoundCast_Data!$A$2:$A$1001,RouteID_Conversion!$H$2:$H$999,SoundCast_Data!$C$2:$C$1001)</f>
        <v>112.1562309265135</v>
      </c>
      <c r="N431">
        <v>430</v>
      </c>
      <c r="O431" t="s">
        <v>911</v>
      </c>
      <c r="P431">
        <v>1909</v>
      </c>
      <c r="Q431" s="8">
        <f>SUMIF(SoundCast_Data!$Q$2:$Q$747,RouteID_Conversion!N431,SoundCast_Data!$P$2:$P$747)</f>
        <v>15.953831434249841</v>
      </c>
    </row>
    <row r="432" spans="1:17" x14ac:dyDescent="0.25">
      <c r="A432">
        <v>939</v>
      </c>
      <c r="B432">
        <v>110431</v>
      </c>
      <c r="C432">
        <v>1</v>
      </c>
      <c r="D432" t="s">
        <v>1756</v>
      </c>
      <c r="E432" t="s">
        <v>327</v>
      </c>
      <c r="F432" t="s">
        <v>1756</v>
      </c>
      <c r="G432">
        <v>1</v>
      </c>
      <c r="H432">
        <v>431</v>
      </c>
      <c r="I432" t="s">
        <v>1755</v>
      </c>
      <c r="J432">
        <v>1222</v>
      </c>
      <c r="K432" s="8">
        <f>SUMIF(SoundCast_Data!$A$2:$A$1001,RouteID_Conversion!$H$2:$H$999,SoundCast_Data!$C$2:$C$1001)</f>
        <v>193.96805953979481</v>
      </c>
      <c r="N432">
        <v>431</v>
      </c>
      <c r="O432" t="s">
        <v>911</v>
      </c>
      <c r="P432">
        <v>1909</v>
      </c>
      <c r="Q432" s="8">
        <f>SUMIF(SoundCast_Data!$Q$2:$Q$747,RouteID_Conversion!N432,SoundCast_Data!$P$2:$P$747)</f>
        <v>27.254526376724172</v>
      </c>
    </row>
    <row r="433" spans="1:17" x14ac:dyDescent="0.25">
      <c r="A433">
        <v>840</v>
      </c>
      <c r="B433">
        <v>110432</v>
      </c>
      <c r="C433">
        <v>1</v>
      </c>
      <c r="D433" t="s">
        <v>1579</v>
      </c>
      <c r="E433" t="s">
        <v>327</v>
      </c>
      <c r="F433" t="s">
        <v>1579</v>
      </c>
      <c r="G433">
        <v>1</v>
      </c>
      <c r="H433">
        <v>432</v>
      </c>
      <c r="I433" t="s">
        <v>1580</v>
      </c>
      <c r="J433">
        <v>1225</v>
      </c>
      <c r="K433" s="8">
        <f>SUMIF(SoundCast_Data!$A$2:$A$1001,RouteID_Conversion!$H$2:$H$999,SoundCast_Data!$C$2:$C$1001)</f>
        <v>64.248525619506694</v>
      </c>
      <c r="N433">
        <v>432</v>
      </c>
      <c r="O433" t="s">
        <v>2161</v>
      </c>
      <c r="P433">
        <v>1912</v>
      </c>
      <c r="Q433" s="8">
        <f>SUMIF(SoundCast_Data!$Q$2:$Q$747,RouteID_Conversion!N433,SoundCast_Data!$P$2:$P$747)</f>
        <v>2.79285728931427</v>
      </c>
    </row>
    <row r="434" spans="1:17" x14ac:dyDescent="0.25">
      <c r="A434">
        <v>841</v>
      </c>
      <c r="B434">
        <v>110433</v>
      </c>
      <c r="C434">
        <v>1</v>
      </c>
      <c r="D434" t="s">
        <v>1581</v>
      </c>
      <c r="E434" t="s">
        <v>327</v>
      </c>
      <c r="F434" t="s">
        <v>1581</v>
      </c>
      <c r="G434">
        <v>1</v>
      </c>
      <c r="H434">
        <v>433</v>
      </c>
      <c r="I434" t="s">
        <v>1580</v>
      </c>
      <c r="J434">
        <v>1225</v>
      </c>
      <c r="K434" s="8">
        <f>SUMIF(SoundCast_Data!$A$2:$A$1001,RouteID_Conversion!$H$2:$H$999,SoundCast_Data!$C$2:$C$1001)</f>
        <v>64.248525619506694</v>
      </c>
      <c r="N434">
        <v>433</v>
      </c>
      <c r="O434" t="s">
        <v>2161</v>
      </c>
      <c r="P434">
        <v>1912</v>
      </c>
      <c r="Q434" s="8">
        <f>SUMIF(SoundCast_Data!$Q$2:$Q$747,RouteID_Conversion!N434,SoundCast_Data!$P$2:$P$747)</f>
        <v>2.9833333492279053</v>
      </c>
    </row>
    <row r="435" spans="1:17" x14ac:dyDescent="0.25">
      <c r="A435">
        <v>842</v>
      </c>
      <c r="B435">
        <v>110434</v>
      </c>
      <c r="C435">
        <v>1</v>
      </c>
      <c r="D435" t="s">
        <v>1582</v>
      </c>
      <c r="E435" t="s">
        <v>327</v>
      </c>
      <c r="F435" t="s">
        <v>1582</v>
      </c>
      <c r="G435">
        <v>1</v>
      </c>
      <c r="H435">
        <v>434</v>
      </c>
      <c r="I435" t="s">
        <v>1583</v>
      </c>
      <c r="J435">
        <v>1229</v>
      </c>
      <c r="K435" s="8">
        <f>SUMIF(SoundCast_Data!$A$2:$A$1001,RouteID_Conversion!$H$2:$H$999,SoundCast_Data!$C$2:$C$1001)</f>
        <v>203.19301986694319</v>
      </c>
      <c r="N435">
        <v>434</v>
      </c>
      <c r="O435" t="s">
        <v>758</v>
      </c>
      <c r="P435">
        <v>1913</v>
      </c>
      <c r="Q435" s="8">
        <f>SUMIF(SoundCast_Data!$Q$2:$Q$747,RouteID_Conversion!N435,SoundCast_Data!$P$2:$P$747)</f>
        <v>17.859095335006682</v>
      </c>
    </row>
    <row r="436" spans="1:17" x14ac:dyDescent="0.25">
      <c r="A436">
        <v>940</v>
      </c>
      <c r="B436">
        <v>110435</v>
      </c>
      <c r="C436">
        <v>1</v>
      </c>
      <c r="D436" t="s">
        <v>1757</v>
      </c>
      <c r="E436" t="s">
        <v>327</v>
      </c>
      <c r="F436" t="s">
        <v>1757</v>
      </c>
      <c r="G436">
        <v>1</v>
      </c>
      <c r="H436">
        <v>435</v>
      </c>
      <c r="I436" t="s">
        <v>401</v>
      </c>
      <c r="J436">
        <v>1230</v>
      </c>
      <c r="K436" s="8">
        <f>SUMIF(SoundCast_Data!$A$2:$A$1001,RouteID_Conversion!$H$2:$H$999,SoundCast_Data!$C$2:$C$1001)</f>
        <v>386.04405975341604</v>
      </c>
      <c r="N436">
        <v>435</v>
      </c>
      <c r="O436" t="s">
        <v>758</v>
      </c>
      <c r="P436">
        <v>1913</v>
      </c>
      <c r="Q436" s="8">
        <f>SUMIF(SoundCast_Data!$Q$2:$Q$747,RouteID_Conversion!N436,SoundCast_Data!$P$2:$P$747)</f>
        <v>35.015198707580488</v>
      </c>
    </row>
    <row r="437" spans="1:17" x14ac:dyDescent="0.25">
      <c r="A437">
        <v>941</v>
      </c>
      <c r="B437">
        <v>110436</v>
      </c>
      <c r="C437">
        <v>1</v>
      </c>
      <c r="D437" t="s">
        <v>1758</v>
      </c>
      <c r="E437" t="s">
        <v>327</v>
      </c>
      <c r="F437" t="s">
        <v>1758</v>
      </c>
      <c r="G437">
        <v>1</v>
      </c>
      <c r="H437">
        <v>436</v>
      </c>
      <c r="I437" t="s">
        <v>401</v>
      </c>
      <c r="J437">
        <v>1230</v>
      </c>
      <c r="K437" s="8">
        <f>SUMIF(SoundCast_Data!$A$2:$A$1001,RouteID_Conversion!$H$2:$H$999,SoundCast_Data!$C$2:$C$1001)</f>
        <v>293.04457855224558</v>
      </c>
      <c r="N437">
        <v>436</v>
      </c>
      <c r="O437" t="s">
        <v>2162</v>
      </c>
      <c r="P437">
        <v>1914</v>
      </c>
      <c r="Q437" s="8">
        <f>SUMIF(SoundCast_Data!$Q$2:$Q$747,RouteID_Conversion!N437,SoundCast_Data!$P$2:$P$747)</f>
        <v>32.412612438201819</v>
      </c>
    </row>
    <row r="438" spans="1:17" x14ac:dyDescent="0.25">
      <c r="A438">
        <v>800</v>
      </c>
      <c r="B438">
        <v>110437</v>
      </c>
      <c r="C438">
        <v>1</v>
      </c>
      <c r="D438" t="s">
        <v>1522</v>
      </c>
      <c r="E438" t="s">
        <v>327</v>
      </c>
      <c r="F438" t="s">
        <v>1522</v>
      </c>
      <c r="G438">
        <v>1</v>
      </c>
      <c r="H438">
        <v>437</v>
      </c>
      <c r="I438" t="s">
        <v>401</v>
      </c>
      <c r="J438">
        <v>1230</v>
      </c>
      <c r="K438" s="8">
        <f>SUMIF(SoundCast_Data!$A$2:$A$1001,RouteID_Conversion!$H$2:$H$999,SoundCast_Data!$C$2:$C$1001)</f>
        <v>58.253034591674705</v>
      </c>
      <c r="N438">
        <v>437</v>
      </c>
      <c r="O438" t="s">
        <v>2162</v>
      </c>
      <c r="P438">
        <v>1914</v>
      </c>
      <c r="Q438" s="8">
        <f>SUMIF(SoundCast_Data!$Q$2:$Q$747,RouteID_Conversion!N438,SoundCast_Data!$P$2:$P$747)</f>
        <v>36.349999904632512</v>
      </c>
    </row>
    <row r="439" spans="1:17" x14ac:dyDescent="0.25">
      <c r="A439">
        <v>801</v>
      </c>
      <c r="B439">
        <v>110438</v>
      </c>
      <c r="C439">
        <v>1</v>
      </c>
      <c r="D439" t="s">
        <v>1523</v>
      </c>
      <c r="E439" t="s">
        <v>327</v>
      </c>
      <c r="F439" t="s">
        <v>1523</v>
      </c>
      <c r="G439">
        <v>1</v>
      </c>
      <c r="H439">
        <v>438</v>
      </c>
      <c r="I439" t="s">
        <v>401</v>
      </c>
      <c r="J439">
        <v>1230</v>
      </c>
      <c r="K439" s="8">
        <f>SUMIF(SoundCast_Data!$A$2:$A$1001,RouteID_Conversion!$H$2:$H$999,SoundCast_Data!$C$2:$C$1001)</f>
        <v>358.7205581665026</v>
      </c>
      <c r="N439">
        <v>438</v>
      </c>
      <c r="O439" t="s">
        <v>1117</v>
      </c>
      <c r="P439">
        <v>1915</v>
      </c>
      <c r="Q439" s="8">
        <f>SUMIF(SoundCast_Data!$Q$2:$Q$747,RouteID_Conversion!N439,SoundCast_Data!$P$2:$P$747)</f>
        <v>6.7071429491042913</v>
      </c>
    </row>
    <row r="440" spans="1:17" x14ac:dyDescent="0.25">
      <c r="A440">
        <v>133</v>
      </c>
      <c r="B440">
        <v>110439</v>
      </c>
      <c r="C440">
        <v>1</v>
      </c>
      <c r="D440" t="s">
        <v>539</v>
      </c>
      <c r="E440" t="s">
        <v>327</v>
      </c>
      <c r="F440" t="s">
        <v>539</v>
      </c>
      <c r="G440">
        <v>1</v>
      </c>
      <c r="H440">
        <v>439</v>
      </c>
      <c r="I440" t="s">
        <v>401</v>
      </c>
      <c r="J440">
        <v>1230</v>
      </c>
      <c r="K440" s="8">
        <f>SUMIF(SoundCast_Data!$A$2:$A$1001,RouteID_Conversion!$H$2:$H$999,SoundCast_Data!$C$2:$C$1001)</f>
        <v>28.275075912475497</v>
      </c>
      <c r="N440">
        <v>439</v>
      </c>
      <c r="O440" t="s">
        <v>1117</v>
      </c>
      <c r="P440">
        <v>1915</v>
      </c>
      <c r="Q440" s="8">
        <f>SUMIF(SoundCast_Data!$Q$2:$Q$747,RouteID_Conversion!N440,SoundCast_Data!$P$2:$P$747)</f>
        <v>22.17519330978385</v>
      </c>
    </row>
    <row r="441" spans="1:17" x14ac:dyDescent="0.25">
      <c r="A441">
        <v>134</v>
      </c>
      <c r="B441">
        <v>110440</v>
      </c>
      <c r="C441">
        <v>1</v>
      </c>
      <c r="D441" t="s">
        <v>540</v>
      </c>
      <c r="E441" t="s">
        <v>327</v>
      </c>
      <c r="F441" t="s">
        <v>540</v>
      </c>
      <c r="G441">
        <v>1</v>
      </c>
      <c r="H441">
        <v>440</v>
      </c>
      <c r="I441" t="s">
        <v>401</v>
      </c>
      <c r="J441">
        <v>1230</v>
      </c>
      <c r="K441" s="8">
        <f>SUMIF(SoundCast_Data!$A$2:$A$1001,RouteID_Conversion!$H$2:$H$999,SoundCast_Data!$C$2:$C$1001)</f>
        <v>144.44390106201161</v>
      </c>
      <c r="N441">
        <v>440</v>
      </c>
      <c r="O441" t="s">
        <v>2163</v>
      </c>
      <c r="P441">
        <v>1916</v>
      </c>
      <c r="Q441" s="8">
        <f>SUMIF(SoundCast_Data!$Q$2:$Q$747,RouteID_Conversion!N441,SoundCast_Data!$P$2:$P$747)</f>
        <v>37.469705343246453</v>
      </c>
    </row>
    <row r="442" spans="1:17" x14ac:dyDescent="0.25">
      <c r="A442">
        <v>45</v>
      </c>
      <c r="B442">
        <v>110441</v>
      </c>
      <c r="C442">
        <v>1</v>
      </c>
      <c r="D442" t="s">
        <v>400</v>
      </c>
      <c r="E442" t="s">
        <v>327</v>
      </c>
      <c r="F442" t="s">
        <v>400</v>
      </c>
      <c r="G442">
        <v>1</v>
      </c>
      <c r="H442">
        <v>441</v>
      </c>
      <c r="I442" t="s">
        <v>401</v>
      </c>
      <c r="J442">
        <v>1230</v>
      </c>
      <c r="K442" s="8">
        <f>SUMIF(SoundCast_Data!$A$2:$A$1001,RouteID_Conversion!$H$2:$H$999,SoundCast_Data!$C$2:$C$1001)</f>
        <v>0.4822403788566581</v>
      </c>
      <c r="N442">
        <v>441</v>
      </c>
      <c r="O442" t="s">
        <v>2163</v>
      </c>
      <c r="P442">
        <v>1916</v>
      </c>
      <c r="Q442" s="8">
        <f>SUMIF(SoundCast_Data!$Q$2:$Q$747,RouteID_Conversion!N442,SoundCast_Data!$P$2:$P$747)</f>
        <v>6.2844527959823493</v>
      </c>
    </row>
    <row r="443" spans="1:17" x14ac:dyDescent="0.25">
      <c r="A443">
        <v>811</v>
      </c>
      <c r="B443">
        <v>110442</v>
      </c>
      <c r="C443">
        <v>1</v>
      </c>
      <c r="D443" t="s">
        <v>1534</v>
      </c>
      <c r="E443" t="s">
        <v>327</v>
      </c>
      <c r="F443" t="s">
        <v>1534</v>
      </c>
      <c r="G443">
        <v>1</v>
      </c>
      <c r="H443">
        <v>442</v>
      </c>
      <c r="I443" t="s">
        <v>1535</v>
      </c>
      <c r="J443">
        <v>1232</v>
      </c>
      <c r="K443" s="8">
        <f>SUMIF(SoundCast_Data!$A$2:$A$1001,RouteID_Conversion!$H$2:$H$999,SoundCast_Data!$C$2:$C$1001)</f>
        <v>13.93447971343992</v>
      </c>
      <c r="N443">
        <v>442</v>
      </c>
      <c r="O443" t="s">
        <v>760</v>
      </c>
      <c r="P443">
        <v>1917</v>
      </c>
      <c r="Q443" s="8">
        <f>SUMIF(SoundCast_Data!$Q$2:$Q$747,RouteID_Conversion!N443,SoundCast_Data!$P$2:$P$747)</f>
        <v>17.445385694503678</v>
      </c>
    </row>
    <row r="444" spans="1:17" x14ac:dyDescent="0.25">
      <c r="A444">
        <v>812</v>
      </c>
      <c r="B444">
        <v>110443</v>
      </c>
      <c r="C444">
        <v>1</v>
      </c>
      <c r="D444" t="s">
        <v>1536</v>
      </c>
      <c r="E444" t="s">
        <v>327</v>
      </c>
      <c r="F444" t="s">
        <v>1536</v>
      </c>
      <c r="G444">
        <v>1</v>
      </c>
      <c r="H444">
        <v>443</v>
      </c>
      <c r="I444" t="s">
        <v>1535</v>
      </c>
      <c r="J444">
        <v>1232</v>
      </c>
      <c r="K444" s="8">
        <f>SUMIF(SoundCast_Data!$A$2:$A$1001,RouteID_Conversion!$H$2:$H$999,SoundCast_Data!$C$2:$C$1001)</f>
        <v>13.93447971343992</v>
      </c>
      <c r="N444">
        <v>443</v>
      </c>
      <c r="O444" t="s">
        <v>760</v>
      </c>
      <c r="P444">
        <v>1917</v>
      </c>
      <c r="Q444" s="8">
        <f>SUMIF(SoundCast_Data!$Q$2:$Q$747,RouteID_Conversion!N444,SoundCast_Data!$P$2:$P$747)</f>
        <v>19.331183433532619</v>
      </c>
    </row>
    <row r="445" spans="1:17" x14ac:dyDescent="0.25">
      <c r="A445">
        <v>813</v>
      </c>
      <c r="B445">
        <v>110444</v>
      </c>
      <c r="C445">
        <v>1</v>
      </c>
      <c r="D445" t="s">
        <v>1537</v>
      </c>
      <c r="E445" t="s">
        <v>327</v>
      </c>
      <c r="F445" t="s">
        <v>1537</v>
      </c>
      <c r="G445">
        <v>1</v>
      </c>
      <c r="H445">
        <v>444</v>
      </c>
      <c r="I445" t="s">
        <v>1535</v>
      </c>
      <c r="J445">
        <v>1232</v>
      </c>
      <c r="K445" s="8">
        <f>SUMIF(SoundCast_Data!$A$2:$A$1001,RouteID_Conversion!$H$2:$H$999,SoundCast_Data!$C$2:$C$1001)</f>
        <v>202.39721298217762</v>
      </c>
      <c r="N445">
        <v>444</v>
      </c>
      <c r="O445" t="s">
        <v>762</v>
      </c>
      <c r="P445">
        <v>1918</v>
      </c>
      <c r="Q445" s="8">
        <f>SUMIF(SoundCast_Data!$Q$2:$Q$747,RouteID_Conversion!N445,SoundCast_Data!$P$2:$P$747)</f>
        <v>0</v>
      </c>
    </row>
    <row r="446" spans="1:17" x14ac:dyDescent="0.25">
      <c r="A446">
        <v>942</v>
      </c>
      <c r="B446">
        <v>110445</v>
      </c>
      <c r="C446">
        <v>1</v>
      </c>
      <c r="D446" t="s">
        <v>1759</v>
      </c>
      <c r="E446" t="s">
        <v>327</v>
      </c>
      <c r="F446" t="s">
        <v>1759</v>
      </c>
      <c r="G446">
        <v>1</v>
      </c>
      <c r="H446">
        <v>445</v>
      </c>
      <c r="I446" t="s">
        <v>1760</v>
      </c>
      <c r="J446">
        <v>1233</v>
      </c>
      <c r="K446" s="8">
        <f>SUMIF(SoundCast_Data!$A$2:$A$1001,RouteID_Conversion!$H$2:$H$999,SoundCast_Data!$C$2:$C$1001)</f>
        <v>124.4253559112548</v>
      </c>
      <c r="N446">
        <v>445</v>
      </c>
      <c r="O446" t="s">
        <v>1098</v>
      </c>
      <c r="P446">
        <v>1919</v>
      </c>
      <c r="Q446" s="8">
        <f>SUMIF(SoundCast_Data!$Q$2:$Q$747,RouteID_Conversion!N446,SoundCast_Data!$P$2:$P$747)</f>
        <v>23.95450592041006</v>
      </c>
    </row>
    <row r="447" spans="1:17" x14ac:dyDescent="0.25">
      <c r="A447">
        <v>943</v>
      </c>
      <c r="B447">
        <v>110446</v>
      </c>
      <c r="C447">
        <v>1</v>
      </c>
      <c r="D447" t="s">
        <v>1761</v>
      </c>
      <c r="E447" t="s">
        <v>327</v>
      </c>
      <c r="F447" t="s">
        <v>1761</v>
      </c>
      <c r="G447">
        <v>1</v>
      </c>
      <c r="H447">
        <v>446</v>
      </c>
      <c r="I447" t="s">
        <v>1760</v>
      </c>
      <c r="J447">
        <v>1233</v>
      </c>
      <c r="K447" s="8">
        <f>SUMIF(SoundCast_Data!$A$2:$A$1001,RouteID_Conversion!$H$2:$H$999,SoundCast_Data!$C$2:$C$1001)</f>
        <v>251.06157684326169</v>
      </c>
      <c r="N447">
        <v>446</v>
      </c>
      <c r="O447" t="s">
        <v>1098</v>
      </c>
      <c r="P447">
        <v>1919</v>
      </c>
      <c r="Q447" s="8">
        <f>SUMIF(SoundCast_Data!$Q$2:$Q$747,RouteID_Conversion!N447,SoundCast_Data!$P$2:$P$747)</f>
        <v>16.64999985694881</v>
      </c>
    </row>
    <row r="448" spans="1:17" x14ac:dyDescent="0.25">
      <c r="A448">
        <v>444</v>
      </c>
      <c r="B448">
        <v>110447</v>
      </c>
      <c r="C448">
        <v>1</v>
      </c>
      <c r="D448" t="s">
        <v>1016</v>
      </c>
      <c r="E448" t="s">
        <v>327</v>
      </c>
      <c r="F448" t="s">
        <v>1016</v>
      </c>
      <c r="G448">
        <v>1</v>
      </c>
      <c r="H448">
        <v>447</v>
      </c>
      <c r="I448" t="s">
        <v>1015</v>
      </c>
      <c r="J448">
        <v>1234</v>
      </c>
      <c r="K448" s="8">
        <f>SUMIF(SoundCast_Data!$A$2:$A$1001,RouteID_Conversion!$H$2:$H$999,SoundCast_Data!$C$2:$C$1001)</f>
        <v>19.474367141723622</v>
      </c>
      <c r="N448">
        <v>447</v>
      </c>
      <c r="O448" t="s">
        <v>1798</v>
      </c>
      <c r="P448">
        <v>1921</v>
      </c>
      <c r="Q448" s="8">
        <f>SUMIF(SoundCast_Data!$Q$2:$Q$747,RouteID_Conversion!N448,SoundCast_Data!$P$2:$P$747)</f>
        <v>57.518840789794801</v>
      </c>
    </row>
    <row r="449" spans="1:17" x14ac:dyDescent="0.25">
      <c r="A449">
        <v>443</v>
      </c>
      <c r="B449">
        <v>110448</v>
      </c>
      <c r="C449">
        <v>1</v>
      </c>
      <c r="D449" t="s">
        <v>1014</v>
      </c>
      <c r="E449" t="s">
        <v>327</v>
      </c>
      <c r="F449" t="s">
        <v>1014</v>
      </c>
      <c r="G449">
        <v>1</v>
      </c>
      <c r="H449">
        <v>448</v>
      </c>
      <c r="I449" t="s">
        <v>1015</v>
      </c>
      <c r="J449">
        <v>1234</v>
      </c>
      <c r="K449" s="8">
        <f>SUMIF(SoundCast_Data!$A$2:$A$1001,RouteID_Conversion!$H$2:$H$999,SoundCast_Data!$C$2:$C$1001)</f>
        <v>330.1487960815424</v>
      </c>
      <c r="N449">
        <v>448</v>
      </c>
      <c r="O449" t="s">
        <v>1798</v>
      </c>
      <c r="P449">
        <v>1921</v>
      </c>
      <c r="Q449" s="8">
        <f>SUMIF(SoundCast_Data!$Q$2:$Q$747,RouteID_Conversion!N449,SoundCast_Data!$P$2:$P$747)</f>
        <v>17.773795604705782</v>
      </c>
    </row>
    <row r="450" spans="1:17" x14ac:dyDescent="0.25">
      <c r="A450">
        <v>445</v>
      </c>
      <c r="B450">
        <v>110449</v>
      </c>
      <c r="C450">
        <v>1</v>
      </c>
      <c r="D450" t="s">
        <v>1017</v>
      </c>
      <c r="E450" t="s">
        <v>327</v>
      </c>
      <c r="F450" t="s">
        <v>1017</v>
      </c>
      <c r="G450">
        <v>1</v>
      </c>
      <c r="H450">
        <v>449</v>
      </c>
      <c r="I450" t="s">
        <v>1015</v>
      </c>
      <c r="J450">
        <v>1234</v>
      </c>
      <c r="K450" s="8">
        <f>SUMIF(SoundCast_Data!$A$2:$A$1001,RouteID_Conversion!$H$2:$H$999,SoundCast_Data!$C$2:$C$1001)</f>
        <v>598.19380187988202</v>
      </c>
      <c r="N450">
        <v>449</v>
      </c>
      <c r="O450" t="s">
        <v>1798</v>
      </c>
      <c r="P450">
        <v>1921</v>
      </c>
      <c r="Q450" s="8">
        <f>SUMIF(SoundCast_Data!$Q$2:$Q$747,RouteID_Conversion!N450,SoundCast_Data!$P$2:$P$747)</f>
        <v>90.828420639037901</v>
      </c>
    </row>
    <row r="451" spans="1:17" x14ac:dyDescent="0.25">
      <c r="A451">
        <v>135</v>
      </c>
      <c r="B451">
        <v>110450</v>
      </c>
      <c r="C451">
        <v>1</v>
      </c>
      <c r="D451" t="s">
        <v>541</v>
      </c>
      <c r="E451" t="s">
        <v>327</v>
      </c>
      <c r="F451" t="s">
        <v>541</v>
      </c>
      <c r="G451">
        <v>1</v>
      </c>
      <c r="H451">
        <v>450</v>
      </c>
      <c r="I451" t="s">
        <v>542</v>
      </c>
      <c r="J451">
        <v>1236</v>
      </c>
      <c r="K451" s="8">
        <f>SUMIF(SoundCast_Data!$A$2:$A$1001,RouteID_Conversion!$H$2:$H$999,SoundCast_Data!$C$2:$C$1001)</f>
        <v>110.63602638244619</v>
      </c>
      <c r="N451">
        <v>450</v>
      </c>
      <c r="O451" t="s">
        <v>917</v>
      </c>
      <c r="P451">
        <v>1926</v>
      </c>
      <c r="Q451" s="8">
        <f>SUMIF(SoundCast_Data!$Q$2:$Q$747,RouteID_Conversion!N451,SoundCast_Data!$P$2:$P$747)</f>
        <v>24.521534919738691</v>
      </c>
    </row>
    <row r="452" spans="1:17" x14ac:dyDescent="0.25">
      <c r="A452">
        <v>803</v>
      </c>
      <c r="B452">
        <v>110451</v>
      </c>
      <c r="C452">
        <v>1</v>
      </c>
      <c r="D452" t="s">
        <v>1525</v>
      </c>
      <c r="E452" t="s">
        <v>327</v>
      </c>
      <c r="F452" t="s">
        <v>1525</v>
      </c>
      <c r="G452">
        <v>1</v>
      </c>
      <c r="H452">
        <v>451</v>
      </c>
      <c r="I452" t="s">
        <v>542</v>
      </c>
      <c r="J452">
        <v>1236</v>
      </c>
      <c r="K452" s="8">
        <f>SUMIF(SoundCast_Data!$A$2:$A$1001,RouteID_Conversion!$H$2:$H$999,SoundCast_Data!$C$2:$C$1001)</f>
        <v>92.262430191039897</v>
      </c>
      <c r="N452">
        <v>451</v>
      </c>
      <c r="O452" t="s">
        <v>917</v>
      </c>
      <c r="P452">
        <v>1926</v>
      </c>
      <c r="Q452" s="8">
        <f>SUMIF(SoundCast_Data!$Q$2:$Q$747,RouteID_Conversion!N452,SoundCast_Data!$P$2:$P$747)</f>
        <v>34.265389919280928</v>
      </c>
    </row>
    <row r="453" spans="1:17" x14ac:dyDescent="0.25">
      <c r="A453">
        <v>136</v>
      </c>
      <c r="B453">
        <v>110452</v>
      </c>
      <c r="C453">
        <v>1</v>
      </c>
      <c r="D453" t="s">
        <v>543</v>
      </c>
      <c r="E453" t="s">
        <v>327</v>
      </c>
      <c r="F453" t="s">
        <v>543</v>
      </c>
      <c r="G453">
        <v>1</v>
      </c>
      <c r="H453">
        <v>452</v>
      </c>
      <c r="I453" t="s">
        <v>542</v>
      </c>
      <c r="J453">
        <v>1236</v>
      </c>
      <c r="K453" s="8">
        <f>SUMIF(SoundCast_Data!$A$2:$A$1001,RouteID_Conversion!$H$2:$H$999,SoundCast_Data!$C$2:$C$1001)</f>
        <v>2.6841488331556289</v>
      </c>
      <c r="N453">
        <v>452</v>
      </c>
      <c r="O453" t="s">
        <v>1034</v>
      </c>
      <c r="P453">
        <v>1927</v>
      </c>
      <c r="Q453" s="8">
        <f>SUMIF(SoundCast_Data!$Q$2:$Q$747,RouteID_Conversion!N453,SoundCast_Data!$P$2:$P$747)</f>
        <v>46.30186796188336</v>
      </c>
    </row>
    <row r="454" spans="1:17" x14ac:dyDescent="0.25">
      <c r="A454">
        <v>823</v>
      </c>
      <c r="B454">
        <v>110453</v>
      </c>
      <c r="C454">
        <v>1</v>
      </c>
      <c r="D454" t="s">
        <v>1556</v>
      </c>
      <c r="E454" t="s">
        <v>327</v>
      </c>
      <c r="F454" t="s">
        <v>1556</v>
      </c>
      <c r="G454">
        <v>1</v>
      </c>
      <c r="H454">
        <v>453</v>
      </c>
      <c r="I454" t="s">
        <v>1557</v>
      </c>
      <c r="J454">
        <v>1273</v>
      </c>
      <c r="K454" s="8">
        <f>SUMIF(SoundCast_Data!$A$2:$A$1001,RouteID_Conversion!$H$2:$H$999,SoundCast_Data!$C$2:$C$1001)</f>
        <v>152.55244445800781</v>
      </c>
      <c r="N454">
        <v>453</v>
      </c>
      <c r="O454" t="s">
        <v>1034</v>
      </c>
      <c r="P454">
        <v>1927</v>
      </c>
      <c r="Q454" s="8">
        <f>SUMIF(SoundCast_Data!$Q$2:$Q$747,RouteID_Conversion!N454,SoundCast_Data!$P$2:$P$747)</f>
        <v>39.224618196487349</v>
      </c>
    </row>
    <row r="455" spans="1:17" x14ac:dyDescent="0.25">
      <c r="A455">
        <v>442</v>
      </c>
      <c r="B455">
        <v>110454</v>
      </c>
      <c r="C455">
        <v>1</v>
      </c>
      <c r="D455" t="s">
        <v>1012</v>
      </c>
      <c r="E455" t="s">
        <v>327</v>
      </c>
      <c r="F455" t="s">
        <v>1012</v>
      </c>
      <c r="G455">
        <v>1</v>
      </c>
      <c r="H455">
        <v>454</v>
      </c>
      <c r="I455" t="s">
        <v>1013</v>
      </c>
      <c r="J455">
        <v>1238</v>
      </c>
      <c r="K455" s="8">
        <f>SUMIF(SoundCast_Data!$A$2:$A$1001,RouteID_Conversion!$H$2:$H$999,SoundCast_Data!$C$2:$C$1001)</f>
        <v>128.17460823059059</v>
      </c>
      <c r="N455">
        <v>454</v>
      </c>
      <c r="O455" t="s">
        <v>1034</v>
      </c>
      <c r="P455">
        <v>1927</v>
      </c>
      <c r="Q455" s="8">
        <f>SUMIF(SoundCast_Data!$Q$2:$Q$747,RouteID_Conversion!N455,SoundCast_Data!$P$2:$P$747)</f>
        <v>81.839183807372905</v>
      </c>
    </row>
    <row r="456" spans="1:17" x14ac:dyDescent="0.25">
      <c r="A456">
        <v>802</v>
      </c>
      <c r="B456">
        <v>110455</v>
      </c>
      <c r="C456">
        <v>1</v>
      </c>
      <c r="D456" t="s">
        <v>1524</v>
      </c>
      <c r="E456" t="s">
        <v>327</v>
      </c>
      <c r="F456" t="s">
        <v>1524</v>
      </c>
      <c r="G456">
        <v>1</v>
      </c>
      <c r="H456">
        <v>455</v>
      </c>
      <c r="I456" t="s">
        <v>1013</v>
      </c>
      <c r="J456">
        <v>1238</v>
      </c>
      <c r="K456" s="8">
        <f>SUMIF(SoundCast_Data!$A$2:$A$1001,RouteID_Conversion!$H$2:$H$999,SoundCast_Data!$C$2:$C$1001)</f>
        <v>226.18967437744132</v>
      </c>
      <c r="N456">
        <v>455</v>
      </c>
      <c r="O456" t="s">
        <v>1034</v>
      </c>
      <c r="P456">
        <v>1927</v>
      </c>
      <c r="Q456" s="8">
        <f>SUMIF(SoundCast_Data!$Q$2:$Q$747,RouteID_Conversion!N456,SoundCast_Data!$P$2:$P$747)</f>
        <v>42.854386329650794</v>
      </c>
    </row>
    <row r="457" spans="1:17" x14ac:dyDescent="0.25">
      <c r="A457">
        <v>944</v>
      </c>
      <c r="B457">
        <v>110456</v>
      </c>
      <c r="C457">
        <v>1</v>
      </c>
      <c r="D457" t="s">
        <v>1762</v>
      </c>
      <c r="E457" t="s">
        <v>327</v>
      </c>
      <c r="F457" t="s">
        <v>1762</v>
      </c>
      <c r="G457">
        <v>1</v>
      </c>
      <c r="H457">
        <v>456</v>
      </c>
      <c r="I457" t="s">
        <v>1763</v>
      </c>
      <c r="J457">
        <v>1240</v>
      </c>
      <c r="K457" s="8">
        <f>SUMIF(SoundCast_Data!$A$2:$A$1001,RouteID_Conversion!$H$2:$H$999,SoundCast_Data!$C$2:$C$1001)</f>
        <v>55.679647445678604</v>
      </c>
      <c r="N457">
        <v>456</v>
      </c>
      <c r="O457" t="s">
        <v>605</v>
      </c>
      <c r="P457">
        <v>1929</v>
      </c>
      <c r="Q457" s="8">
        <f>SUMIF(SoundCast_Data!$Q$2:$Q$747,RouteID_Conversion!N457,SoundCast_Data!$P$2:$P$747)</f>
        <v>24.56438922882073</v>
      </c>
    </row>
    <row r="458" spans="1:17" x14ac:dyDescent="0.25">
      <c r="A458">
        <v>945</v>
      </c>
      <c r="B458">
        <v>110457</v>
      </c>
      <c r="C458">
        <v>1</v>
      </c>
      <c r="D458" t="s">
        <v>1764</v>
      </c>
      <c r="E458" t="s">
        <v>327</v>
      </c>
      <c r="F458" t="s">
        <v>1764</v>
      </c>
      <c r="G458">
        <v>1</v>
      </c>
      <c r="H458">
        <v>457</v>
      </c>
      <c r="I458" t="s">
        <v>1763</v>
      </c>
      <c r="J458">
        <v>1240</v>
      </c>
      <c r="K458" s="8">
        <f>SUMIF(SoundCast_Data!$A$2:$A$1001,RouteID_Conversion!$H$2:$H$999,SoundCast_Data!$C$2:$C$1001)</f>
        <v>218.79815673828111</v>
      </c>
      <c r="N458">
        <v>457</v>
      </c>
      <c r="O458" t="s">
        <v>605</v>
      </c>
      <c r="P458">
        <v>1929</v>
      </c>
      <c r="Q458" s="8">
        <f>SUMIF(SoundCast_Data!$Q$2:$Q$747,RouteID_Conversion!N458,SoundCast_Data!$P$2:$P$747)</f>
        <v>14.861838698387142</v>
      </c>
    </row>
    <row r="459" spans="1:17" x14ac:dyDescent="0.25">
      <c r="A459">
        <v>946</v>
      </c>
      <c r="B459">
        <v>110458</v>
      </c>
      <c r="C459">
        <v>1</v>
      </c>
      <c r="D459" t="s">
        <v>1765</v>
      </c>
      <c r="E459" t="s">
        <v>327</v>
      </c>
      <c r="F459" t="s">
        <v>1765</v>
      </c>
      <c r="G459">
        <v>1</v>
      </c>
      <c r="H459">
        <v>458</v>
      </c>
      <c r="I459" t="s">
        <v>1763</v>
      </c>
      <c r="J459">
        <v>1240</v>
      </c>
      <c r="K459" s="8">
        <f>SUMIF(SoundCast_Data!$A$2:$A$1001,RouteID_Conversion!$H$2:$H$999,SoundCast_Data!$C$2:$C$1001)</f>
        <v>457.75157165527196</v>
      </c>
      <c r="N459">
        <v>458</v>
      </c>
      <c r="O459" t="s">
        <v>536</v>
      </c>
      <c r="P459">
        <v>1935</v>
      </c>
      <c r="Q459" s="8">
        <f>SUMIF(SoundCast_Data!$Q$2:$Q$747,RouteID_Conversion!N459,SoundCast_Data!$P$2:$P$747)</f>
        <v>59.465760231017889</v>
      </c>
    </row>
    <row r="460" spans="1:17" x14ac:dyDescent="0.25">
      <c r="A460">
        <v>947</v>
      </c>
      <c r="B460">
        <v>110459</v>
      </c>
      <c r="C460">
        <v>1</v>
      </c>
      <c r="D460" t="s">
        <v>1766</v>
      </c>
      <c r="E460" t="s">
        <v>327</v>
      </c>
      <c r="F460" t="s">
        <v>1766</v>
      </c>
      <c r="G460">
        <v>1</v>
      </c>
      <c r="H460">
        <v>459</v>
      </c>
      <c r="I460" t="s">
        <v>1763</v>
      </c>
      <c r="J460">
        <v>1240</v>
      </c>
      <c r="K460" s="8">
        <f>SUMIF(SoundCast_Data!$A$2:$A$1001,RouteID_Conversion!$H$2:$H$999,SoundCast_Data!$C$2:$C$1001)</f>
        <v>91.550321578979407</v>
      </c>
      <c r="N460">
        <v>459</v>
      </c>
      <c r="O460" t="s">
        <v>536</v>
      </c>
      <c r="P460">
        <v>1935</v>
      </c>
      <c r="Q460" s="8">
        <f>SUMIF(SoundCast_Data!$Q$2:$Q$747,RouteID_Conversion!N460,SoundCast_Data!$P$2:$P$747)</f>
        <v>77.731574058532502</v>
      </c>
    </row>
    <row r="461" spans="1:17" x14ac:dyDescent="0.25">
      <c r="A461">
        <v>872</v>
      </c>
      <c r="B461">
        <v>110460</v>
      </c>
      <c r="C461">
        <v>1</v>
      </c>
      <c r="D461" t="s">
        <v>1639</v>
      </c>
      <c r="E461" t="s">
        <v>327</v>
      </c>
      <c r="F461" t="s">
        <v>1639</v>
      </c>
      <c r="G461">
        <v>1</v>
      </c>
      <c r="H461">
        <v>460</v>
      </c>
      <c r="I461" t="s">
        <v>1640</v>
      </c>
      <c r="J461">
        <v>1242</v>
      </c>
      <c r="K461" s="8">
        <f>SUMIF(SoundCast_Data!$A$2:$A$1001,RouteID_Conversion!$H$2:$H$999,SoundCast_Data!$C$2:$C$1001)</f>
        <v>506.06826782226301</v>
      </c>
      <c r="N461">
        <v>460</v>
      </c>
      <c r="O461" t="s">
        <v>1907</v>
      </c>
      <c r="P461">
        <v>1952</v>
      </c>
      <c r="Q461" s="8">
        <f>SUMIF(SoundCast_Data!$Q$2:$Q$747,RouteID_Conversion!N461,SoundCast_Data!$P$2:$P$747)</f>
        <v>24.416028022766099</v>
      </c>
    </row>
    <row r="462" spans="1:17" x14ac:dyDescent="0.25">
      <c r="A462">
        <v>992</v>
      </c>
      <c r="B462">
        <v>110461</v>
      </c>
      <c r="C462">
        <v>1</v>
      </c>
      <c r="D462" t="s">
        <v>1825</v>
      </c>
      <c r="E462" t="s">
        <v>327</v>
      </c>
      <c r="F462" t="s">
        <v>1825</v>
      </c>
      <c r="G462">
        <v>1</v>
      </c>
      <c r="H462">
        <v>461</v>
      </c>
      <c r="I462" t="s">
        <v>1826</v>
      </c>
      <c r="J462">
        <v>1243</v>
      </c>
      <c r="K462" s="8">
        <f>SUMIF(SoundCast_Data!$A$2:$A$1001,RouteID_Conversion!$H$2:$H$999,SoundCast_Data!$C$2:$C$1001)</f>
        <v>136.39451980590812</v>
      </c>
      <c r="N462">
        <v>461</v>
      </c>
      <c r="O462" t="s">
        <v>1166</v>
      </c>
      <c r="P462">
        <v>3870</v>
      </c>
      <c r="Q462" s="8">
        <f>SUMIF(SoundCast_Data!$Q$2:$Q$747,RouteID_Conversion!N462,SoundCast_Data!$P$2:$P$747)</f>
        <v>28.645786046981783</v>
      </c>
    </row>
    <row r="463" spans="1:17" x14ac:dyDescent="0.25">
      <c r="A463">
        <v>132</v>
      </c>
      <c r="B463">
        <v>110462</v>
      </c>
      <c r="C463">
        <v>1</v>
      </c>
      <c r="D463" t="s">
        <v>537</v>
      </c>
      <c r="E463" t="s">
        <v>327</v>
      </c>
      <c r="F463" t="s">
        <v>537</v>
      </c>
      <c r="G463">
        <v>1</v>
      </c>
      <c r="H463">
        <v>462</v>
      </c>
      <c r="I463" t="s">
        <v>538</v>
      </c>
      <c r="J463">
        <v>1244</v>
      </c>
      <c r="K463" s="8">
        <f>SUMIF(SoundCast_Data!$A$2:$A$1001,RouteID_Conversion!$H$2:$H$999,SoundCast_Data!$C$2:$C$1001)</f>
        <v>178.25625228881822</v>
      </c>
      <c r="N463">
        <v>462</v>
      </c>
      <c r="O463" t="s">
        <v>1166</v>
      </c>
      <c r="P463">
        <v>3870</v>
      </c>
      <c r="Q463" s="8">
        <f>SUMIF(SoundCast_Data!$Q$2:$Q$747,RouteID_Conversion!N463,SoundCast_Data!$P$2:$P$747)</f>
        <v>9.1073703765869105</v>
      </c>
    </row>
    <row r="464" spans="1:17" x14ac:dyDescent="0.25">
      <c r="A464">
        <v>528</v>
      </c>
      <c r="B464">
        <v>110463</v>
      </c>
      <c r="C464">
        <v>1</v>
      </c>
      <c r="D464" t="s">
        <v>1139</v>
      </c>
      <c r="E464" t="s">
        <v>327</v>
      </c>
      <c r="F464" t="s">
        <v>1139</v>
      </c>
      <c r="G464">
        <v>1</v>
      </c>
      <c r="H464">
        <v>463</v>
      </c>
      <c r="I464" t="s">
        <v>1140</v>
      </c>
      <c r="J464">
        <v>1245</v>
      </c>
      <c r="K464" s="8">
        <f>SUMIF(SoundCast_Data!$A$2:$A$1001,RouteID_Conversion!$H$2:$H$999,SoundCast_Data!$C$2:$C$1001)</f>
        <v>57.133217811584394</v>
      </c>
      <c r="N464">
        <v>463</v>
      </c>
      <c r="O464" t="s">
        <v>1166</v>
      </c>
      <c r="P464">
        <v>3870</v>
      </c>
      <c r="Q464" s="8">
        <f>SUMIF(SoundCast_Data!$Q$2:$Q$747,RouteID_Conversion!N464,SoundCast_Data!$P$2:$P$747)</f>
        <v>12.04826807975768</v>
      </c>
    </row>
    <row r="465" spans="1:17" x14ac:dyDescent="0.25">
      <c r="A465">
        <v>529</v>
      </c>
      <c r="B465">
        <v>110464</v>
      </c>
      <c r="C465">
        <v>1</v>
      </c>
      <c r="D465" t="s">
        <v>1141</v>
      </c>
      <c r="E465" t="s">
        <v>327</v>
      </c>
      <c r="F465" t="s">
        <v>1141</v>
      </c>
      <c r="G465">
        <v>1</v>
      </c>
      <c r="H465">
        <v>464</v>
      </c>
      <c r="I465" t="s">
        <v>1140</v>
      </c>
      <c r="J465">
        <v>1245</v>
      </c>
      <c r="K465" s="8">
        <f>SUMIF(SoundCast_Data!$A$2:$A$1001,RouteID_Conversion!$H$2:$H$999,SoundCast_Data!$C$2:$C$1001)</f>
        <v>401.14592742919791</v>
      </c>
      <c r="N465">
        <v>464</v>
      </c>
      <c r="O465" t="s">
        <v>1166</v>
      </c>
      <c r="P465">
        <v>3870</v>
      </c>
      <c r="Q465" s="8">
        <f>SUMIF(SoundCast_Data!$Q$2:$Q$747,RouteID_Conversion!N465,SoundCast_Data!$P$2:$P$747)</f>
        <v>33.369533300399766</v>
      </c>
    </row>
    <row r="466" spans="1:17" x14ac:dyDescent="0.25">
      <c r="A466">
        <v>530</v>
      </c>
      <c r="B466">
        <v>110465</v>
      </c>
      <c r="C466">
        <v>1</v>
      </c>
      <c r="D466" t="s">
        <v>1142</v>
      </c>
      <c r="E466" t="s">
        <v>327</v>
      </c>
      <c r="F466" t="s">
        <v>1142</v>
      </c>
      <c r="G466">
        <v>1</v>
      </c>
      <c r="H466">
        <v>465</v>
      </c>
      <c r="I466" t="s">
        <v>1140</v>
      </c>
      <c r="J466">
        <v>1245</v>
      </c>
      <c r="K466" s="8">
        <f>SUMIF(SoundCast_Data!$A$2:$A$1001,RouteID_Conversion!$H$2:$H$999,SoundCast_Data!$C$2:$C$1001)</f>
        <v>115.515354156494</v>
      </c>
      <c r="N466">
        <v>465</v>
      </c>
      <c r="O466" t="s">
        <v>1262</v>
      </c>
      <c r="P466">
        <v>3855</v>
      </c>
      <c r="Q466" s="8">
        <f>SUMIF(SoundCast_Data!$Q$2:$Q$747,RouteID_Conversion!N466,SoundCast_Data!$P$2:$P$747)</f>
        <v>27.957697868347147</v>
      </c>
    </row>
    <row r="467" spans="1:17" x14ac:dyDescent="0.25">
      <c r="A467">
        <v>531</v>
      </c>
      <c r="B467">
        <v>110466</v>
      </c>
      <c r="C467">
        <v>1</v>
      </c>
      <c r="D467" t="s">
        <v>1143</v>
      </c>
      <c r="E467" t="s">
        <v>327</v>
      </c>
      <c r="F467" t="s">
        <v>1143</v>
      </c>
      <c r="G467">
        <v>1</v>
      </c>
      <c r="H467">
        <v>466</v>
      </c>
      <c r="I467" t="s">
        <v>1140</v>
      </c>
      <c r="J467">
        <v>1245</v>
      </c>
      <c r="K467" s="8">
        <f>SUMIF(SoundCast_Data!$A$2:$A$1001,RouteID_Conversion!$H$2:$H$999,SoundCast_Data!$C$2:$C$1001)</f>
        <v>566.05131530761696</v>
      </c>
      <c r="N467">
        <v>466</v>
      </c>
      <c r="O467" t="s">
        <v>1166</v>
      </c>
      <c r="P467">
        <v>3870</v>
      </c>
      <c r="Q467" s="8">
        <f>SUMIF(SoundCast_Data!$Q$2:$Q$747,RouteID_Conversion!N467,SoundCast_Data!$P$2:$P$747)</f>
        <v>11.95810151100158</v>
      </c>
    </row>
    <row r="468" spans="1:17" x14ac:dyDescent="0.25">
      <c r="A468">
        <v>733</v>
      </c>
      <c r="B468">
        <v>110467</v>
      </c>
      <c r="C468">
        <v>1</v>
      </c>
      <c r="D468" t="s">
        <v>1427</v>
      </c>
      <c r="E468" t="s">
        <v>327</v>
      </c>
      <c r="F468" t="s">
        <v>1427</v>
      </c>
      <c r="G468">
        <v>1</v>
      </c>
      <c r="H468">
        <v>467</v>
      </c>
      <c r="I468" t="s">
        <v>1428</v>
      </c>
      <c r="J468">
        <v>1247</v>
      </c>
      <c r="K468" s="8">
        <f>SUMIF(SoundCast_Data!$A$2:$A$1001,RouteID_Conversion!$H$2:$H$999,SoundCast_Data!$C$2:$C$1001)</f>
        <v>64.772436141967603</v>
      </c>
      <c r="N468">
        <v>467</v>
      </c>
      <c r="O468" t="s">
        <v>1076</v>
      </c>
      <c r="P468">
        <v>3812</v>
      </c>
      <c r="Q468" s="8">
        <f>SUMIF(SoundCast_Data!$Q$2:$Q$747,RouteID_Conversion!N468,SoundCast_Data!$P$2:$P$747)</f>
        <v>66.71025753021226</v>
      </c>
    </row>
    <row r="469" spans="1:17" x14ac:dyDescent="0.25">
      <c r="A469">
        <v>597</v>
      </c>
      <c r="B469">
        <v>110468</v>
      </c>
      <c r="C469">
        <v>1</v>
      </c>
      <c r="D469" t="s">
        <v>1247</v>
      </c>
      <c r="E469" t="s">
        <v>327</v>
      </c>
      <c r="F469" t="s">
        <v>1247</v>
      </c>
      <c r="G469">
        <v>1</v>
      </c>
      <c r="H469">
        <v>468</v>
      </c>
      <c r="I469" t="s">
        <v>999</v>
      </c>
      <c r="J469">
        <v>1248</v>
      </c>
      <c r="K469" s="8">
        <f>SUMIF(SoundCast_Data!$A$2:$A$1001,RouteID_Conversion!$H$2:$H$999,SoundCast_Data!$C$2:$C$1001)</f>
        <v>69.868759155273295</v>
      </c>
      <c r="N469">
        <v>468</v>
      </c>
      <c r="O469" t="s">
        <v>1076</v>
      </c>
      <c r="P469">
        <v>3812</v>
      </c>
      <c r="Q469" s="8">
        <f>SUMIF(SoundCast_Data!$Q$2:$Q$747,RouteID_Conversion!N469,SoundCast_Data!$P$2:$P$747)</f>
        <v>117.1028938293456</v>
      </c>
    </row>
    <row r="470" spans="1:17" x14ac:dyDescent="0.25">
      <c r="A470">
        <v>435</v>
      </c>
      <c r="B470">
        <v>110469</v>
      </c>
      <c r="C470">
        <v>1</v>
      </c>
      <c r="D470" t="s">
        <v>998</v>
      </c>
      <c r="E470" t="s">
        <v>327</v>
      </c>
      <c r="F470" t="s">
        <v>998</v>
      </c>
      <c r="G470">
        <v>1</v>
      </c>
      <c r="H470">
        <v>469</v>
      </c>
      <c r="I470" t="s">
        <v>999</v>
      </c>
      <c r="J470">
        <v>1248</v>
      </c>
      <c r="K470" s="8">
        <f>SUMIF(SoundCast_Data!$A$2:$A$1001,RouteID_Conversion!$H$2:$H$999,SoundCast_Data!$C$2:$C$1001)</f>
        <v>203.96502685546869</v>
      </c>
      <c r="N470">
        <v>469</v>
      </c>
      <c r="O470" t="s">
        <v>1599</v>
      </c>
      <c r="P470">
        <v>3701</v>
      </c>
      <c r="Q470" s="8">
        <f>SUMIF(SoundCast_Data!$Q$2:$Q$747,RouteID_Conversion!N470,SoundCast_Data!$P$2:$P$747)</f>
        <v>1413.603759765623</v>
      </c>
    </row>
    <row r="471" spans="1:17" x14ac:dyDescent="0.25">
      <c r="A471">
        <v>948</v>
      </c>
      <c r="B471">
        <v>110470</v>
      </c>
      <c r="C471">
        <v>1</v>
      </c>
      <c r="D471" t="s">
        <v>1767</v>
      </c>
      <c r="E471" t="s">
        <v>327</v>
      </c>
      <c r="F471" t="s">
        <v>1767</v>
      </c>
      <c r="G471">
        <v>1</v>
      </c>
      <c r="H471">
        <v>470</v>
      </c>
      <c r="I471" t="s">
        <v>1768</v>
      </c>
      <c r="J471">
        <v>1249</v>
      </c>
      <c r="K471" s="8">
        <f>SUMIF(SoundCast_Data!$A$2:$A$1001,RouteID_Conversion!$H$2:$H$999,SoundCast_Data!$C$2:$C$1001)</f>
        <v>170.42173004150379</v>
      </c>
      <c r="N471">
        <v>470</v>
      </c>
      <c r="O471" t="s">
        <v>1599</v>
      </c>
      <c r="P471">
        <v>3701</v>
      </c>
      <c r="Q471" s="8">
        <f>SUMIF(SoundCast_Data!$Q$2:$Q$747,RouteID_Conversion!N471,SoundCast_Data!$P$2:$P$747)</f>
        <v>822.60432434081895</v>
      </c>
    </row>
    <row r="472" spans="1:17" x14ac:dyDescent="0.25">
      <c r="A472">
        <v>949</v>
      </c>
      <c r="B472">
        <v>110471</v>
      </c>
      <c r="C472">
        <v>1</v>
      </c>
      <c r="D472" t="s">
        <v>1769</v>
      </c>
      <c r="E472" t="s">
        <v>327</v>
      </c>
      <c r="F472" t="s">
        <v>1769</v>
      </c>
      <c r="G472">
        <v>1</v>
      </c>
      <c r="H472">
        <v>471</v>
      </c>
      <c r="I472" t="s">
        <v>1768</v>
      </c>
      <c r="J472">
        <v>1249</v>
      </c>
      <c r="K472" s="8">
        <f>SUMIF(SoundCast_Data!$A$2:$A$1001,RouteID_Conversion!$H$2:$H$999,SoundCast_Data!$C$2:$C$1001)</f>
        <v>85.210865020751797</v>
      </c>
      <c r="N472">
        <v>471</v>
      </c>
      <c r="O472" t="s">
        <v>1216</v>
      </c>
      <c r="P472">
        <v>6535</v>
      </c>
      <c r="Q472" s="8">
        <f>SUMIF(SoundCast_Data!$Q$2:$Q$747,RouteID_Conversion!N472,SoundCast_Data!$P$2:$P$747)</f>
        <v>473.28409194946198</v>
      </c>
    </row>
    <row r="473" spans="1:17" x14ac:dyDescent="0.25">
      <c r="A473">
        <v>950</v>
      </c>
      <c r="B473">
        <v>110472</v>
      </c>
      <c r="C473">
        <v>1</v>
      </c>
      <c r="D473" t="s">
        <v>1770</v>
      </c>
      <c r="E473" t="s">
        <v>327</v>
      </c>
      <c r="F473" t="s">
        <v>1770</v>
      </c>
      <c r="G473">
        <v>1</v>
      </c>
      <c r="H473">
        <v>472</v>
      </c>
      <c r="I473" t="s">
        <v>1768</v>
      </c>
      <c r="J473">
        <v>1249</v>
      </c>
      <c r="K473" s="8">
        <f>SUMIF(SoundCast_Data!$A$2:$A$1001,RouteID_Conversion!$H$2:$H$999,SoundCast_Data!$C$2:$C$1001)</f>
        <v>100.82162666320789</v>
      </c>
      <c r="N473">
        <v>472</v>
      </c>
      <c r="O473" t="s">
        <v>1216</v>
      </c>
      <c r="P473">
        <v>6535</v>
      </c>
      <c r="Q473" s="8">
        <f>SUMIF(SoundCast_Data!$Q$2:$Q$747,RouteID_Conversion!N473,SoundCast_Data!$P$2:$P$747)</f>
        <v>781.00936889648392</v>
      </c>
    </row>
    <row r="474" spans="1:17" x14ac:dyDescent="0.25">
      <c r="A474">
        <v>951</v>
      </c>
      <c r="B474">
        <v>110473</v>
      </c>
      <c r="C474">
        <v>1</v>
      </c>
      <c r="D474" t="s">
        <v>1771</v>
      </c>
      <c r="E474" t="s">
        <v>327</v>
      </c>
      <c r="F474" t="s">
        <v>1771</v>
      </c>
      <c r="G474">
        <v>1</v>
      </c>
      <c r="H474">
        <v>473</v>
      </c>
      <c r="I474" t="s">
        <v>1768</v>
      </c>
      <c r="J474">
        <v>1249</v>
      </c>
      <c r="K474" s="8">
        <f>SUMIF(SoundCast_Data!$A$2:$A$1001,RouteID_Conversion!$H$2:$H$999,SoundCast_Data!$C$2:$C$1001)</f>
        <v>403.28650665283101</v>
      </c>
      <c r="N474">
        <v>473</v>
      </c>
      <c r="O474" t="s">
        <v>1604</v>
      </c>
      <c r="P474">
        <v>6532</v>
      </c>
      <c r="Q474" s="8">
        <f>SUMIF(SoundCast_Data!$Q$2:$Q$747,RouteID_Conversion!N474,SoundCast_Data!$P$2:$P$747)</f>
        <v>64.636527061462274</v>
      </c>
    </row>
    <row r="475" spans="1:17" x14ac:dyDescent="0.25">
      <c r="A475">
        <v>952</v>
      </c>
      <c r="B475">
        <v>110474</v>
      </c>
      <c r="C475">
        <v>1</v>
      </c>
      <c r="D475" t="s">
        <v>1772</v>
      </c>
      <c r="E475" t="s">
        <v>327</v>
      </c>
      <c r="F475" t="s">
        <v>1772</v>
      </c>
      <c r="G475">
        <v>1</v>
      </c>
      <c r="H475">
        <v>474</v>
      </c>
      <c r="I475" t="s">
        <v>1768</v>
      </c>
      <c r="J475">
        <v>1249</v>
      </c>
      <c r="K475" s="8">
        <f>SUMIF(SoundCast_Data!$A$2:$A$1001,RouteID_Conversion!$H$2:$H$999,SoundCast_Data!$C$2:$C$1001)</f>
        <v>100.82162666320789</v>
      </c>
      <c r="N475">
        <v>474</v>
      </c>
      <c r="O475" t="s">
        <v>1694</v>
      </c>
      <c r="P475">
        <v>6511</v>
      </c>
      <c r="Q475" s="8">
        <f>SUMIF(SoundCast_Data!$Q$2:$Q$747,RouteID_Conversion!N475,SoundCast_Data!$P$2:$P$747)</f>
        <v>1190.1366958618155</v>
      </c>
    </row>
    <row r="476" spans="1:17" x14ac:dyDescent="0.25">
      <c r="A476">
        <v>814</v>
      </c>
      <c r="B476">
        <v>110475</v>
      </c>
      <c r="C476">
        <v>1</v>
      </c>
      <c r="D476" t="s">
        <v>1538</v>
      </c>
      <c r="E476" t="s">
        <v>327</v>
      </c>
      <c r="F476" t="s">
        <v>1538</v>
      </c>
      <c r="G476">
        <v>1</v>
      </c>
      <c r="H476">
        <v>475</v>
      </c>
      <c r="I476" t="s">
        <v>1539</v>
      </c>
      <c r="J476">
        <v>1250</v>
      </c>
      <c r="K476" s="8">
        <f>SUMIF(SoundCast_Data!$A$2:$A$1001,RouteID_Conversion!$H$2:$H$999,SoundCast_Data!$C$2:$C$1001)</f>
        <v>149.30329132080061</v>
      </c>
      <c r="N476">
        <v>475</v>
      </c>
      <c r="O476" t="s">
        <v>1694</v>
      </c>
      <c r="P476">
        <v>6511</v>
      </c>
      <c r="Q476" s="8">
        <f>SUMIF(SoundCast_Data!$Q$2:$Q$747,RouteID_Conversion!N476,SoundCast_Data!$P$2:$P$747)</f>
        <v>160.40220069885186</v>
      </c>
    </row>
    <row r="477" spans="1:17" x14ac:dyDescent="0.25">
      <c r="A477">
        <v>138</v>
      </c>
      <c r="B477">
        <v>110476</v>
      </c>
      <c r="C477">
        <v>1</v>
      </c>
      <c r="D477" t="s">
        <v>545</v>
      </c>
      <c r="E477" t="s">
        <v>327</v>
      </c>
      <c r="F477" t="s">
        <v>545</v>
      </c>
      <c r="G477">
        <v>1</v>
      </c>
      <c r="H477">
        <v>476</v>
      </c>
      <c r="I477" t="s">
        <v>546</v>
      </c>
      <c r="J477">
        <v>1251</v>
      </c>
      <c r="K477" s="8">
        <f>SUMIF(SoundCast_Data!$A$2:$A$1001,RouteID_Conversion!$H$2:$H$999,SoundCast_Data!$C$2:$C$1001)</f>
        <v>79.827583312988097</v>
      </c>
      <c r="N477">
        <v>476</v>
      </c>
      <c r="O477" t="s">
        <v>1694</v>
      </c>
      <c r="P477">
        <v>6511</v>
      </c>
      <c r="Q477" s="8">
        <f>SUMIF(SoundCast_Data!$Q$2:$Q$747,RouteID_Conversion!N477,SoundCast_Data!$P$2:$P$747)</f>
        <v>3296.8358764648433</v>
      </c>
    </row>
    <row r="478" spans="1:17" x14ac:dyDescent="0.25">
      <c r="A478">
        <v>139</v>
      </c>
      <c r="B478">
        <v>110477</v>
      </c>
      <c r="C478">
        <v>1</v>
      </c>
      <c r="D478" t="s">
        <v>547</v>
      </c>
      <c r="E478" t="s">
        <v>327</v>
      </c>
      <c r="F478" t="s">
        <v>547</v>
      </c>
      <c r="G478">
        <v>1</v>
      </c>
      <c r="H478">
        <v>477</v>
      </c>
      <c r="I478" t="s">
        <v>546</v>
      </c>
      <c r="J478">
        <v>1251</v>
      </c>
      <c r="K478" s="8">
        <f>SUMIF(SoundCast_Data!$A$2:$A$1001,RouteID_Conversion!$H$2:$H$999,SoundCast_Data!$C$2:$C$1001)</f>
        <v>84.301432609558006</v>
      </c>
      <c r="N478">
        <v>477</v>
      </c>
      <c r="O478" t="s">
        <v>1609</v>
      </c>
      <c r="P478">
        <v>6510</v>
      </c>
      <c r="Q478" s="8">
        <f>SUMIF(SoundCast_Data!$Q$2:$Q$747,RouteID_Conversion!N478,SoundCast_Data!$P$2:$P$747)</f>
        <v>337.97117614746003</v>
      </c>
    </row>
    <row r="479" spans="1:17" x14ac:dyDescent="0.25">
      <c r="A479">
        <v>140</v>
      </c>
      <c r="B479">
        <v>110478</v>
      </c>
      <c r="C479">
        <v>1</v>
      </c>
      <c r="D479" t="s">
        <v>548</v>
      </c>
      <c r="E479" t="s">
        <v>327</v>
      </c>
      <c r="F479" t="s">
        <v>548</v>
      </c>
      <c r="G479">
        <v>1</v>
      </c>
      <c r="H479">
        <v>478</v>
      </c>
      <c r="I479" t="s">
        <v>546</v>
      </c>
      <c r="J479">
        <v>1251</v>
      </c>
      <c r="K479" s="8">
        <f>SUMIF(SoundCast_Data!$A$2:$A$1001,RouteID_Conversion!$H$2:$H$999,SoundCast_Data!$C$2:$C$1001)</f>
        <v>16.860286474227902</v>
      </c>
      <c r="N479">
        <v>478</v>
      </c>
      <c r="O479" t="s">
        <v>1609</v>
      </c>
      <c r="P479">
        <v>6510</v>
      </c>
      <c r="Q479" s="8">
        <f>SUMIF(SoundCast_Data!$Q$2:$Q$747,RouteID_Conversion!N479,SoundCast_Data!$P$2:$P$747)</f>
        <v>66.926644802093421</v>
      </c>
    </row>
    <row r="480" spans="1:17" x14ac:dyDescent="0.25">
      <c r="A480">
        <v>815</v>
      </c>
      <c r="B480">
        <v>110479</v>
      </c>
      <c r="C480">
        <v>1</v>
      </c>
      <c r="D480" t="s">
        <v>1540</v>
      </c>
      <c r="E480" t="s">
        <v>327</v>
      </c>
      <c r="F480" t="s">
        <v>1540</v>
      </c>
      <c r="G480">
        <v>1</v>
      </c>
      <c r="H480">
        <v>479</v>
      </c>
      <c r="I480" t="s">
        <v>1541</v>
      </c>
      <c r="J480">
        <v>1252</v>
      </c>
      <c r="K480" s="8">
        <f>SUMIF(SoundCast_Data!$A$2:$A$1001,RouteID_Conversion!$H$2:$H$999,SoundCast_Data!$C$2:$C$1001)</f>
        <v>415.0018920898429</v>
      </c>
      <c r="N480">
        <v>479</v>
      </c>
      <c r="O480" t="s">
        <v>1609</v>
      </c>
      <c r="P480">
        <v>6510</v>
      </c>
      <c r="Q480" s="8">
        <f>SUMIF(SoundCast_Data!$Q$2:$Q$747,RouteID_Conversion!N480,SoundCast_Data!$P$2:$P$747)</f>
        <v>837.49168395995889</v>
      </c>
    </row>
    <row r="481" spans="1:17" x14ac:dyDescent="0.25">
      <c r="A481">
        <v>953</v>
      </c>
      <c r="B481">
        <v>110480</v>
      </c>
      <c r="C481">
        <v>1</v>
      </c>
      <c r="D481" t="s">
        <v>1773</v>
      </c>
      <c r="E481" t="s">
        <v>327</v>
      </c>
      <c r="F481" t="s">
        <v>1773</v>
      </c>
      <c r="G481">
        <v>1</v>
      </c>
      <c r="H481">
        <v>480</v>
      </c>
      <c r="I481" t="s">
        <v>1774</v>
      </c>
      <c r="J481">
        <v>1253</v>
      </c>
      <c r="K481" s="8">
        <f>SUMIF(SoundCast_Data!$A$2:$A$1001,RouteID_Conversion!$H$2:$H$999,SoundCast_Data!$C$2:$C$1001)</f>
        <v>199.4468231201171</v>
      </c>
      <c r="N481">
        <v>480</v>
      </c>
      <c r="O481" t="s">
        <v>1618</v>
      </c>
      <c r="P481">
        <v>3421</v>
      </c>
      <c r="Q481" s="8">
        <f>SUMIF(SoundCast_Data!$Q$2:$Q$747,RouteID_Conversion!N481,SoundCast_Data!$P$2:$P$747)</f>
        <v>6.6551545858383001</v>
      </c>
    </row>
    <row r="482" spans="1:17" x14ac:dyDescent="0.25">
      <c r="A482">
        <v>954</v>
      </c>
      <c r="B482">
        <v>110481</v>
      </c>
      <c r="C482">
        <v>1</v>
      </c>
      <c r="D482" t="s">
        <v>1775</v>
      </c>
      <c r="E482" t="s">
        <v>327</v>
      </c>
      <c r="F482" t="s">
        <v>1775</v>
      </c>
      <c r="G482">
        <v>1</v>
      </c>
      <c r="H482">
        <v>481</v>
      </c>
      <c r="I482" t="s">
        <v>1774</v>
      </c>
      <c r="J482">
        <v>1253</v>
      </c>
      <c r="K482" s="8">
        <f>SUMIF(SoundCast_Data!$A$2:$A$1001,RouteID_Conversion!$H$2:$H$999,SoundCast_Data!$C$2:$C$1001)</f>
        <v>265.92911529540919</v>
      </c>
      <c r="N482">
        <v>481</v>
      </c>
      <c r="O482" t="s">
        <v>1717</v>
      </c>
      <c r="P482">
        <v>3414</v>
      </c>
      <c r="Q482" s="8">
        <f>SUMIF(SoundCast_Data!$Q$2:$Q$747,RouteID_Conversion!N482,SoundCast_Data!$P$2:$P$747)</f>
        <v>90.813561439514018</v>
      </c>
    </row>
    <row r="483" spans="1:17" x14ac:dyDescent="0.25">
      <c r="A483">
        <v>955</v>
      </c>
      <c r="B483">
        <v>110482</v>
      </c>
      <c r="C483">
        <v>1</v>
      </c>
      <c r="D483" t="s">
        <v>1776</v>
      </c>
      <c r="E483" t="s">
        <v>327</v>
      </c>
      <c r="F483" t="s">
        <v>1776</v>
      </c>
      <c r="G483">
        <v>1</v>
      </c>
      <c r="H483">
        <v>482</v>
      </c>
      <c r="I483" t="s">
        <v>1774</v>
      </c>
      <c r="J483">
        <v>1253</v>
      </c>
      <c r="K483" s="8">
        <f>SUMIF(SoundCast_Data!$A$2:$A$1001,RouteID_Conversion!$H$2:$H$999,SoundCast_Data!$C$2:$C$1001)</f>
        <v>150.53048324584941</v>
      </c>
      <c r="N483">
        <v>482</v>
      </c>
      <c r="O483" t="s">
        <v>1717</v>
      </c>
      <c r="P483">
        <v>3414</v>
      </c>
      <c r="Q483" s="8">
        <f>SUMIF(SoundCast_Data!$Q$2:$Q$747,RouteID_Conversion!N483,SoundCast_Data!$P$2:$P$747)</f>
        <v>135.84447669982902</v>
      </c>
    </row>
    <row r="484" spans="1:17" x14ac:dyDescent="0.25">
      <c r="A484">
        <v>956</v>
      </c>
      <c r="B484">
        <v>110483</v>
      </c>
      <c r="C484">
        <v>1</v>
      </c>
      <c r="D484" t="s">
        <v>1777</v>
      </c>
      <c r="E484" t="s">
        <v>327</v>
      </c>
      <c r="F484" t="s">
        <v>1777</v>
      </c>
      <c r="G484">
        <v>1</v>
      </c>
      <c r="H484">
        <v>483</v>
      </c>
      <c r="I484" t="s">
        <v>1774</v>
      </c>
      <c r="J484">
        <v>1253</v>
      </c>
      <c r="K484" s="8">
        <f>SUMIF(SoundCast_Data!$A$2:$A$1001,RouteID_Conversion!$H$2:$H$999,SoundCast_Data!$C$2:$C$1001)</f>
        <v>75.265241622924705</v>
      </c>
      <c r="N484">
        <v>483</v>
      </c>
      <c r="O484" t="s">
        <v>1738</v>
      </c>
      <c r="P484">
        <v>3402</v>
      </c>
      <c r="Q484" s="8">
        <f>SUMIF(SoundCast_Data!$Q$2:$Q$747,RouteID_Conversion!N484,SoundCast_Data!$P$2:$P$747)</f>
        <v>35.770093441009458</v>
      </c>
    </row>
    <row r="485" spans="1:17" x14ac:dyDescent="0.25">
      <c r="A485">
        <v>957</v>
      </c>
      <c r="B485">
        <v>110484</v>
      </c>
      <c r="C485">
        <v>1</v>
      </c>
      <c r="D485" t="s">
        <v>1778</v>
      </c>
      <c r="E485" t="s">
        <v>327</v>
      </c>
      <c r="F485" t="s">
        <v>1778</v>
      </c>
      <c r="G485">
        <v>1</v>
      </c>
      <c r="H485">
        <v>484</v>
      </c>
      <c r="I485" t="s">
        <v>1774</v>
      </c>
      <c r="J485">
        <v>1253</v>
      </c>
      <c r="K485" s="8">
        <f>SUMIF(SoundCast_Data!$A$2:$A$1001,RouteID_Conversion!$H$2:$H$999,SoundCast_Data!$C$2:$C$1001)</f>
        <v>225.7957382202147</v>
      </c>
      <c r="N485">
        <v>484</v>
      </c>
      <c r="O485" t="s">
        <v>1947</v>
      </c>
      <c r="P485">
        <v>3227</v>
      </c>
      <c r="Q485" s="8">
        <f>SUMIF(SoundCast_Data!$Q$2:$Q$747,RouteID_Conversion!N485,SoundCast_Data!$P$2:$P$747)</f>
        <v>34.017549276351872</v>
      </c>
    </row>
    <row r="486" spans="1:17" x14ac:dyDescent="0.25">
      <c r="A486">
        <v>874</v>
      </c>
      <c r="B486">
        <v>110485</v>
      </c>
      <c r="C486">
        <v>1</v>
      </c>
      <c r="D486" t="s">
        <v>1642</v>
      </c>
      <c r="E486" t="s">
        <v>327</v>
      </c>
      <c r="F486" t="s">
        <v>1642</v>
      </c>
      <c r="G486">
        <v>1</v>
      </c>
      <c r="H486">
        <v>485</v>
      </c>
      <c r="I486" t="s">
        <v>1287</v>
      </c>
      <c r="J486">
        <v>1255</v>
      </c>
      <c r="K486" s="8">
        <f>SUMIF(SoundCast_Data!$A$2:$A$1001,RouteID_Conversion!$H$2:$H$999,SoundCast_Data!$C$2:$C$1001)</f>
        <v>622.94291687011696</v>
      </c>
      <c r="N486">
        <v>485</v>
      </c>
      <c r="O486" t="s">
        <v>608</v>
      </c>
      <c r="P486">
        <v>3280</v>
      </c>
      <c r="Q486" s="8">
        <f>SUMIF(SoundCast_Data!$Q$2:$Q$747,RouteID_Conversion!N486,SoundCast_Data!$P$2:$P$747)</f>
        <v>88.505483627319194</v>
      </c>
    </row>
    <row r="487" spans="1:17" x14ac:dyDescent="0.25">
      <c r="A487">
        <v>630</v>
      </c>
      <c r="B487">
        <v>110486</v>
      </c>
      <c r="C487">
        <v>1</v>
      </c>
      <c r="D487" t="s">
        <v>1286</v>
      </c>
      <c r="E487" t="s">
        <v>327</v>
      </c>
      <c r="F487" t="s">
        <v>1286</v>
      </c>
      <c r="G487">
        <v>1</v>
      </c>
      <c r="H487">
        <v>486</v>
      </c>
      <c r="I487" t="s">
        <v>1287</v>
      </c>
      <c r="J487">
        <v>1255</v>
      </c>
      <c r="K487" s="8">
        <f>SUMIF(SoundCast_Data!$A$2:$A$1001,RouteID_Conversion!$H$2:$H$999,SoundCast_Data!$C$2:$C$1001)</f>
        <v>557.51584625244107</v>
      </c>
      <c r="N487">
        <v>486</v>
      </c>
      <c r="O487" t="s">
        <v>608</v>
      </c>
      <c r="P487">
        <v>3280</v>
      </c>
      <c r="Q487" s="8">
        <f>SUMIF(SoundCast_Data!$Q$2:$Q$747,RouteID_Conversion!N487,SoundCast_Data!$P$2:$P$747)</f>
        <v>140.991687774658</v>
      </c>
    </row>
    <row r="488" spans="1:17" x14ac:dyDescent="0.25">
      <c r="A488">
        <v>631</v>
      </c>
      <c r="B488">
        <v>110487</v>
      </c>
      <c r="C488">
        <v>1</v>
      </c>
      <c r="D488" t="s">
        <v>1288</v>
      </c>
      <c r="E488" t="s">
        <v>327</v>
      </c>
      <c r="F488" t="s">
        <v>1288</v>
      </c>
      <c r="G488">
        <v>1</v>
      </c>
      <c r="H488">
        <v>487</v>
      </c>
      <c r="I488" t="s">
        <v>1287</v>
      </c>
      <c r="J488">
        <v>1255</v>
      </c>
      <c r="K488" s="8">
        <f>SUMIF(SoundCast_Data!$A$2:$A$1001,RouteID_Conversion!$H$2:$H$999,SoundCast_Data!$C$2:$C$1001)</f>
        <v>411.17910766601528</v>
      </c>
      <c r="N488">
        <v>487</v>
      </c>
      <c r="O488" t="s">
        <v>608</v>
      </c>
      <c r="P488">
        <v>3280</v>
      </c>
      <c r="Q488" s="8">
        <f>SUMIF(SoundCast_Data!$Q$2:$Q$747,RouteID_Conversion!N488,SoundCast_Data!$P$2:$P$747)</f>
        <v>128.2706489562988</v>
      </c>
    </row>
    <row r="489" spans="1:17" x14ac:dyDescent="0.25">
      <c r="A489">
        <v>875</v>
      </c>
      <c r="B489">
        <v>110488</v>
      </c>
      <c r="C489">
        <v>1</v>
      </c>
      <c r="D489" t="s">
        <v>1643</v>
      </c>
      <c r="E489" t="s">
        <v>327</v>
      </c>
      <c r="F489" t="s">
        <v>1643</v>
      </c>
      <c r="G489">
        <v>1</v>
      </c>
      <c r="H489">
        <v>488</v>
      </c>
      <c r="I489" t="s">
        <v>1644</v>
      </c>
      <c r="J489">
        <v>1256</v>
      </c>
      <c r="K489" s="8">
        <f>SUMIF(SoundCast_Data!$A$2:$A$1001,RouteID_Conversion!$H$2:$H$999,SoundCast_Data!$C$2:$C$1001)</f>
        <v>552.07484436034997</v>
      </c>
      <c r="N489">
        <v>488</v>
      </c>
      <c r="O489" t="s">
        <v>1947</v>
      </c>
      <c r="P489">
        <v>3227</v>
      </c>
      <c r="Q489" s="8">
        <f>SUMIF(SoundCast_Data!$Q$2:$Q$747,RouteID_Conversion!N489,SoundCast_Data!$P$2:$P$747)</f>
        <v>3.8584591150283734</v>
      </c>
    </row>
    <row r="490" spans="1:17" x14ac:dyDescent="0.25">
      <c r="A490">
        <v>876</v>
      </c>
      <c r="B490">
        <v>110489</v>
      </c>
      <c r="C490">
        <v>1</v>
      </c>
      <c r="D490" t="s">
        <v>1645</v>
      </c>
      <c r="E490" t="s">
        <v>327</v>
      </c>
      <c r="F490" t="s">
        <v>1645</v>
      </c>
      <c r="G490">
        <v>1</v>
      </c>
      <c r="H490">
        <v>489</v>
      </c>
      <c r="I490" t="s">
        <v>1646</v>
      </c>
      <c r="J490">
        <v>1257</v>
      </c>
      <c r="K490" s="8">
        <f>SUMIF(SoundCast_Data!$A$2:$A$1001,RouteID_Conversion!$H$2:$H$999,SoundCast_Data!$C$2:$C$1001)</f>
        <v>347.74482727050679</v>
      </c>
      <c r="N490">
        <v>489</v>
      </c>
      <c r="O490" t="s">
        <v>1947</v>
      </c>
      <c r="P490">
        <v>3227</v>
      </c>
      <c r="Q490" s="8">
        <f>SUMIF(SoundCast_Data!$Q$2:$Q$747,RouteID_Conversion!N490,SoundCast_Data!$P$2:$P$747)</f>
        <v>3.8584591150283734</v>
      </c>
    </row>
    <row r="491" spans="1:17" x14ac:dyDescent="0.25">
      <c r="A491">
        <v>816</v>
      </c>
      <c r="B491">
        <v>110490</v>
      </c>
      <c r="C491">
        <v>1</v>
      </c>
      <c r="D491" t="s">
        <v>1542</v>
      </c>
      <c r="E491" t="s">
        <v>327</v>
      </c>
      <c r="F491" t="s">
        <v>1542</v>
      </c>
      <c r="G491">
        <v>1</v>
      </c>
      <c r="H491">
        <v>490</v>
      </c>
      <c r="I491" t="s">
        <v>1543</v>
      </c>
      <c r="J491">
        <v>1260</v>
      </c>
      <c r="K491" s="8">
        <f>SUMIF(SoundCast_Data!$A$2:$A$1001,RouteID_Conversion!$H$2:$H$999,SoundCast_Data!$C$2:$C$1001)</f>
        <v>128.4626731872558</v>
      </c>
      <c r="N491">
        <v>490</v>
      </c>
      <c r="O491" t="s">
        <v>1102</v>
      </c>
      <c r="P491">
        <v>3275</v>
      </c>
      <c r="Q491" s="8">
        <f>SUMIF(SoundCast_Data!$Q$2:$Q$747,RouteID_Conversion!N491,SoundCast_Data!$P$2:$P$747)</f>
        <v>66.88811016082748</v>
      </c>
    </row>
    <row r="492" spans="1:17" x14ac:dyDescent="0.25">
      <c r="A492">
        <v>958</v>
      </c>
      <c r="B492">
        <v>110491</v>
      </c>
      <c r="C492">
        <v>1</v>
      </c>
      <c r="D492" t="s">
        <v>1779</v>
      </c>
      <c r="E492" t="s">
        <v>327</v>
      </c>
      <c r="F492" t="s">
        <v>1779</v>
      </c>
      <c r="G492">
        <v>1</v>
      </c>
      <c r="H492">
        <v>491</v>
      </c>
      <c r="I492" t="s">
        <v>1780</v>
      </c>
      <c r="J492">
        <v>1261</v>
      </c>
      <c r="K492" s="8">
        <f>SUMIF(SoundCast_Data!$A$2:$A$1001,RouteID_Conversion!$H$2:$H$999,SoundCast_Data!$C$2:$C$1001)</f>
        <v>398.95533752441298</v>
      </c>
      <c r="N492">
        <v>491</v>
      </c>
      <c r="O492" t="s">
        <v>1102</v>
      </c>
      <c r="P492">
        <v>3275</v>
      </c>
      <c r="Q492" s="8">
        <f>SUMIF(SoundCast_Data!$Q$2:$Q$747,RouteID_Conversion!N492,SoundCast_Data!$P$2:$P$747)</f>
        <v>73.582362174987708</v>
      </c>
    </row>
    <row r="493" spans="1:17" x14ac:dyDescent="0.25">
      <c r="A493">
        <v>517</v>
      </c>
      <c r="B493">
        <v>110492</v>
      </c>
      <c r="C493">
        <v>1</v>
      </c>
      <c r="D493" t="s">
        <v>1123</v>
      </c>
      <c r="E493" t="s">
        <v>327</v>
      </c>
      <c r="F493" t="s">
        <v>1123</v>
      </c>
      <c r="G493">
        <v>1</v>
      </c>
      <c r="H493">
        <v>492</v>
      </c>
      <c r="I493" t="s">
        <v>1124</v>
      </c>
      <c r="J493">
        <v>1265</v>
      </c>
      <c r="K493" s="8">
        <f>SUMIF(SoundCast_Data!$A$2:$A$1001,RouteID_Conversion!$H$2:$H$999,SoundCast_Data!$C$2:$C$1001)</f>
        <v>222.08379364013661</v>
      </c>
      <c r="N493">
        <v>492</v>
      </c>
      <c r="O493" t="s">
        <v>1088</v>
      </c>
      <c r="P493">
        <v>3270</v>
      </c>
      <c r="Q493" s="8">
        <f>SUMIF(SoundCast_Data!$Q$2:$Q$747,RouteID_Conversion!N493,SoundCast_Data!$P$2:$P$747)</f>
        <v>76.731077194213597</v>
      </c>
    </row>
    <row r="494" spans="1:17" x14ac:dyDescent="0.25">
      <c r="A494">
        <v>817</v>
      </c>
      <c r="B494">
        <v>110493</v>
      </c>
      <c r="C494">
        <v>1</v>
      </c>
      <c r="D494" t="s">
        <v>1544</v>
      </c>
      <c r="E494" t="s">
        <v>327</v>
      </c>
      <c r="F494" t="s">
        <v>1544</v>
      </c>
      <c r="G494">
        <v>1</v>
      </c>
      <c r="H494">
        <v>493</v>
      </c>
      <c r="I494" t="s">
        <v>1545</v>
      </c>
      <c r="J494">
        <v>1266</v>
      </c>
      <c r="K494" s="8">
        <f>SUMIF(SoundCast_Data!$A$2:$A$1001,RouteID_Conversion!$H$2:$H$999,SoundCast_Data!$C$2:$C$1001)</f>
        <v>302.16883850097588</v>
      </c>
      <c r="N494">
        <v>493</v>
      </c>
      <c r="O494" t="s">
        <v>1088</v>
      </c>
      <c r="P494">
        <v>3270</v>
      </c>
      <c r="Q494" s="8">
        <f>SUMIF(SoundCast_Data!$Q$2:$Q$747,RouteID_Conversion!N494,SoundCast_Data!$P$2:$P$747)</f>
        <v>93.694236755371008</v>
      </c>
    </row>
    <row r="495" spans="1:17" x14ac:dyDescent="0.25">
      <c r="A495">
        <v>818</v>
      </c>
      <c r="B495">
        <v>110494</v>
      </c>
      <c r="C495">
        <v>1</v>
      </c>
      <c r="D495" t="s">
        <v>1546</v>
      </c>
      <c r="E495" t="s">
        <v>327</v>
      </c>
      <c r="F495" t="s">
        <v>1546</v>
      </c>
      <c r="G495">
        <v>1</v>
      </c>
      <c r="H495">
        <v>494</v>
      </c>
      <c r="I495" t="s">
        <v>1547</v>
      </c>
      <c r="J495">
        <v>1268</v>
      </c>
      <c r="K495" s="8">
        <f>SUMIF(SoundCast_Data!$A$2:$A$1001,RouteID_Conversion!$H$2:$H$999,SoundCast_Data!$C$2:$C$1001)</f>
        <v>202.36744689941398</v>
      </c>
      <c r="N495">
        <v>494</v>
      </c>
      <c r="O495" t="s">
        <v>1951</v>
      </c>
      <c r="P495">
        <v>3247</v>
      </c>
      <c r="Q495" s="8">
        <f>SUMIF(SoundCast_Data!$Q$2:$Q$747,RouteID_Conversion!N495,SoundCast_Data!$P$2:$P$747)</f>
        <v>0.96855740994214801</v>
      </c>
    </row>
    <row r="496" spans="1:17" x14ac:dyDescent="0.25">
      <c r="A496">
        <v>235</v>
      </c>
      <c r="B496">
        <v>110495</v>
      </c>
      <c r="C496">
        <v>1</v>
      </c>
      <c r="D496" t="s">
        <v>703</v>
      </c>
      <c r="E496" t="s">
        <v>327</v>
      </c>
      <c r="F496" t="s">
        <v>703</v>
      </c>
      <c r="G496">
        <v>1</v>
      </c>
      <c r="H496">
        <v>495</v>
      </c>
      <c r="I496" t="s">
        <v>704</v>
      </c>
      <c r="J496">
        <v>1269</v>
      </c>
      <c r="K496" s="8">
        <f>SUMIF(SoundCast_Data!$A$2:$A$1001,RouteID_Conversion!$H$2:$H$999,SoundCast_Data!$C$2:$C$1001)</f>
        <v>331.45143890380785</v>
      </c>
      <c r="N496">
        <v>495</v>
      </c>
      <c r="O496" t="s">
        <v>1951</v>
      </c>
      <c r="P496">
        <v>3247</v>
      </c>
      <c r="Q496" s="8">
        <f>SUMIF(SoundCast_Data!$Q$2:$Q$747,RouteID_Conversion!N496,SoundCast_Data!$P$2:$P$747)</f>
        <v>1.2412847802042939</v>
      </c>
    </row>
    <row r="497" spans="1:17" x14ac:dyDescent="0.25">
      <c r="A497">
        <v>236</v>
      </c>
      <c r="B497">
        <v>110496</v>
      </c>
      <c r="C497">
        <v>1</v>
      </c>
      <c r="D497" t="s">
        <v>705</v>
      </c>
      <c r="E497" t="s">
        <v>327</v>
      </c>
      <c r="F497" t="s">
        <v>706</v>
      </c>
      <c r="G497">
        <v>1</v>
      </c>
      <c r="H497">
        <v>496</v>
      </c>
      <c r="I497" t="s">
        <v>704</v>
      </c>
      <c r="J497">
        <v>1269</v>
      </c>
      <c r="K497" s="8">
        <f>SUMIF(SoundCast_Data!$A$2:$A$1001,RouteID_Conversion!$H$2:$H$999,SoundCast_Data!$C$2:$C$1001)</f>
        <v>39.209852218627802</v>
      </c>
      <c r="N497">
        <v>496</v>
      </c>
      <c r="O497" t="s">
        <v>1065</v>
      </c>
      <c r="P497">
        <v>3240</v>
      </c>
      <c r="Q497" s="8">
        <f>SUMIF(SoundCast_Data!$Q$2:$Q$747,RouteID_Conversion!N497,SoundCast_Data!$P$2:$P$747)</f>
        <v>53.903676271438599</v>
      </c>
    </row>
    <row r="498" spans="1:17" x14ac:dyDescent="0.25">
      <c r="A498">
        <v>237</v>
      </c>
      <c r="B498">
        <v>110497</v>
      </c>
      <c r="C498">
        <v>1</v>
      </c>
      <c r="D498" t="s">
        <v>707</v>
      </c>
      <c r="E498" t="s">
        <v>327</v>
      </c>
      <c r="F498" t="s">
        <v>707</v>
      </c>
      <c r="G498">
        <v>1</v>
      </c>
      <c r="H498">
        <v>497</v>
      </c>
      <c r="I498" t="s">
        <v>704</v>
      </c>
      <c r="J498">
        <v>1269</v>
      </c>
      <c r="K498" s="8">
        <f>SUMIF(SoundCast_Data!$A$2:$A$1001,RouteID_Conversion!$H$2:$H$999,SoundCast_Data!$C$2:$C$1001)</f>
        <v>19.604926109313958</v>
      </c>
      <c r="N498">
        <v>497</v>
      </c>
      <c r="O498" t="s">
        <v>1065</v>
      </c>
      <c r="P498">
        <v>3240</v>
      </c>
      <c r="Q498" s="8">
        <f>SUMIF(SoundCast_Data!$Q$2:$Q$747,RouteID_Conversion!N498,SoundCast_Data!$P$2:$P$747)</f>
        <v>56.180380821227907</v>
      </c>
    </row>
    <row r="499" spans="1:17" x14ac:dyDescent="0.25">
      <c r="A499">
        <v>959</v>
      </c>
      <c r="B499">
        <v>110498</v>
      </c>
      <c r="C499">
        <v>1</v>
      </c>
      <c r="D499" t="s">
        <v>1781</v>
      </c>
      <c r="E499" t="s">
        <v>327</v>
      </c>
      <c r="F499" t="s">
        <v>1781</v>
      </c>
      <c r="G499">
        <v>1</v>
      </c>
      <c r="H499">
        <v>498</v>
      </c>
      <c r="I499" t="s">
        <v>1782</v>
      </c>
      <c r="J499">
        <v>1271</v>
      </c>
      <c r="K499" s="8">
        <f>SUMIF(SoundCast_Data!$A$2:$A$1001,RouteID_Conversion!$H$2:$H$999,SoundCast_Data!$C$2:$C$1001)</f>
        <v>587.963851928709</v>
      </c>
      <c r="N499">
        <v>498</v>
      </c>
      <c r="O499" t="s">
        <v>1947</v>
      </c>
      <c r="P499">
        <v>3227</v>
      </c>
      <c r="Q499" s="8">
        <f>SUMIF(SoundCast_Data!$Q$2:$Q$747,RouteID_Conversion!N499,SoundCast_Data!$P$2:$P$747)</f>
        <v>3.5494869947433378</v>
      </c>
    </row>
    <row r="500" spans="1:17" x14ac:dyDescent="0.25">
      <c r="A500">
        <v>960</v>
      </c>
      <c r="B500">
        <v>110499</v>
      </c>
      <c r="C500">
        <v>1</v>
      </c>
      <c r="D500" t="s">
        <v>1783</v>
      </c>
      <c r="E500" t="s">
        <v>327</v>
      </c>
      <c r="F500" t="s">
        <v>1783</v>
      </c>
      <c r="G500">
        <v>1</v>
      </c>
      <c r="H500">
        <v>499</v>
      </c>
      <c r="I500" t="s">
        <v>1782</v>
      </c>
      <c r="J500">
        <v>1271</v>
      </c>
      <c r="K500" s="8">
        <f>SUMIF(SoundCast_Data!$A$2:$A$1001,RouteID_Conversion!$H$2:$H$999,SoundCast_Data!$C$2:$C$1001)</f>
        <v>625.14730834960699</v>
      </c>
      <c r="N500">
        <v>499</v>
      </c>
      <c r="O500" t="s">
        <v>1178</v>
      </c>
      <c r="P500">
        <v>3222</v>
      </c>
      <c r="Q500" s="8">
        <f>SUMIF(SoundCast_Data!$Q$2:$Q$747,RouteID_Conversion!N500,SoundCast_Data!$P$2:$P$747)</f>
        <v>20.166989803314191</v>
      </c>
    </row>
    <row r="501" spans="1:17" x14ac:dyDescent="0.25">
      <c r="A501">
        <v>961</v>
      </c>
      <c r="B501">
        <v>110500</v>
      </c>
      <c r="C501">
        <v>1</v>
      </c>
      <c r="D501" t="s">
        <v>1784</v>
      </c>
      <c r="E501" t="s">
        <v>327</v>
      </c>
      <c r="F501" t="s">
        <v>1784</v>
      </c>
      <c r="G501">
        <v>1</v>
      </c>
      <c r="H501">
        <v>500</v>
      </c>
      <c r="I501" t="s">
        <v>1782</v>
      </c>
      <c r="J501">
        <v>1271</v>
      </c>
      <c r="K501" s="8">
        <f>SUMIF(SoundCast_Data!$A$2:$A$1001,RouteID_Conversion!$H$2:$H$999,SoundCast_Data!$C$2:$C$1001)</f>
        <v>327.09068298339685</v>
      </c>
      <c r="N501">
        <v>500</v>
      </c>
      <c r="O501" t="s">
        <v>1178</v>
      </c>
      <c r="P501">
        <v>3222</v>
      </c>
      <c r="Q501" s="8">
        <f>SUMIF(SoundCast_Data!$Q$2:$Q$747,RouteID_Conversion!N501,SoundCast_Data!$P$2:$P$747)</f>
        <v>28.49592161178585</v>
      </c>
    </row>
    <row r="502" spans="1:17" x14ac:dyDescent="0.25">
      <c r="A502">
        <v>962</v>
      </c>
      <c r="B502">
        <v>110501</v>
      </c>
      <c r="C502">
        <v>1</v>
      </c>
      <c r="D502" t="s">
        <v>1785</v>
      </c>
      <c r="E502" t="s">
        <v>327</v>
      </c>
      <c r="F502" t="s">
        <v>1785</v>
      </c>
      <c r="G502">
        <v>1</v>
      </c>
      <c r="H502">
        <v>501</v>
      </c>
      <c r="I502" t="s">
        <v>1782</v>
      </c>
      <c r="J502">
        <v>1271</v>
      </c>
      <c r="K502" s="8">
        <f>SUMIF(SoundCast_Data!$A$2:$A$1001,RouteID_Conversion!$H$2:$H$999,SoundCast_Data!$C$2:$C$1001)</f>
        <v>370.04864501953</v>
      </c>
      <c r="N502">
        <v>501</v>
      </c>
      <c r="O502" t="s">
        <v>614</v>
      </c>
      <c r="P502">
        <v>3221</v>
      </c>
      <c r="Q502" s="8">
        <f>SUMIF(SoundCast_Data!$Q$2:$Q$747,RouteID_Conversion!N502,SoundCast_Data!$P$2:$P$747)</f>
        <v>47.877746582031143</v>
      </c>
    </row>
    <row r="503" spans="1:17" x14ac:dyDescent="0.25">
      <c r="A503">
        <v>963</v>
      </c>
      <c r="B503">
        <v>110502</v>
      </c>
      <c r="C503">
        <v>1</v>
      </c>
      <c r="D503" t="s">
        <v>1786</v>
      </c>
      <c r="E503" t="s">
        <v>327</v>
      </c>
      <c r="F503" t="s">
        <v>1786</v>
      </c>
      <c r="G503">
        <v>1</v>
      </c>
      <c r="H503">
        <v>502</v>
      </c>
      <c r="I503" t="s">
        <v>1787</v>
      </c>
      <c r="J503">
        <v>1272</v>
      </c>
      <c r="K503" s="8">
        <f>SUMIF(SoundCast_Data!$A$2:$A$1001,RouteID_Conversion!$H$2:$H$999,SoundCast_Data!$C$2:$C$1001)</f>
        <v>300.29402923583831</v>
      </c>
      <c r="N503">
        <v>502</v>
      </c>
      <c r="O503" t="s">
        <v>614</v>
      </c>
      <c r="P503">
        <v>3221</v>
      </c>
      <c r="Q503" s="8">
        <f>SUMIF(SoundCast_Data!$Q$2:$Q$747,RouteID_Conversion!N503,SoundCast_Data!$P$2:$P$747)</f>
        <v>45.387735843658426</v>
      </c>
    </row>
    <row r="504" spans="1:17" x14ac:dyDescent="0.25">
      <c r="A504">
        <v>819</v>
      </c>
      <c r="B504">
        <v>110503</v>
      </c>
      <c r="C504">
        <v>1</v>
      </c>
      <c r="D504" t="s">
        <v>1548</v>
      </c>
      <c r="E504" t="s">
        <v>327</v>
      </c>
      <c r="F504" t="s">
        <v>1548</v>
      </c>
      <c r="G504">
        <v>1</v>
      </c>
      <c r="H504">
        <v>503</v>
      </c>
      <c r="I504" t="s">
        <v>1549</v>
      </c>
      <c r="J504">
        <v>1277</v>
      </c>
      <c r="K504" s="8">
        <f>SUMIF(SoundCast_Data!$A$2:$A$1001,RouteID_Conversion!$H$2:$H$999,SoundCast_Data!$C$2:$C$1001)</f>
        <v>235.71160125732411</v>
      </c>
      <c r="N504">
        <v>503</v>
      </c>
      <c r="O504" t="s">
        <v>1947</v>
      </c>
      <c r="P504">
        <v>3227</v>
      </c>
      <c r="Q504" s="8">
        <f>SUMIF(SoundCast_Data!$Q$2:$Q$747,RouteID_Conversion!N504,SoundCast_Data!$P$2:$P$747)</f>
        <v>9.214503645896901</v>
      </c>
    </row>
    <row r="505" spans="1:17" x14ac:dyDescent="0.25">
      <c r="A505">
        <v>598</v>
      </c>
      <c r="B505">
        <v>110504</v>
      </c>
      <c r="C505">
        <v>1</v>
      </c>
      <c r="D505" t="s">
        <v>1248</v>
      </c>
      <c r="E505" t="s">
        <v>327</v>
      </c>
      <c r="F505" t="s">
        <v>1248</v>
      </c>
      <c r="G505">
        <v>1</v>
      </c>
      <c r="H505">
        <v>504</v>
      </c>
      <c r="I505" t="s">
        <v>561</v>
      </c>
      <c r="J505">
        <v>1291</v>
      </c>
      <c r="K505" s="8">
        <f>SUMIF(SoundCast_Data!$A$2:$A$1001,RouteID_Conversion!$H$2:$H$999,SoundCast_Data!$C$2:$C$1001)</f>
        <v>54.751917839050201</v>
      </c>
      <c r="N505">
        <v>504</v>
      </c>
      <c r="O505" t="s">
        <v>1625</v>
      </c>
      <c r="P505">
        <v>3201</v>
      </c>
      <c r="Q505" s="8">
        <f>SUMIF(SoundCast_Data!$Q$2:$Q$747,RouteID_Conversion!N505,SoundCast_Data!$P$2:$P$747)</f>
        <v>584.1301040649405</v>
      </c>
    </row>
    <row r="506" spans="1:17" x14ac:dyDescent="0.25">
      <c r="A506">
        <v>153</v>
      </c>
      <c r="B506">
        <v>110505</v>
      </c>
      <c r="C506">
        <v>1</v>
      </c>
      <c r="D506" t="s">
        <v>560</v>
      </c>
      <c r="E506" t="s">
        <v>327</v>
      </c>
      <c r="F506" t="s">
        <v>560</v>
      </c>
      <c r="G506">
        <v>1</v>
      </c>
      <c r="H506">
        <v>505</v>
      </c>
      <c r="I506" t="s">
        <v>561</v>
      </c>
      <c r="J506">
        <v>1291</v>
      </c>
      <c r="K506" s="8">
        <f>SUMIF(SoundCast_Data!$A$2:$A$1001,RouteID_Conversion!$H$2:$H$999,SoundCast_Data!$C$2:$C$1001)</f>
        <v>33.248100280761641</v>
      </c>
      <c r="N506">
        <v>505</v>
      </c>
      <c r="O506" t="s">
        <v>1621</v>
      </c>
      <c r="P506">
        <v>3202</v>
      </c>
      <c r="Q506" s="8">
        <f>SUMIF(SoundCast_Data!$Q$2:$Q$747,RouteID_Conversion!N506,SoundCast_Data!$P$2:$P$747)</f>
        <v>635.79953002929506</v>
      </c>
    </row>
    <row r="507" spans="1:17" x14ac:dyDescent="0.25">
      <c r="A507">
        <v>877</v>
      </c>
      <c r="B507">
        <v>110506</v>
      </c>
      <c r="C507">
        <v>1</v>
      </c>
      <c r="D507" t="s">
        <v>1647</v>
      </c>
      <c r="E507" t="s">
        <v>327</v>
      </c>
      <c r="F507" t="s">
        <v>1647</v>
      </c>
      <c r="G507">
        <v>1</v>
      </c>
      <c r="H507">
        <v>506</v>
      </c>
      <c r="I507" t="s">
        <v>1648</v>
      </c>
      <c r="J507">
        <v>1301</v>
      </c>
      <c r="K507" s="8">
        <f>SUMIF(SoundCast_Data!$A$2:$A$1001,RouteID_Conversion!$H$2:$H$999,SoundCast_Data!$C$2:$C$1001)</f>
        <v>89.574489593505703</v>
      </c>
      <c r="N507">
        <v>506</v>
      </c>
      <c r="O507" t="s">
        <v>1621</v>
      </c>
      <c r="P507">
        <v>3202</v>
      </c>
      <c r="Q507" s="8">
        <f>SUMIF(SoundCast_Data!$Q$2:$Q$747,RouteID_Conversion!N507,SoundCast_Data!$P$2:$P$747)</f>
        <v>628.19043731689442</v>
      </c>
    </row>
    <row r="508" spans="1:17" x14ac:dyDescent="0.25">
      <c r="A508">
        <v>878</v>
      </c>
      <c r="B508">
        <v>110507</v>
      </c>
      <c r="C508">
        <v>1</v>
      </c>
      <c r="D508" t="s">
        <v>1649</v>
      </c>
      <c r="E508" t="s">
        <v>327</v>
      </c>
      <c r="F508" t="s">
        <v>1649</v>
      </c>
      <c r="G508">
        <v>1</v>
      </c>
      <c r="H508">
        <v>507</v>
      </c>
      <c r="I508" t="s">
        <v>1648</v>
      </c>
      <c r="J508">
        <v>1301</v>
      </c>
      <c r="K508" s="8">
        <f>SUMIF(SoundCast_Data!$A$2:$A$1001,RouteID_Conversion!$H$2:$H$999,SoundCast_Data!$C$2:$C$1001)</f>
        <v>44.787244796752802</v>
      </c>
      <c r="N508">
        <v>507</v>
      </c>
      <c r="O508" t="s">
        <v>1625</v>
      </c>
      <c r="P508">
        <v>3201</v>
      </c>
      <c r="Q508" s="8">
        <f>SUMIF(SoundCast_Data!$Q$2:$Q$747,RouteID_Conversion!N508,SoundCast_Data!$P$2:$P$747)</f>
        <v>656.34820556640409</v>
      </c>
    </row>
    <row r="509" spans="1:17" x14ac:dyDescent="0.25">
      <c r="A509">
        <v>879</v>
      </c>
      <c r="B509">
        <v>110508</v>
      </c>
      <c r="C509">
        <v>1</v>
      </c>
      <c r="D509" t="s">
        <v>1650</v>
      </c>
      <c r="E509" t="s">
        <v>327</v>
      </c>
      <c r="F509" t="s">
        <v>1650</v>
      </c>
      <c r="G509">
        <v>1</v>
      </c>
      <c r="H509">
        <v>508</v>
      </c>
      <c r="I509" t="s">
        <v>1648</v>
      </c>
      <c r="J509">
        <v>1301</v>
      </c>
      <c r="K509" s="8">
        <f>SUMIF(SoundCast_Data!$A$2:$A$1001,RouteID_Conversion!$H$2:$H$999,SoundCast_Data!$C$2:$C$1001)</f>
        <v>40.065443992614604</v>
      </c>
      <c r="N509">
        <v>508</v>
      </c>
      <c r="O509" t="s">
        <v>2164</v>
      </c>
      <c r="P509">
        <v>3202</v>
      </c>
      <c r="Q509" s="8">
        <f>SUMIF(SoundCast_Data!$Q$2:$Q$747,RouteID_Conversion!N509,SoundCast_Data!$P$2:$P$747)</f>
        <v>54.80764055252061</v>
      </c>
    </row>
    <row r="510" spans="1:17" x14ac:dyDescent="0.25">
      <c r="A510">
        <v>880</v>
      </c>
      <c r="B510">
        <v>110509</v>
      </c>
      <c r="C510">
        <v>1</v>
      </c>
      <c r="D510" t="s">
        <v>1651</v>
      </c>
      <c r="E510" t="s">
        <v>327</v>
      </c>
      <c r="F510" t="s">
        <v>1651</v>
      </c>
      <c r="G510">
        <v>1</v>
      </c>
      <c r="H510">
        <v>509</v>
      </c>
      <c r="I510" t="s">
        <v>1648</v>
      </c>
      <c r="J510">
        <v>1301</v>
      </c>
      <c r="K510" s="8">
        <f>SUMIF(SoundCast_Data!$A$2:$A$1001,RouteID_Conversion!$H$2:$H$999,SoundCast_Data!$C$2:$C$1001)</f>
        <v>360.58902740478425</v>
      </c>
      <c r="N510">
        <v>509</v>
      </c>
      <c r="O510" t="s">
        <v>1132</v>
      </c>
      <c r="P510">
        <v>3112</v>
      </c>
      <c r="Q510" s="8">
        <f>SUMIF(SoundCast_Data!$Q$2:$Q$747,RouteID_Conversion!N510,SoundCast_Data!$P$2:$P$747)</f>
        <v>11.035788357257832</v>
      </c>
    </row>
    <row r="511" spans="1:17" x14ac:dyDescent="0.25">
      <c r="A511">
        <v>934</v>
      </c>
      <c r="B511">
        <v>110510</v>
      </c>
      <c r="C511">
        <v>1</v>
      </c>
      <c r="D511" t="s">
        <v>1749</v>
      </c>
      <c r="E511" t="s">
        <v>327</v>
      </c>
      <c r="F511" t="s">
        <v>1749</v>
      </c>
      <c r="G511">
        <v>1</v>
      </c>
      <c r="H511">
        <v>510</v>
      </c>
      <c r="I511" t="s">
        <v>1648</v>
      </c>
      <c r="J511">
        <v>1301</v>
      </c>
      <c r="K511" s="8">
        <f>SUMIF(SoundCast_Data!$A$2:$A$1001,RouteID_Conversion!$H$2:$H$999,SoundCast_Data!$C$2:$C$1001)</f>
        <v>52.614110946655195</v>
      </c>
      <c r="N511">
        <v>510</v>
      </c>
      <c r="O511" t="s">
        <v>1132</v>
      </c>
      <c r="P511">
        <v>3112</v>
      </c>
      <c r="Q511" s="8">
        <f>SUMIF(SoundCast_Data!$Q$2:$Q$747,RouteID_Conversion!N511,SoundCast_Data!$P$2:$P$747)</f>
        <v>1.2087272256612769</v>
      </c>
    </row>
    <row r="512" spans="1:17" x14ac:dyDescent="0.25">
      <c r="A512">
        <v>881</v>
      </c>
      <c r="B512">
        <v>110511</v>
      </c>
      <c r="C512">
        <v>1</v>
      </c>
      <c r="D512" t="s">
        <v>1652</v>
      </c>
      <c r="E512" t="s">
        <v>327</v>
      </c>
      <c r="F512" t="s">
        <v>1652</v>
      </c>
      <c r="G512">
        <v>1</v>
      </c>
      <c r="H512">
        <v>511</v>
      </c>
      <c r="I512" t="s">
        <v>1653</v>
      </c>
      <c r="J512">
        <v>1303</v>
      </c>
      <c r="K512" s="8">
        <f>SUMIF(SoundCast_Data!$A$2:$A$1001,RouteID_Conversion!$H$2:$H$999,SoundCast_Data!$C$2:$C$1001)</f>
        <v>526.44789886474405</v>
      </c>
      <c r="N512">
        <v>511</v>
      </c>
      <c r="O512" t="s">
        <v>1132</v>
      </c>
      <c r="P512">
        <v>3112</v>
      </c>
      <c r="Q512" s="8">
        <f>SUMIF(SoundCast_Data!$Q$2:$Q$747,RouteID_Conversion!N512,SoundCast_Data!$P$2:$P$747)</f>
        <v>5.1462290883064208</v>
      </c>
    </row>
    <row r="513" spans="1:17" x14ac:dyDescent="0.25">
      <c r="A513">
        <v>882</v>
      </c>
      <c r="B513">
        <v>110512</v>
      </c>
      <c r="C513">
        <v>1</v>
      </c>
      <c r="D513" t="s">
        <v>1654</v>
      </c>
      <c r="E513" t="s">
        <v>327</v>
      </c>
      <c r="F513" t="s">
        <v>1654</v>
      </c>
      <c r="G513">
        <v>1</v>
      </c>
      <c r="H513">
        <v>512</v>
      </c>
      <c r="I513" t="s">
        <v>1655</v>
      </c>
      <c r="J513">
        <v>1304</v>
      </c>
      <c r="K513" s="8">
        <f>SUMIF(SoundCast_Data!$A$2:$A$1001,RouteID_Conversion!$H$2:$H$999,SoundCast_Data!$C$2:$C$1001)</f>
        <v>161.33499526977531</v>
      </c>
      <c r="N513">
        <v>512</v>
      </c>
      <c r="O513" t="s">
        <v>1183</v>
      </c>
      <c r="P513">
        <v>3131</v>
      </c>
      <c r="Q513" s="8">
        <f>SUMIF(SoundCast_Data!$Q$2:$Q$747,RouteID_Conversion!N513,SoundCast_Data!$P$2:$P$747)</f>
        <v>119.28070449829079</v>
      </c>
    </row>
    <row r="514" spans="1:17" x14ac:dyDescent="0.25">
      <c r="A514">
        <v>883</v>
      </c>
      <c r="B514">
        <v>110513</v>
      </c>
      <c r="C514">
        <v>1</v>
      </c>
      <c r="D514" t="s">
        <v>1656</v>
      </c>
      <c r="E514" t="s">
        <v>327</v>
      </c>
      <c r="F514" t="s">
        <v>1656</v>
      </c>
      <c r="G514">
        <v>1</v>
      </c>
      <c r="H514">
        <v>513</v>
      </c>
      <c r="I514" t="s">
        <v>1657</v>
      </c>
      <c r="J514">
        <v>1306</v>
      </c>
      <c r="K514" s="8">
        <f>SUMIF(SoundCast_Data!$A$2:$A$1001,RouteID_Conversion!$H$2:$H$999,SoundCast_Data!$C$2:$C$1001)</f>
        <v>229.0954246520987</v>
      </c>
      <c r="N514">
        <v>513</v>
      </c>
      <c r="O514" t="s">
        <v>1183</v>
      </c>
      <c r="P514">
        <v>3131</v>
      </c>
      <c r="Q514" s="8">
        <f>SUMIF(SoundCast_Data!$Q$2:$Q$747,RouteID_Conversion!N514,SoundCast_Data!$P$2:$P$747)</f>
        <v>136.45509815216062</v>
      </c>
    </row>
    <row r="515" spans="1:17" x14ac:dyDescent="0.25">
      <c r="A515">
        <v>884</v>
      </c>
      <c r="B515">
        <v>110514</v>
      </c>
      <c r="C515">
        <v>1</v>
      </c>
      <c r="D515" t="s">
        <v>1658</v>
      </c>
      <c r="E515" t="s">
        <v>327</v>
      </c>
      <c r="F515" t="s">
        <v>1658</v>
      </c>
      <c r="G515">
        <v>1</v>
      </c>
      <c r="H515">
        <v>514</v>
      </c>
      <c r="I515" t="s">
        <v>1659</v>
      </c>
      <c r="J515">
        <v>1308</v>
      </c>
      <c r="K515" s="8">
        <f>SUMIF(SoundCast_Data!$A$2:$A$1001,RouteID_Conversion!$H$2:$H$999,SoundCast_Data!$C$2:$C$1001)</f>
        <v>68.364969253539812</v>
      </c>
      <c r="N515">
        <v>514</v>
      </c>
      <c r="O515" t="s">
        <v>622</v>
      </c>
      <c r="P515">
        <v>3130</v>
      </c>
      <c r="Q515" s="8">
        <f>SUMIF(SoundCast_Data!$Q$2:$Q$747,RouteID_Conversion!N515,SoundCast_Data!$P$2:$P$747)</f>
        <v>48.635209083557044</v>
      </c>
    </row>
    <row r="516" spans="1:17" x14ac:dyDescent="0.25">
      <c r="A516">
        <v>885</v>
      </c>
      <c r="B516">
        <v>110515</v>
      </c>
      <c r="C516">
        <v>1</v>
      </c>
      <c r="D516" t="s">
        <v>1660</v>
      </c>
      <c r="E516" t="s">
        <v>327</v>
      </c>
      <c r="F516" t="s">
        <v>1660</v>
      </c>
      <c r="G516">
        <v>1</v>
      </c>
      <c r="H516">
        <v>515</v>
      </c>
      <c r="I516" t="s">
        <v>1661</v>
      </c>
      <c r="J516">
        <v>1311</v>
      </c>
      <c r="K516" s="8">
        <f>SUMIF(SoundCast_Data!$A$2:$A$1001,RouteID_Conversion!$H$2:$H$999,SoundCast_Data!$C$2:$C$1001)</f>
        <v>243.50658035278272</v>
      </c>
      <c r="N516">
        <v>515</v>
      </c>
      <c r="O516" t="s">
        <v>622</v>
      </c>
      <c r="P516">
        <v>3130</v>
      </c>
      <c r="Q516" s="8">
        <f>SUMIF(SoundCast_Data!$Q$2:$Q$747,RouteID_Conversion!N516,SoundCast_Data!$P$2:$P$747)</f>
        <v>95.270278930664006</v>
      </c>
    </row>
    <row r="517" spans="1:17" x14ac:dyDescent="0.25">
      <c r="A517">
        <v>886</v>
      </c>
      <c r="B517">
        <v>110516</v>
      </c>
      <c r="C517">
        <v>1</v>
      </c>
      <c r="D517" t="s">
        <v>1662</v>
      </c>
      <c r="E517" t="s">
        <v>327</v>
      </c>
      <c r="F517" t="s">
        <v>1662</v>
      </c>
      <c r="G517">
        <v>1</v>
      </c>
      <c r="H517">
        <v>516</v>
      </c>
      <c r="I517" t="s">
        <v>1661</v>
      </c>
      <c r="J517">
        <v>1311</v>
      </c>
      <c r="K517" s="8">
        <f>SUMIF(SoundCast_Data!$A$2:$A$1001,RouteID_Conversion!$H$2:$H$999,SoundCast_Data!$C$2:$C$1001)</f>
        <v>193.7928199768065</v>
      </c>
      <c r="N517">
        <v>516</v>
      </c>
      <c r="O517" t="s">
        <v>627</v>
      </c>
      <c r="P517">
        <v>3121</v>
      </c>
      <c r="Q517" s="8">
        <f>SUMIF(SoundCast_Data!$Q$2:$Q$747,RouteID_Conversion!N517,SoundCast_Data!$P$2:$P$747)</f>
        <v>18.945218563079749</v>
      </c>
    </row>
    <row r="518" spans="1:17" x14ac:dyDescent="0.25">
      <c r="A518">
        <v>887</v>
      </c>
      <c r="B518">
        <v>110517</v>
      </c>
      <c r="C518">
        <v>1</v>
      </c>
      <c r="D518" t="s">
        <v>1663</v>
      </c>
      <c r="E518" t="s">
        <v>327</v>
      </c>
      <c r="F518" t="s">
        <v>1663</v>
      </c>
      <c r="G518">
        <v>1</v>
      </c>
      <c r="H518">
        <v>517</v>
      </c>
      <c r="I518" t="s">
        <v>1664</v>
      </c>
      <c r="J518">
        <v>1312</v>
      </c>
      <c r="K518" s="8">
        <f>SUMIF(SoundCast_Data!$A$2:$A$1001,RouteID_Conversion!$H$2:$H$999,SoundCast_Data!$C$2:$C$1001)</f>
        <v>613.41024780273301</v>
      </c>
      <c r="N518">
        <v>517</v>
      </c>
      <c r="O518" t="s">
        <v>627</v>
      </c>
      <c r="P518">
        <v>3121</v>
      </c>
      <c r="Q518" s="8">
        <f>SUMIF(SoundCast_Data!$Q$2:$Q$747,RouteID_Conversion!N518,SoundCast_Data!$P$2:$P$747)</f>
        <v>12.433981418609608</v>
      </c>
    </row>
    <row r="519" spans="1:17" x14ac:dyDescent="0.25">
      <c r="A519">
        <v>888</v>
      </c>
      <c r="B519">
        <v>110518</v>
      </c>
      <c r="C519">
        <v>1</v>
      </c>
      <c r="D519" t="s">
        <v>1665</v>
      </c>
      <c r="E519" t="s">
        <v>327</v>
      </c>
      <c r="F519" t="s">
        <v>1665</v>
      </c>
      <c r="G519">
        <v>1</v>
      </c>
      <c r="H519">
        <v>518</v>
      </c>
      <c r="I519" t="s">
        <v>1664</v>
      </c>
      <c r="J519">
        <v>1312</v>
      </c>
      <c r="K519" s="8">
        <f>SUMIF(SoundCast_Data!$A$2:$A$1001,RouteID_Conversion!$H$2:$H$999,SoundCast_Data!$C$2:$C$1001)</f>
        <v>257.8416328430169</v>
      </c>
      <c r="N519">
        <v>518</v>
      </c>
      <c r="O519" t="s">
        <v>441</v>
      </c>
      <c r="P519">
        <v>3120</v>
      </c>
      <c r="Q519" s="8">
        <f>SUMIF(SoundCast_Data!$Q$2:$Q$747,RouteID_Conversion!N519,SoundCast_Data!$P$2:$P$747)</f>
        <v>92.749378681182776</v>
      </c>
    </row>
    <row r="520" spans="1:17" x14ac:dyDescent="0.25">
      <c r="A520">
        <v>632</v>
      </c>
      <c r="B520">
        <v>110519</v>
      </c>
      <c r="C520">
        <v>1</v>
      </c>
      <c r="D520" t="s">
        <v>1289</v>
      </c>
      <c r="E520" t="s">
        <v>327</v>
      </c>
      <c r="F520" t="s">
        <v>1289</v>
      </c>
      <c r="G520">
        <v>1</v>
      </c>
      <c r="H520">
        <v>519</v>
      </c>
      <c r="I520" t="s">
        <v>1290</v>
      </c>
      <c r="J520">
        <v>1316</v>
      </c>
      <c r="K520" s="8">
        <f>SUMIF(SoundCast_Data!$A$2:$A$1001,RouteID_Conversion!$H$2:$H$999,SoundCast_Data!$C$2:$C$1001)</f>
        <v>232.47194671630854</v>
      </c>
      <c r="N520">
        <v>519</v>
      </c>
      <c r="O520" t="s">
        <v>441</v>
      </c>
      <c r="P520">
        <v>3120</v>
      </c>
      <c r="Q520" s="8">
        <f>SUMIF(SoundCast_Data!$Q$2:$Q$747,RouteID_Conversion!N520,SoundCast_Data!$P$2:$P$747)</f>
        <v>59.002489566802936</v>
      </c>
    </row>
    <row r="521" spans="1:17" x14ac:dyDescent="0.25">
      <c r="A521">
        <v>158</v>
      </c>
      <c r="B521">
        <v>110520</v>
      </c>
      <c r="C521">
        <v>1</v>
      </c>
      <c r="D521" t="s">
        <v>566</v>
      </c>
      <c r="E521" t="s">
        <v>327</v>
      </c>
      <c r="F521" t="s">
        <v>566</v>
      </c>
      <c r="G521">
        <v>1</v>
      </c>
      <c r="H521">
        <v>520</v>
      </c>
      <c r="I521" t="s">
        <v>567</v>
      </c>
      <c r="J521">
        <v>1330</v>
      </c>
      <c r="K521" s="8">
        <f>SUMIF(SoundCast_Data!$A$2:$A$1001,RouteID_Conversion!$H$2:$H$999,SoundCast_Data!$C$2:$C$1001)</f>
        <v>25.58057069778441</v>
      </c>
      <c r="N521">
        <v>520</v>
      </c>
      <c r="O521" t="s">
        <v>1222</v>
      </c>
      <c r="P521">
        <v>3119</v>
      </c>
      <c r="Q521" s="8">
        <f>SUMIF(SoundCast_Data!$Q$2:$Q$747,RouteID_Conversion!N521,SoundCast_Data!$P$2:$P$747)</f>
        <v>19.981079578399569</v>
      </c>
    </row>
    <row r="522" spans="1:17" x14ac:dyDescent="0.25">
      <c r="A522">
        <v>159</v>
      </c>
      <c r="B522">
        <v>110521</v>
      </c>
      <c r="C522">
        <v>1</v>
      </c>
      <c r="D522" t="s">
        <v>568</v>
      </c>
      <c r="E522" t="s">
        <v>327</v>
      </c>
      <c r="F522" t="s">
        <v>568</v>
      </c>
      <c r="G522">
        <v>1</v>
      </c>
      <c r="H522">
        <v>521</v>
      </c>
      <c r="I522" t="s">
        <v>567</v>
      </c>
      <c r="J522">
        <v>1330</v>
      </c>
      <c r="K522" s="8">
        <f>SUMIF(SoundCast_Data!$A$2:$A$1001,RouteID_Conversion!$H$2:$H$999,SoundCast_Data!$C$2:$C$1001)</f>
        <v>17.214897632598859</v>
      </c>
      <c r="N522">
        <v>521</v>
      </c>
      <c r="O522" t="s">
        <v>1222</v>
      </c>
      <c r="P522">
        <v>3119</v>
      </c>
      <c r="Q522" s="8">
        <f>SUMIF(SoundCast_Data!$Q$2:$Q$747,RouteID_Conversion!N522,SoundCast_Data!$P$2:$P$747)</f>
        <v>10.02844440937041</v>
      </c>
    </row>
    <row r="523" spans="1:17" x14ac:dyDescent="0.25">
      <c r="A523">
        <v>160</v>
      </c>
      <c r="B523">
        <v>110522</v>
      </c>
      <c r="C523">
        <v>1</v>
      </c>
      <c r="D523" t="s">
        <v>569</v>
      </c>
      <c r="E523" t="s">
        <v>327</v>
      </c>
      <c r="F523" t="s">
        <v>569</v>
      </c>
      <c r="G523">
        <v>1</v>
      </c>
      <c r="H523">
        <v>522</v>
      </c>
      <c r="I523" t="s">
        <v>567</v>
      </c>
      <c r="J523">
        <v>1330</v>
      </c>
      <c r="K523" s="8">
        <f>SUMIF(SoundCast_Data!$A$2:$A$1001,RouteID_Conversion!$H$2:$H$999,SoundCast_Data!$C$2:$C$1001)</f>
        <v>12.790285348892191</v>
      </c>
      <c r="N523">
        <v>522</v>
      </c>
      <c r="O523" t="s">
        <v>1227</v>
      </c>
      <c r="P523">
        <v>3118</v>
      </c>
      <c r="Q523" s="8">
        <f>SUMIF(SoundCast_Data!$Q$2:$Q$747,RouteID_Conversion!N523,SoundCast_Data!$P$2:$P$747)</f>
        <v>202.57900238037078</v>
      </c>
    </row>
    <row r="524" spans="1:17" x14ac:dyDescent="0.25">
      <c r="A524">
        <v>161</v>
      </c>
      <c r="B524">
        <v>110523</v>
      </c>
      <c r="C524">
        <v>1</v>
      </c>
      <c r="D524" t="s">
        <v>570</v>
      </c>
      <c r="E524" t="s">
        <v>327</v>
      </c>
      <c r="F524" t="s">
        <v>570</v>
      </c>
      <c r="G524">
        <v>1</v>
      </c>
      <c r="H524">
        <v>523</v>
      </c>
      <c r="I524" t="s">
        <v>571</v>
      </c>
      <c r="J524">
        <v>1331</v>
      </c>
      <c r="K524" s="8">
        <f>SUMIF(SoundCast_Data!$A$2:$A$1001,RouteID_Conversion!$H$2:$H$999,SoundCast_Data!$C$2:$C$1001)</f>
        <v>82.554325103759595</v>
      </c>
      <c r="N524">
        <v>523</v>
      </c>
      <c r="O524" t="s">
        <v>1227</v>
      </c>
      <c r="P524">
        <v>3118</v>
      </c>
      <c r="Q524" s="8">
        <f>SUMIF(SoundCast_Data!$Q$2:$Q$747,RouteID_Conversion!N524,SoundCast_Data!$P$2:$P$747)</f>
        <v>197.25526618957451</v>
      </c>
    </row>
    <row r="525" spans="1:17" x14ac:dyDescent="0.25">
      <c r="A525">
        <v>162</v>
      </c>
      <c r="B525">
        <v>110524</v>
      </c>
      <c r="C525">
        <v>1</v>
      </c>
      <c r="D525" t="s">
        <v>572</v>
      </c>
      <c r="E525" t="s">
        <v>327</v>
      </c>
      <c r="F525" t="s">
        <v>572</v>
      </c>
      <c r="G525">
        <v>1</v>
      </c>
      <c r="H525">
        <v>524</v>
      </c>
      <c r="I525" t="s">
        <v>571</v>
      </c>
      <c r="J525">
        <v>1331</v>
      </c>
      <c r="K525" s="8">
        <f>SUMIF(SoundCast_Data!$A$2:$A$1001,RouteID_Conversion!$H$2:$H$999,SoundCast_Data!$C$2:$C$1001)</f>
        <v>10.077997922897332</v>
      </c>
      <c r="N525">
        <v>524</v>
      </c>
      <c r="O525" t="s">
        <v>2165</v>
      </c>
      <c r="P525">
        <v>3114</v>
      </c>
      <c r="Q525" s="8">
        <f>SUMIF(SoundCast_Data!$Q$2:$Q$747,RouteID_Conversion!N525,SoundCast_Data!$P$2:$P$747)</f>
        <v>320.14360046386656</v>
      </c>
    </row>
    <row r="526" spans="1:17" x14ac:dyDescent="0.25">
      <c r="A526">
        <v>163</v>
      </c>
      <c r="B526">
        <v>110525</v>
      </c>
      <c r="C526">
        <v>1</v>
      </c>
      <c r="D526" t="s">
        <v>573</v>
      </c>
      <c r="E526" t="s">
        <v>327</v>
      </c>
      <c r="F526" t="s">
        <v>573</v>
      </c>
      <c r="G526">
        <v>1</v>
      </c>
      <c r="H526">
        <v>525</v>
      </c>
      <c r="I526" t="s">
        <v>571</v>
      </c>
      <c r="J526">
        <v>1331</v>
      </c>
      <c r="K526" s="8">
        <f>SUMIF(SoundCast_Data!$A$2:$A$1001,RouteID_Conversion!$H$2:$H$999,SoundCast_Data!$C$2:$C$1001)</f>
        <v>72.958305358886506</v>
      </c>
      <c r="N526">
        <v>525</v>
      </c>
      <c r="O526" t="s">
        <v>1237</v>
      </c>
      <c r="P526">
        <v>3116</v>
      </c>
      <c r="Q526" s="8">
        <f>SUMIF(SoundCast_Data!$Q$2:$Q$747,RouteID_Conversion!N526,SoundCast_Data!$P$2:$P$747)</f>
        <v>394.10081481933594</v>
      </c>
    </row>
    <row r="527" spans="1:17" x14ac:dyDescent="0.25">
      <c r="A527">
        <v>984</v>
      </c>
      <c r="B527">
        <v>110526</v>
      </c>
      <c r="C527">
        <v>1</v>
      </c>
      <c r="D527" t="s">
        <v>1815</v>
      </c>
      <c r="E527" t="s">
        <v>327</v>
      </c>
      <c r="F527" t="s">
        <v>1815</v>
      </c>
      <c r="G527">
        <v>1</v>
      </c>
      <c r="H527">
        <v>526</v>
      </c>
      <c r="I527" t="s">
        <v>1816</v>
      </c>
      <c r="J527">
        <v>1342</v>
      </c>
      <c r="K527" s="8">
        <f>SUMIF(SoundCast_Data!$A$2:$A$1001,RouteID_Conversion!$H$2:$H$999,SoundCast_Data!$C$2:$C$1001)</f>
        <v>274.77459716796733</v>
      </c>
      <c r="N527">
        <v>526</v>
      </c>
      <c r="O527" t="s">
        <v>2165</v>
      </c>
      <c r="P527">
        <v>3114</v>
      </c>
      <c r="Q527" s="8">
        <f>SUMIF(SoundCast_Data!$Q$2:$Q$747,RouteID_Conversion!N527,SoundCast_Data!$P$2:$P$747)</f>
        <v>381.98659133911059</v>
      </c>
    </row>
    <row r="528" spans="1:17" x14ac:dyDescent="0.25">
      <c r="A528">
        <v>164</v>
      </c>
      <c r="B528">
        <v>110527</v>
      </c>
      <c r="C528">
        <v>1</v>
      </c>
      <c r="D528" t="s">
        <v>574</v>
      </c>
      <c r="E528" t="s">
        <v>327</v>
      </c>
      <c r="F528" t="s">
        <v>574</v>
      </c>
      <c r="G528">
        <v>1</v>
      </c>
      <c r="H528">
        <v>527</v>
      </c>
      <c r="I528" t="s">
        <v>575</v>
      </c>
      <c r="J528">
        <v>1345</v>
      </c>
      <c r="K528" s="8">
        <f>SUMIF(SoundCast_Data!$A$2:$A$1001,RouteID_Conversion!$H$2:$H$999,SoundCast_Data!$C$2:$C$1001)</f>
        <v>109.79622840881339</v>
      </c>
      <c r="N528">
        <v>527</v>
      </c>
      <c r="O528" t="s">
        <v>1237</v>
      </c>
      <c r="P528">
        <v>3116</v>
      </c>
      <c r="Q528" s="8">
        <f>SUMIF(SoundCast_Data!$Q$2:$Q$747,RouteID_Conversion!N528,SoundCast_Data!$P$2:$P$747)</f>
        <v>395.29617309570267</v>
      </c>
    </row>
    <row r="529" spans="1:17" x14ac:dyDescent="0.25">
      <c r="A529">
        <v>165</v>
      </c>
      <c r="B529">
        <v>110528</v>
      </c>
      <c r="C529">
        <v>1</v>
      </c>
      <c r="D529" t="s">
        <v>576</v>
      </c>
      <c r="E529" t="s">
        <v>327</v>
      </c>
      <c r="F529" t="s">
        <v>576</v>
      </c>
      <c r="G529">
        <v>1</v>
      </c>
      <c r="H529">
        <v>528</v>
      </c>
      <c r="I529" t="s">
        <v>575</v>
      </c>
      <c r="J529">
        <v>1345</v>
      </c>
      <c r="K529" s="8">
        <f>SUMIF(SoundCast_Data!$A$2:$A$1001,RouteID_Conversion!$H$2:$H$999,SoundCast_Data!$C$2:$C$1001)</f>
        <v>48.562232017516905</v>
      </c>
      <c r="N529">
        <v>528</v>
      </c>
      <c r="O529" t="s">
        <v>1232</v>
      </c>
      <c r="P529">
        <v>3113</v>
      </c>
      <c r="Q529" s="8">
        <f>SUMIF(SoundCast_Data!$Q$2:$Q$747,RouteID_Conversion!N529,SoundCast_Data!$P$2:$P$747)</f>
        <v>303.47852325439402</v>
      </c>
    </row>
    <row r="530" spans="1:17" x14ac:dyDescent="0.25">
      <c r="A530">
        <v>166</v>
      </c>
      <c r="B530">
        <v>110529</v>
      </c>
      <c r="C530">
        <v>1</v>
      </c>
      <c r="D530" t="s">
        <v>577</v>
      </c>
      <c r="E530" t="s">
        <v>327</v>
      </c>
      <c r="F530" t="s">
        <v>577</v>
      </c>
      <c r="G530">
        <v>1</v>
      </c>
      <c r="H530">
        <v>529</v>
      </c>
      <c r="I530" t="s">
        <v>578</v>
      </c>
      <c r="J530">
        <v>1346</v>
      </c>
      <c r="K530" s="8">
        <f>SUMIF(SoundCast_Data!$A$2:$A$1001,RouteID_Conversion!$H$2:$H$999,SoundCast_Data!$C$2:$C$1001)</f>
        <v>132.6316566467284</v>
      </c>
      <c r="N530">
        <v>529</v>
      </c>
      <c r="O530" t="s">
        <v>1232</v>
      </c>
      <c r="P530">
        <v>3113</v>
      </c>
      <c r="Q530" s="8">
        <f>SUMIF(SoundCast_Data!$Q$2:$Q$747,RouteID_Conversion!N530,SoundCast_Data!$P$2:$P$747)</f>
        <v>349.00535964965718</v>
      </c>
    </row>
    <row r="531" spans="1:17" x14ac:dyDescent="0.25">
      <c r="A531">
        <v>167</v>
      </c>
      <c r="B531">
        <v>110530</v>
      </c>
      <c r="C531">
        <v>1</v>
      </c>
      <c r="D531" t="s">
        <v>579</v>
      </c>
      <c r="E531" t="s">
        <v>327</v>
      </c>
      <c r="F531" t="s">
        <v>579</v>
      </c>
      <c r="G531">
        <v>1</v>
      </c>
      <c r="H531">
        <v>530</v>
      </c>
      <c r="I531" t="s">
        <v>578</v>
      </c>
      <c r="J531">
        <v>1346</v>
      </c>
      <c r="K531" s="8">
        <f>SUMIF(SoundCast_Data!$A$2:$A$1001,RouteID_Conversion!$H$2:$H$999,SoundCast_Data!$C$2:$C$1001)</f>
        <v>73.258848190307404</v>
      </c>
      <c r="N531">
        <v>530</v>
      </c>
      <c r="O531" t="s">
        <v>1259</v>
      </c>
      <c r="P531">
        <v>3871</v>
      </c>
      <c r="Q531" s="8">
        <f>SUMIF(SoundCast_Data!$Q$2:$Q$747,RouteID_Conversion!N531,SoundCast_Data!$P$2:$P$747)</f>
        <v>135.4749994277953</v>
      </c>
    </row>
    <row r="532" spans="1:17" x14ac:dyDescent="0.25">
      <c r="A532">
        <v>6</v>
      </c>
      <c r="B532">
        <v>110531</v>
      </c>
      <c r="C532">
        <v>1</v>
      </c>
      <c r="D532" t="s">
        <v>332</v>
      </c>
      <c r="E532" t="s">
        <v>327</v>
      </c>
      <c r="F532" t="s">
        <v>332</v>
      </c>
      <c r="G532">
        <v>1</v>
      </c>
      <c r="H532">
        <v>531</v>
      </c>
      <c r="I532" t="s">
        <v>333</v>
      </c>
      <c r="J532">
        <v>1347</v>
      </c>
      <c r="K532" s="8">
        <f>SUMIF(SoundCast_Data!$A$2:$A$1001,RouteID_Conversion!$H$2:$H$999,SoundCast_Data!$C$2:$C$1001)</f>
        <v>165.5846138000488</v>
      </c>
      <c r="N532">
        <v>531</v>
      </c>
      <c r="O532" t="s">
        <v>1132</v>
      </c>
      <c r="P532">
        <v>3112</v>
      </c>
      <c r="Q532" s="8">
        <f>SUMIF(SoundCast_Data!$Q$2:$Q$747,RouteID_Conversion!N532,SoundCast_Data!$P$2:$P$747)</f>
        <v>152.16973876953119</v>
      </c>
    </row>
    <row r="533" spans="1:17" x14ac:dyDescent="0.25">
      <c r="A533">
        <v>7</v>
      </c>
      <c r="B533">
        <v>110532</v>
      </c>
      <c r="C533">
        <v>1</v>
      </c>
      <c r="D533" t="s">
        <v>334</v>
      </c>
      <c r="E533" t="s">
        <v>327</v>
      </c>
      <c r="F533" t="s">
        <v>334</v>
      </c>
      <c r="G533">
        <v>1</v>
      </c>
      <c r="H533">
        <v>532</v>
      </c>
      <c r="I533" t="s">
        <v>333</v>
      </c>
      <c r="J533">
        <v>1347</v>
      </c>
      <c r="K533" s="8">
        <f>SUMIF(SoundCast_Data!$A$2:$A$1001,RouteID_Conversion!$H$2:$H$999,SoundCast_Data!$C$2:$C$1001)</f>
        <v>116.66893005371091</v>
      </c>
      <c r="N533">
        <v>532</v>
      </c>
      <c r="O533" t="s">
        <v>1188</v>
      </c>
      <c r="P533">
        <v>3110</v>
      </c>
      <c r="Q533" s="8">
        <f>SUMIF(SoundCast_Data!$Q$2:$Q$747,RouteID_Conversion!N533,SoundCast_Data!$P$2:$P$747)</f>
        <v>35.736741781234713</v>
      </c>
    </row>
    <row r="534" spans="1:17" x14ac:dyDescent="0.25">
      <c r="A534">
        <v>8</v>
      </c>
      <c r="B534">
        <v>110533</v>
      </c>
      <c r="C534">
        <v>1</v>
      </c>
      <c r="D534" t="s">
        <v>335</v>
      </c>
      <c r="E534" t="s">
        <v>327</v>
      </c>
      <c r="F534" t="s">
        <v>335</v>
      </c>
      <c r="G534">
        <v>1</v>
      </c>
      <c r="H534">
        <v>533</v>
      </c>
      <c r="I534" t="s">
        <v>336</v>
      </c>
      <c r="J534">
        <v>1348</v>
      </c>
      <c r="K534" s="8">
        <f>SUMIF(SoundCast_Data!$A$2:$A$1001,RouteID_Conversion!$H$2:$H$999,SoundCast_Data!$C$2:$C$1001)</f>
        <v>127.43422698974598</v>
      </c>
      <c r="N534">
        <v>533</v>
      </c>
      <c r="O534" t="s">
        <v>1188</v>
      </c>
      <c r="P534">
        <v>3110</v>
      </c>
      <c r="Q534" s="8">
        <f>SUMIF(SoundCast_Data!$Q$2:$Q$747,RouteID_Conversion!N534,SoundCast_Data!$P$2:$P$747)</f>
        <v>81.706205368041907</v>
      </c>
    </row>
    <row r="535" spans="1:17" x14ac:dyDescent="0.25">
      <c r="A535">
        <v>9</v>
      </c>
      <c r="B535">
        <v>110534</v>
      </c>
      <c r="C535">
        <v>1</v>
      </c>
      <c r="D535" t="s">
        <v>337</v>
      </c>
      <c r="E535" t="s">
        <v>327</v>
      </c>
      <c r="F535" t="s">
        <v>337</v>
      </c>
      <c r="G535">
        <v>1</v>
      </c>
      <c r="H535">
        <v>534</v>
      </c>
      <c r="I535" t="s">
        <v>336</v>
      </c>
      <c r="J535">
        <v>1348</v>
      </c>
      <c r="K535" s="8">
        <f>SUMIF(SoundCast_Data!$A$2:$A$1001,RouteID_Conversion!$H$2:$H$999,SoundCast_Data!$C$2:$C$1001)</f>
        <v>245.19739532470689</v>
      </c>
      <c r="N535">
        <v>534</v>
      </c>
      <c r="O535" t="s">
        <v>630</v>
      </c>
      <c r="P535">
        <v>3105</v>
      </c>
      <c r="Q535" s="8">
        <f>SUMIF(SoundCast_Data!$Q$2:$Q$747,RouteID_Conversion!N535,SoundCast_Data!$P$2:$P$747)</f>
        <v>125.5112705230712</v>
      </c>
    </row>
    <row r="536" spans="1:17" x14ac:dyDescent="0.25">
      <c r="A536">
        <v>889</v>
      </c>
      <c r="B536">
        <v>110535</v>
      </c>
      <c r="C536">
        <v>1</v>
      </c>
      <c r="D536" t="s">
        <v>1666</v>
      </c>
      <c r="E536" t="s">
        <v>327</v>
      </c>
      <c r="F536" t="s">
        <v>1666</v>
      </c>
      <c r="G536">
        <v>1</v>
      </c>
      <c r="H536">
        <v>535</v>
      </c>
      <c r="I536" t="s">
        <v>1667</v>
      </c>
      <c r="J536">
        <v>1355</v>
      </c>
      <c r="K536" s="8">
        <f>SUMIF(SoundCast_Data!$A$2:$A$1001,RouteID_Conversion!$H$2:$H$999,SoundCast_Data!$C$2:$C$1001)</f>
        <v>46.325349807739101</v>
      </c>
      <c r="N536">
        <v>535</v>
      </c>
      <c r="O536" t="s">
        <v>630</v>
      </c>
      <c r="P536">
        <v>3105</v>
      </c>
      <c r="Q536" s="8">
        <f>SUMIF(SoundCast_Data!$Q$2:$Q$747,RouteID_Conversion!N536,SoundCast_Data!$P$2:$P$747)</f>
        <v>95.226345062255717</v>
      </c>
    </row>
    <row r="537" spans="1:17" x14ac:dyDescent="0.25">
      <c r="A537">
        <v>890</v>
      </c>
      <c r="B537">
        <v>110536</v>
      </c>
      <c r="C537">
        <v>1</v>
      </c>
      <c r="D537" t="s">
        <v>1668</v>
      </c>
      <c r="E537" t="s">
        <v>327</v>
      </c>
      <c r="F537" t="s">
        <v>1668</v>
      </c>
      <c r="G537">
        <v>1</v>
      </c>
      <c r="H537">
        <v>536</v>
      </c>
      <c r="I537" t="s">
        <v>1667</v>
      </c>
      <c r="J537">
        <v>1355</v>
      </c>
      <c r="K537" s="8">
        <f>SUMIF(SoundCast_Data!$A$2:$A$1001,RouteID_Conversion!$H$2:$H$999,SoundCast_Data!$C$2:$C$1001)</f>
        <v>320.71397399902293</v>
      </c>
      <c r="N537">
        <v>536</v>
      </c>
      <c r="O537" t="s">
        <v>519</v>
      </c>
      <c r="P537">
        <v>3106</v>
      </c>
      <c r="Q537" s="8">
        <f>SUMIF(SoundCast_Data!$Q$2:$Q$747,RouteID_Conversion!N537,SoundCast_Data!$P$2:$P$747)</f>
        <v>105.38772964477521</v>
      </c>
    </row>
    <row r="538" spans="1:17" x14ac:dyDescent="0.25">
      <c r="A538">
        <v>684</v>
      </c>
      <c r="B538">
        <v>110537</v>
      </c>
      <c r="C538">
        <v>1</v>
      </c>
      <c r="D538" t="s">
        <v>1350</v>
      </c>
      <c r="E538" t="s">
        <v>327</v>
      </c>
      <c r="F538" t="s">
        <v>1350</v>
      </c>
      <c r="G538">
        <v>1</v>
      </c>
      <c r="H538">
        <v>537</v>
      </c>
      <c r="I538" t="s">
        <v>581</v>
      </c>
      <c r="J538">
        <v>1358</v>
      </c>
      <c r="K538" s="8">
        <f>SUMIF(SoundCast_Data!$A$2:$A$1001,RouteID_Conversion!$H$2:$H$999,SoundCast_Data!$C$2:$C$1001)</f>
        <v>2113.6704101562491</v>
      </c>
      <c r="N538">
        <v>537</v>
      </c>
      <c r="O538" t="s">
        <v>519</v>
      </c>
      <c r="P538">
        <v>3106</v>
      </c>
      <c r="Q538" s="8">
        <f>SUMIF(SoundCast_Data!$Q$2:$Q$747,RouteID_Conversion!N538,SoundCast_Data!$P$2:$P$747)</f>
        <v>94.701644897460866</v>
      </c>
    </row>
    <row r="539" spans="1:17" x14ac:dyDescent="0.25">
      <c r="A539">
        <v>168</v>
      </c>
      <c r="B539">
        <v>110538</v>
      </c>
      <c r="C539">
        <v>1</v>
      </c>
      <c r="D539" t="s">
        <v>580</v>
      </c>
      <c r="E539" t="s">
        <v>327</v>
      </c>
      <c r="F539" t="s">
        <v>580</v>
      </c>
      <c r="G539">
        <v>1</v>
      </c>
      <c r="H539">
        <v>538</v>
      </c>
      <c r="I539" t="s">
        <v>581</v>
      </c>
      <c r="J539">
        <v>1358</v>
      </c>
      <c r="K539" s="8">
        <f>SUMIF(SoundCast_Data!$A$2:$A$1001,RouteID_Conversion!$H$2:$H$999,SoundCast_Data!$C$2:$C$1001)</f>
        <v>1005.8571777343741</v>
      </c>
      <c r="N539">
        <v>538</v>
      </c>
      <c r="O539" t="s">
        <v>635</v>
      </c>
      <c r="P539">
        <v>3101</v>
      </c>
      <c r="Q539" s="8">
        <f>SUMIF(SoundCast_Data!$Q$2:$Q$747,RouteID_Conversion!N539,SoundCast_Data!$P$2:$P$747)</f>
        <v>276.22928237914959</v>
      </c>
    </row>
    <row r="540" spans="1:17" x14ac:dyDescent="0.25">
      <c r="A540">
        <v>501</v>
      </c>
      <c r="B540">
        <v>110539</v>
      </c>
      <c r="C540">
        <v>1</v>
      </c>
      <c r="D540" t="s">
        <v>1103</v>
      </c>
      <c r="E540" t="s">
        <v>327</v>
      </c>
      <c r="F540" t="s">
        <v>1103</v>
      </c>
      <c r="G540">
        <v>1</v>
      </c>
      <c r="H540">
        <v>539</v>
      </c>
      <c r="I540" t="s">
        <v>1104</v>
      </c>
      <c r="J540">
        <v>1372</v>
      </c>
      <c r="K540" s="8">
        <f>SUMIF(SoundCast_Data!$A$2:$A$1001,RouteID_Conversion!$H$2:$H$999,SoundCast_Data!$C$2:$C$1001)</f>
        <v>331.04923248290902</v>
      </c>
      <c r="N540">
        <v>539</v>
      </c>
      <c r="O540" t="s">
        <v>635</v>
      </c>
      <c r="P540">
        <v>3101</v>
      </c>
      <c r="Q540" s="8">
        <f>SUMIF(SoundCast_Data!$Q$2:$Q$747,RouteID_Conversion!N540,SoundCast_Data!$P$2:$P$747)</f>
        <v>316.05736160278281</v>
      </c>
    </row>
    <row r="541" spans="1:17" x14ac:dyDescent="0.25">
      <c r="A541">
        <v>502</v>
      </c>
      <c r="B541">
        <v>110540</v>
      </c>
      <c r="C541">
        <v>1</v>
      </c>
      <c r="D541" t="s">
        <v>1105</v>
      </c>
      <c r="E541" t="s">
        <v>327</v>
      </c>
      <c r="F541" t="s">
        <v>1105</v>
      </c>
      <c r="G541">
        <v>1</v>
      </c>
      <c r="H541">
        <v>540</v>
      </c>
      <c r="I541" t="s">
        <v>1104</v>
      </c>
      <c r="J541">
        <v>1372</v>
      </c>
      <c r="K541" s="8">
        <f>SUMIF(SoundCast_Data!$A$2:$A$1001,RouteID_Conversion!$H$2:$H$999,SoundCast_Data!$C$2:$C$1001)</f>
        <v>319.9272384643549</v>
      </c>
      <c r="N541">
        <v>540</v>
      </c>
      <c r="O541" t="s">
        <v>1323</v>
      </c>
      <c r="P541">
        <v>2061</v>
      </c>
      <c r="Q541" s="8">
        <f>SUMIF(SoundCast_Data!$Q$2:$Q$747,RouteID_Conversion!N541,SoundCast_Data!$P$2:$P$747)</f>
        <v>43.634479999542229</v>
      </c>
    </row>
    <row r="542" spans="1:17" x14ac:dyDescent="0.25">
      <c r="A542">
        <v>503</v>
      </c>
      <c r="B542">
        <v>110541</v>
      </c>
      <c r="C542">
        <v>1</v>
      </c>
      <c r="D542" t="s">
        <v>1106</v>
      </c>
      <c r="E542" t="s">
        <v>327</v>
      </c>
      <c r="F542" t="s">
        <v>1106</v>
      </c>
      <c r="G542">
        <v>1</v>
      </c>
      <c r="H542">
        <v>541</v>
      </c>
      <c r="I542" t="s">
        <v>1104</v>
      </c>
      <c r="J542">
        <v>1372</v>
      </c>
      <c r="K542" s="8">
        <f>SUMIF(SoundCast_Data!$A$2:$A$1001,RouteID_Conversion!$H$2:$H$999,SoundCast_Data!$C$2:$C$1001)</f>
        <v>234.30752944946278</v>
      </c>
      <c r="N542">
        <v>541</v>
      </c>
      <c r="O542" t="s">
        <v>1323</v>
      </c>
      <c r="P542">
        <v>2061</v>
      </c>
      <c r="Q542" s="8">
        <f>SUMIF(SoundCast_Data!$Q$2:$Q$747,RouteID_Conversion!N542,SoundCast_Data!$P$2:$P$747)</f>
        <v>70.395163536071678</v>
      </c>
    </row>
    <row r="543" spans="1:17" x14ac:dyDescent="0.25">
      <c r="A543">
        <v>169</v>
      </c>
      <c r="B543">
        <v>110542</v>
      </c>
      <c r="C543">
        <v>1</v>
      </c>
      <c r="D543" t="s">
        <v>582</v>
      </c>
      <c r="E543" t="s">
        <v>327</v>
      </c>
      <c r="F543" t="s">
        <v>582</v>
      </c>
      <c r="G543">
        <v>1</v>
      </c>
      <c r="H543">
        <v>542</v>
      </c>
      <c r="I543" t="s">
        <v>583</v>
      </c>
      <c r="J543">
        <v>1373</v>
      </c>
      <c r="K543" s="8">
        <f>SUMIF(SoundCast_Data!$A$2:$A$1001,RouteID_Conversion!$H$2:$H$999,SoundCast_Data!$C$2:$C$1001)</f>
        <v>383.74641418456804</v>
      </c>
      <c r="N543">
        <v>542</v>
      </c>
      <c r="O543" t="s">
        <v>1377</v>
      </c>
      <c r="P543">
        <v>6594</v>
      </c>
      <c r="Q543" s="8">
        <f>SUMIF(SoundCast_Data!$Q$2:$Q$747,RouteID_Conversion!N543,SoundCast_Data!$P$2:$P$747)</f>
        <v>713.563331604003</v>
      </c>
    </row>
    <row r="544" spans="1:17" x14ac:dyDescent="0.25">
      <c r="A544">
        <v>935</v>
      </c>
      <c r="B544">
        <v>110543</v>
      </c>
      <c r="C544">
        <v>1</v>
      </c>
      <c r="D544" t="s">
        <v>1750</v>
      </c>
      <c r="E544" t="s">
        <v>327</v>
      </c>
      <c r="F544" t="s">
        <v>1750</v>
      </c>
      <c r="G544">
        <v>6</v>
      </c>
      <c r="H544">
        <v>543</v>
      </c>
      <c r="I544" t="s">
        <v>1670</v>
      </c>
      <c r="J544">
        <v>6522</v>
      </c>
      <c r="K544" s="8">
        <f>SUMIF(SoundCast_Data!$A$2:$A$1001,RouteID_Conversion!$H$2:$H$999,SoundCast_Data!$C$2:$C$1001)</f>
        <v>209.22301864624009</v>
      </c>
      <c r="N544">
        <v>543</v>
      </c>
      <c r="O544" t="s">
        <v>1377</v>
      </c>
      <c r="P544">
        <v>6594</v>
      </c>
      <c r="Q544" s="8">
        <f>SUMIF(SoundCast_Data!$Q$2:$Q$747,RouteID_Conversion!N544,SoundCast_Data!$P$2:$P$747)</f>
        <v>584.05908966064328</v>
      </c>
    </row>
    <row r="545" spans="1:17" x14ac:dyDescent="0.25">
      <c r="A545">
        <v>891</v>
      </c>
      <c r="B545">
        <v>110544</v>
      </c>
      <c r="C545">
        <v>1</v>
      </c>
      <c r="D545" t="s">
        <v>1669</v>
      </c>
      <c r="E545" t="s">
        <v>327</v>
      </c>
      <c r="F545" t="s">
        <v>1669</v>
      </c>
      <c r="G545">
        <v>6</v>
      </c>
      <c r="H545">
        <v>544</v>
      </c>
      <c r="I545" t="s">
        <v>1670</v>
      </c>
      <c r="J545">
        <v>6522</v>
      </c>
      <c r="K545" s="8">
        <f>SUMIF(SoundCast_Data!$A$2:$A$1001,RouteID_Conversion!$H$2:$H$999,SoundCast_Data!$C$2:$C$1001)</f>
        <v>298.92998123168849</v>
      </c>
      <c r="N545">
        <v>544</v>
      </c>
      <c r="O545" t="s">
        <v>1003</v>
      </c>
      <c r="P545">
        <v>6592</v>
      </c>
      <c r="Q545" s="8">
        <f>SUMIF(SoundCast_Data!$Q$2:$Q$747,RouteID_Conversion!N545,SoundCast_Data!$P$2:$P$747)</f>
        <v>158.36777114868141</v>
      </c>
    </row>
    <row r="546" spans="1:17" x14ac:dyDescent="0.25">
      <c r="A546">
        <v>892</v>
      </c>
      <c r="B546">
        <v>110545</v>
      </c>
      <c r="C546">
        <v>1</v>
      </c>
      <c r="D546" t="s">
        <v>1671</v>
      </c>
      <c r="E546" t="s">
        <v>327</v>
      </c>
      <c r="F546" t="s">
        <v>1671</v>
      </c>
      <c r="G546">
        <v>6</v>
      </c>
      <c r="H546">
        <v>545</v>
      </c>
      <c r="I546" t="s">
        <v>1670</v>
      </c>
      <c r="J546">
        <v>6522</v>
      </c>
      <c r="K546" s="8">
        <f>SUMIF(SoundCast_Data!$A$2:$A$1001,RouteID_Conversion!$H$2:$H$999,SoundCast_Data!$C$2:$C$1001)</f>
        <v>332.13415527343625</v>
      </c>
      <c r="N546">
        <v>545</v>
      </c>
      <c r="O546" t="s">
        <v>1003</v>
      </c>
      <c r="P546">
        <v>6592</v>
      </c>
      <c r="Q546" s="8">
        <f>SUMIF(SoundCast_Data!$Q$2:$Q$747,RouteID_Conversion!N546,SoundCast_Data!$P$2:$P$747)</f>
        <v>36.663428783416705</v>
      </c>
    </row>
    <row r="547" spans="1:17" x14ac:dyDescent="0.25">
      <c r="A547">
        <v>44</v>
      </c>
      <c r="B547">
        <v>110546</v>
      </c>
      <c r="C547">
        <v>1</v>
      </c>
      <c r="D547" t="s">
        <v>398</v>
      </c>
      <c r="E547" t="s">
        <v>327</v>
      </c>
      <c r="F547" t="s">
        <v>398</v>
      </c>
      <c r="G547">
        <v>6</v>
      </c>
      <c r="H547">
        <v>546</v>
      </c>
      <c r="I547" t="s">
        <v>399</v>
      </c>
      <c r="J547">
        <v>6540</v>
      </c>
      <c r="K547" s="8">
        <f>SUMIF(SoundCast_Data!$A$2:$A$1001,RouteID_Conversion!$H$2:$H$999,SoundCast_Data!$C$2:$C$1001)</f>
        <v>159.8982696533202</v>
      </c>
      <c r="N547">
        <v>546</v>
      </c>
      <c r="O547" t="s">
        <v>1003</v>
      </c>
      <c r="P547">
        <v>6592</v>
      </c>
      <c r="Q547" s="8">
        <f>SUMIF(SoundCast_Data!$Q$2:$Q$747,RouteID_Conversion!N547,SoundCast_Data!$P$2:$P$747)</f>
        <v>32.683916568756025</v>
      </c>
    </row>
    <row r="548" spans="1:17" x14ac:dyDescent="0.25">
      <c r="A548">
        <v>183</v>
      </c>
      <c r="B548">
        <v>110547</v>
      </c>
      <c r="C548">
        <v>1</v>
      </c>
      <c r="D548" t="s">
        <v>597</v>
      </c>
      <c r="E548" t="s">
        <v>327</v>
      </c>
      <c r="F548" t="s">
        <v>597</v>
      </c>
      <c r="G548">
        <v>6</v>
      </c>
      <c r="H548">
        <v>547</v>
      </c>
      <c r="I548" t="s">
        <v>399</v>
      </c>
      <c r="J548">
        <v>6540</v>
      </c>
      <c r="K548" s="8">
        <f>SUMIF(SoundCast_Data!$A$2:$A$1001,RouteID_Conversion!$H$2:$H$999,SoundCast_Data!$C$2:$C$1001)</f>
        <v>210.9740562438964</v>
      </c>
      <c r="N548">
        <v>547</v>
      </c>
      <c r="O548" t="s">
        <v>1382</v>
      </c>
      <c r="P548">
        <v>6590</v>
      </c>
      <c r="Q548" s="8">
        <f>SUMIF(SoundCast_Data!$Q$2:$Q$747,RouteID_Conversion!N548,SoundCast_Data!$P$2:$P$747)</f>
        <v>101.4341888427733</v>
      </c>
    </row>
    <row r="549" spans="1:17" x14ac:dyDescent="0.25">
      <c r="A549">
        <v>997</v>
      </c>
      <c r="B549">
        <v>110548</v>
      </c>
      <c r="C549">
        <v>1</v>
      </c>
      <c r="D549" t="s">
        <v>1833</v>
      </c>
      <c r="E549" t="s">
        <v>327</v>
      </c>
      <c r="F549" t="s">
        <v>1833</v>
      </c>
      <c r="G549">
        <v>6</v>
      </c>
      <c r="H549">
        <v>548</v>
      </c>
      <c r="I549" t="s">
        <v>399</v>
      </c>
      <c r="J549">
        <v>6540</v>
      </c>
      <c r="K549" s="8">
        <f>SUMIF(SoundCast_Data!$A$2:$A$1001,RouteID_Conversion!$H$2:$H$999,SoundCast_Data!$C$2:$C$1001)</f>
        <v>210.9740562438964</v>
      </c>
      <c r="N549">
        <v>548</v>
      </c>
      <c r="O549" t="s">
        <v>1382</v>
      </c>
      <c r="P549">
        <v>6590</v>
      </c>
      <c r="Q549" s="8">
        <f>SUMIF(SoundCast_Data!$Q$2:$Q$747,RouteID_Conversion!N549,SoundCast_Data!$P$2:$P$747)</f>
        <v>60.048460006713725</v>
      </c>
    </row>
    <row r="550" spans="1:17" x14ac:dyDescent="0.25">
      <c r="A550">
        <v>893</v>
      </c>
      <c r="B550">
        <v>110549</v>
      </c>
      <c r="C550">
        <v>1</v>
      </c>
      <c r="D550" t="s">
        <v>1672</v>
      </c>
      <c r="E550" t="s">
        <v>327</v>
      </c>
      <c r="F550" t="s">
        <v>1672</v>
      </c>
      <c r="G550">
        <v>6</v>
      </c>
      <c r="H550">
        <v>549</v>
      </c>
      <c r="I550" t="s">
        <v>1551</v>
      </c>
      <c r="J550">
        <v>6545</v>
      </c>
      <c r="K550" s="8">
        <f>SUMIF(SoundCast_Data!$A$2:$A$1001,RouteID_Conversion!$H$2:$H$999,SoundCast_Data!$C$2:$C$1001)</f>
        <v>775.71464538574003</v>
      </c>
      <c r="N550">
        <v>549</v>
      </c>
      <c r="O550" t="s">
        <v>1382</v>
      </c>
      <c r="P550">
        <v>6590</v>
      </c>
      <c r="Q550" s="8">
        <f>SUMIF(SoundCast_Data!$Q$2:$Q$747,RouteID_Conversion!N550,SoundCast_Data!$P$2:$P$747)</f>
        <v>104.2920770645141</v>
      </c>
    </row>
    <row r="551" spans="1:17" x14ac:dyDescent="0.25">
      <c r="A551">
        <v>894</v>
      </c>
      <c r="B551">
        <v>110550</v>
      </c>
      <c r="C551">
        <v>1</v>
      </c>
      <c r="D551" t="s">
        <v>1673</v>
      </c>
      <c r="E551" t="s">
        <v>327</v>
      </c>
      <c r="F551" t="s">
        <v>1673</v>
      </c>
      <c r="G551">
        <v>6</v>
      </c>
      <c r="H551">
        <v>550</v>
      </c>
      <c r="I551" t="s">
        <v>1551</v>
      </c>
      <c r="J551">
        <v>6545</v>
      </c>
      <c r="K551" s="8">
        <f>SUMIF(SoundCast_Data!$A$2:$A$1001,RouteID_Conversion!$H$2:$H$999,SoundCast_Data!$C$2:$C$1001)</f>
        <v>568.85734558105298</v>
      </c>
      <c r="N551">
        <v>550</v>
      </c>
      <c r="O551" t="s">
        <v>1382</v>
      </c>
      <c r="P551">
        <v>6590</v>
      </c>
      <c r="Q551" s="8">
        <f>SUMIF(SoundCast_Data!$Q$2:$Q$747,RouteID_Conversion!N551,SoundCast_Data!$P$2:$P$747)</f>
        <v>72.113800048828011</v>
      </c>
    </row>
    <row r="552" spans="1:17" x14ac:dyDescent="0.25">
      <c r="A552">
        <v>895</v>
      </c>
      <c r="B552">
        <v>110551</v>
      </c>
      <c r="C552">
        <v>1</v>
      </c>
      <c r="D552" t="s">
        <v>1674</v>
      </c>
      <c r="E552" t="s">
        <v>327</v>
      </c>
      <c r="F552" t="s">
        <v>1674</v>
      </c>
      <c r="G552">
        <v>6</v>
      </c>
      <c r="H552">
        <v>551</v>
      </c>
      <c r="I552" t="s">
        <v>1551</v>
      </c>
      <c r="J552">
        <v>6545</v>
      </c>
      <c r="K552" s="8">
        <f>SUMIF(SoundCast_Data!$A$2:$A$1001,RouteID_Conversion!$H$2:$H$999,SoundCast_Data!$C$2:$C$1001)</f>
        <v>189.6191215515135</v>
      </c>
      <c r="N552">
        <v>551</v>
      </c>
      <c r="O552" t="s">
        <v>767</v>
      </c>
      <c r="P552">
        <v>2059</v>
      </c>
      <c r="Q552" s="8">
        <f>SUMIF(SoundCast_Data!$Q$2:$Q$747,RouteID_Conversion!N552,SoundCast_Data!$P$2:$P$747)</f>
        <v>15.3608350753784</v>
      </c>
    </row>
    <row r="553" spans="1:17" x14ac:dyDescent="0.25">
      <c r="A553">
        <v>896</v>
      </c>
      <c r="B553">
        <v>110552</v>
      </c>
      <c r="C553">
        <v>1</v>
      </c>
      <c r="D553" t="s">
        <v>1675</v>
      </c>
      <c r="E553" t="s">
        <v>327</v>
      </c>
      <c r="F553" t="s">
        <v>1675</v>
      </c>
      <c r="G553">
        <v>6</v>
      </c>
      <c r="H553">
        <v>552</v>
      </c>
      <c r="I553" t="s">
        <v>1551</v>
      </c>
      <c r="J553">
        <v>6545</v>
      </c>
      <c r="K553" s="8">
        <f>SUMIF(SoundCast_Data!$A$2:$A$1001,RouteID_Conversion!$H$2:$H$999,SoundCast_Data!$C$2:$C$1001)</f>
        <v>284.42867279052678</v>
      </c>
      <c r="N553">
        <v>552</v>
      </c>
      <c r="O553" t="s">
        <v>767</v>
      </c>
      <c r="P553">
        <v>2059</v>
      </c>
      <c r="Q553" s="8">
        <f>SUMIF(SoundCast_Data!$Q$2:$Q$747,RouteID_Conversion!N553,SoundCast_Data!$P$2:$P$747)</f>
        <v>6.6398487091064302</v>
      </c>
    </row>
    <row r="554" spans="1:17" x14ac:dyDescent="0.25">
      <c r="A554">
        <v>820</v>
      </c>
      <c r="B554">
        <v>110553</v>
      </c>
      <c r="C554">
        <v>1</v>
      </c>
      <c r="D554" t="s">
        <v>1550</v>
      </c>
      <c r="E554" t="s">
        <v>327</v>
      </c>
      <c r="F554" t="s">
        <v>1550</v>
      </c>
      <c r="G554">
        <v>6</v>
      </c>
      <c r="H554">
        <v>553</v>
      </c>
      <c r="I554" t="s">
        <v>1551</v>
      </c>
      <c r="J554">
        <v>6545</v>
      </c>
      <c r="K554" s="8">
        <f>SUMIF(SoundCast_Data!$A$2:$A$1001,RouteID_Conversion!$H$2:$H$999,SoundCast_Data!$C$2:$C$1001)</f>
        <v>1753.3635559082018</v>
      </c>
      <c r="N554">
        <v>553</v>
      </c>
      <c r="O554" t="s">
        <v>1745</v>
      </c>
      <c r="P554">
        <v>6586</v>
      </c>
      <c r="Q554" s="8">
        <f>SUMIF(SoundCast_Data!$Q$2:$Q$747,RouteID_Conversion!N554,SoundCast_Data!$P$2:$P$747)</f>
        <v>21.97949719429009</v>
      </c>
    </row>
    <row r="555" spans="1:17" x14ac:dyDescent="0.25">
      <c r="A555">
        <v>821</v>
      </c>
      <c r="B555">
        <v>110554</v>
      </c>
      <c r="C555">
        <v>1</v>
      </c>
      <c r="D555" t="s">
        <v>1552</v>
      </c>
      <c r="E555" t="s">
        <v>327</v>
      </c>
      <c r="F555" t="s">
        <v>1552</v>
      </c>
      <c r="G555">
        <v>6</v>
      </c>
      <c r="H555">
        <v>554</v>
      </c>
      <c r="I555" t="s">
        <v>1551</v>
      </c>
      <c r="J555">
        <v>6545</v>
      </c>
      <c r="K555" s="8">
        <f>SUMIF(SoundCast_Data!$A$2:$A$1001,RouteID_Conversion!$H$2:$H$999,SoundCast_Data!$C$2:$C$1001)</f>
        <v>107.149990081787</v>
      </c>
      <c r="N555">
        <v>554</v>
      </c>
      <c r="O555" t="s">
        <v>1745</v>
      </c>
      <c r="P555">
        <v>6586</v>
      </c>
      <c r="Q555" s="8">
        <f>SUMIF(SoundCast_Data!$Q$2:$Q$747,RouteID_Conversion!N555,SoundCast_Data!$P$2:$P$747)</f>
        <v>2.3866312205791429</v>
      </c>
    </row>
    <row r="556" spans="1:17" x14ac:dyDescent="0.25">
      <c r="A556">
        <v>976</v>
      </c>
      <c r="B556">
        <v>110555</v>
      </c>
      <c r="C556">
        <v>1</v>
      </c>
      <c r="D556" t="s">
        <v>1807</v>
      </c>
      <c r="E556" t="s">
        <v>327</v>
      </c>
      <c r="F556" t="s">
        <v>1807</v>
      </c>
      <c r="G556">
        <v>6</v>
      </c>
      <c r="H556">
        <v>555</v>
      </c>
      <c r="I556" t="s">
        <v>1585</v>
      </c>
      <c r="J556">
        <v>6550</v>
      </c>
      <c r="K556" s="8">
        <f>SUMIF(SoundCast_Data!$A$2:$A$1001,RouteID_Conversion!$H$2:$H$999,SoundCast_Data!$C$2:$C$1001)</f>
        <v>2473.6613769531241</v>
      </c>
      <c r="N556">
        <v>555</v>
      </c>
      <c r="O556" t="s">
        <v>1397</v>
      </c>
      <c r="P556">
        <v>6578</v>
      </c>
      <c r="Q556" s="8">
        <f>SUMIF(SoundCast_Data!$Q$2:$Q$747,RouteID_Conversion!N556,SoundCast_Data!$P$2:$P$747)</f>
        <v>429.18391799926673</v>
      </c>
    </row>
    <row r="557" spans="1:17" x14ac:dyDescent="0.25">
      <c r="A557">
        <v>843</v>
      </c>
      <c r="B557">
        <v>110556</v>
      </c>
      <c r="C557">
        <v>1</v>
      </c>
      <c r="D557" t="s">
        <v>1584</v>
      </c>
      <c r="E557" t="s">
        <v>327</v>
      </c>
      <c r="F557" t="s">
        <v>1584</v>
      </c>
      <c r="G557">
        <v>6</v>
      </c>
      <c r="H557">
        <v>556</v>
      </c>
      <c r="I557" t="s">
        <v>1585</v>
      </c>
      <c r="J557">
        <v>6550</v>
      </c>
      <c r="K557" s="8">
        <f>SUMIF(SoundCast_Data!$A$2:$A$1001,RouteID_Conversion!$H$2:$H$999,SoundCast_Data!$C$2:$C$1001)</f>
        <v>485.49287414550599</v>
      </c>
      <c r="N557">
        <v>556</v>
      </c>
      <c r="O557" t="s">
        <v>1385</v>
      </c>
      <c r="P557">
        <v>6574</v>
      </c>
      <c r="Q557" s="8">
        <f>SUMIF(SoundCast_Data!$Q$2:$Q$747,RouteID_Conversion!N557,SoundCast_Data!$P$2:$P$747)</f>
        <v>286.55397796630768</v>
      </c>
    </row>
    <row r="558" spans="1:17" x14ac:dyDescent="0.25">
      <c r="A558">
        <v>844</v>
      </c>
      <c r="B558">
        <v>110557</v>
      </c>
      <c r="C558">
        <v>1</v>
      </c>
      <c r="D558" t="s">
        <v>1586</v>
      </c>
      <c r="E558" t="s">
        <v>327</v>
      </c>
      <c r="F558" t="s">
        <v>1586</v>
      </c>
      <c r="G558">
        <v>6</v>
      </c>
      <c r="H558">
        <v>557</v>
      </c>
      <c r="I558" t="s">
        <v>1585</v>
      </c>
      <c r="J558">
        <v>6550</v>
      </c>
      <c r="K558" s="8">
        <f>SUMIF(SoundCast_Data!$A$2:$A$1001,RouteID_Conversion!$H$2:$H$999,SoundCast_Data!$C$2:$C$1001)</f>
        <v>292.40660095214668</v>
      </c>
      <c r="N558">
        <v>557</v>
      </c>
      <c r="O558" t="s">
        <v>1385</v>
      </c>
      <c r="P558">
        <v>6574</v>
      </c>
      <c r="Q558" s="8">
        <f>SUMIF(SoundCast_Data!$Q$2:$Q$747,RouteID_Conversion!N558,SoundCast_Data!$P$2:$P$747)</f>
        <v>609.36776733398358</v>
      </c>
    </row>
    <row r="559" spans="1:17" x14ac:dyDescent="0.25">
      <c r="A559">
        <v>845</v>
      </c>
      <c r="B559">
        <v>110558</v>
      </c>
      <c r="C559">
        <v>1</v>
      </c>
      <c r="D559" t="s">
        <v>1587</v>
      </c>
      <c r="E559" t="s">
        <v>327</v>
      </c>
      <c r="F559" t="s">
        <v>1587</v>
      </c>
      <c r="G559">
        <v>6</v>
      </c>
      <c r="H559">
        <v>558</v>
      </c>
      <c r="I559" t="s">
        <v>1585</v>
      </c>
      <c r="J559">
        <v>6550</v>
      </c>
      <c r="K559" s="8">
        <f>SUMIF(SoundCast_Data!$A$2:$A$1001,RouteID_Conversion!$H$2:$H$999,SoundCast_Data!$C$2:$C$1001)</f>
        <v>864.23364257812409</v>
      </c>
      <c r="N559">
        <v>558</v>
      </c>
      <c r="O559" t="s">
        <v>923</v>
      </c>
      <c r="P559">
        <v>2057</v>
      </c>
      <c r="Q559" s="8">
        <f>SUMIF(SoundCast_Data!$Q$2:$Q$747,RouteID_Conversion!N559,SoundCast_Data!$P$2:$P$747)</f>
        <v>144.2289905548094</v>
      </c>
    </row>
    <row r="560" spans="1:17" x14ac:dyDescent="0.25">
      <c r="A560">
        <v>846</v>
      </c>
      <c r="B560">
        <v>110559</v>
      </c>
      <c r="C560">
        <v>1</v>
      </c>
      <c r="D560" t="s">
        <v>1588</v>
      </c>
      <c r="E560" t="s">
        <v>327</v>
      </c>
      <c r="F560" t="s">
        <v>1588</v>
      </c>
      <c r="G560">
        <v>6</v>
      </c>
      <c r="H560">
        <v>559</v>
      </c>
      <c r="I560" t="s">
        <v>1585</v>
      </c>
      <c r="J560">
        <v>6550</v>
      </c>
      <c r="K560" s="8">
        <f>SUMIF(SoundCast_Data!$A$2:$A$1001,RouteID_Conversion!$H$2:$H$999,SoundCast_Data!$C$2:$C$1001)</f>
        <v>219.30496597290019</v>
      </c>
      <c r="N560">
        <v>559</v>
      </c>
      <c r="O560" t="s">
        <v>923</v>
      </c>
      <c r="P560">
        <v>2057</v>
      </c>
      <c r="Q560" s="8">
        <f>SUMIF(SoundCast_Data!$Q$2:$Q$747,RouteID_Conversion!N560,SoundCast_Data!$P$2:$P$747)</f>
        <v>90.477784156799103</v>
      </c>
    </row>
    <row r="561" spans="1:17" x14ac:dyDescent="0.25">
      <c r="A561">
        <v>847</v>
      </c>
      <c r="B561">
        <v>110560</v>
      </c>
      <c r="C561">
        <v>1</v>
      </c>
      <c r="D561" t="s">
        <v>1589</v>
      </c>
      <c r="E561" t="s">
        <v>327</v>
      </c>
      <c r="F561" t="s">
        <v>1589</v>
      </c>
      <c r="G561">
        <v>6</v>
      </c>
      <c r="H561">
        <v>560</v>
      </c>
      <c r="I561" t="s">
        <v>1590</v>
      </c>
      <c r="J561">
        <v>6554</v>
      </c>
      <c r="K561" s="8">
        <f>SUMIF(SoundCast_Data!$A$2:$A$1001,RouteID_Conversion!$H$2:$H$999,SoundCast_Data!$C$2:$C$1001)</f>
        <v>539.06114196777196</v>
      </c>
      <c r="N561">
        <v>560</v>
      </c>
      <c r="O561" t="s">
        <v>352</v>
      </c>
      <c r="P561">
        <v>2056</v>
      </c>
      <c r="Q561" s="8">
        <f>SUMIF(SoundCast_Data!$Q$2:$Q$747,RouteID_Conversion!N561,SoundCast_Data!$P$2:$P$747)</f>
        <v>32.61283588409421</v>
      </c>
    </row>
    <row r="562" spans="1:17" x14ac:dyDescent="0.25">
      <c r="A562">
        <v>849</v>
      </c>
      <c r="B562">
        <v>110561</v>
      </c>
      <c r="C562">
        <v>1</v>
      </c>
      <c r="D562" t="s">
        <v>1593</v>
      </c>
      <c r="E562" t="s">
        <v>327</v>
      </c>
      <c r="F562" t="s">
        <v>1593</v>
      </c>
      <c r="G562">
        <v>6</v>
      </c>
      <c r="H562">
        <v>561</v>
      </c>
      <c r="I562" t="s">
        <v>1590</v>
      </c>
      <c r="J562">
        <v>6554</v>
      </c>
      <c r="K562" s="8">
        <f>SUMIF(SoundCast_Data!$A$2:$A$1001,RouteID_Conversion!$H$2:$H$999,SoundCast_Data!$C$2:$C$1001)</f>
        <v>155.5659370422363</v>
      </c>
      <c r="N562">
        <v>561</v>
      </c>
      <c r="O562" t="s">
        <v>352</v>
      </c>
      <c r="P562">
        <v>2056</v>
      </c>
      <c r="Q562" s="8">
        <f>SUMIF(SoundCast_Data!$Q$2:$Q$747,RouteID_Conversion!N562,SoundCast_Data!$P$2:$P$747)</f>
        <v>51.358720779418867</v>
      </c>
    </row>
    <row r="563" spans="1:17" x14ac:dyDescent="0.25">
      <c r="A563">
        <v>964</v>
      </c>
      <c r="B563">
        <v>110562</v>
      </c>
      <c r="C563">
        <v>1</v>
      </c>
      <c r="D563" t="s">
        <v>1788</v>
      </c>
      <c r="E563" t="s">
        <v>327</v>
      </c>
      <c r="F563" t="s">
        <v>1788</v>
      </c>
      <c r="G563">
        <v>6</v>
      </c>
      <c r="H563">
        <v>562</v>
      </c>
      <c r="I563" t="s">
        <v>1789</v>
      </c>
      <c r="J563">
        <v>6555</v>
      </c>
      <c r="K563" s="8">
        <f>SUMIF(SoundCast_Data!$A$2:$A$1001,RouteID_Conversion!$H$2:$H$999,SoundCast_Data!$C$2:$C$1001)</f>
        <v>117.62344741821281</v>
      </c>
      <c r="N563">
        <v>562</v>
      </c>
      <c r="O563" t="s">
        <v>356</v>
      </c>
      <c r="P563">
        <v>2055</v>
      </c>
      <c r="Q563" s="8">
        <f>SUMIF(SoundCast_Data!$Q$2:$Q$747,RouteID_Conversion!N563,SoundCast_Data!$P$2:$P$747)</f>
        <v>104.8438854217527</v>
      </c>
    </row>
    <row r="564" spans="1:17" x14ac:dyDescent="0.25">
      <c r="A564">
        <v>965</v>
      </c>
      <c r="B564">
        <v>110563</v>
      </c>
      <c r="C564">
        <v>1</v>
      </c>
      <c r="D564" t="s">
        <v>1790</v>
      </c>
      <c r="E564" t="s">
        <v>327</v>
      </c>
      <c r="F564" t="s">
        <v>1790</v>
      </c>
      <c r="G564">
        <v>6</v>
      </c>
      <c r="H564">
        <v>563</v>
      </c>
      <c r="I564" t="s">
        <v>1789</v>
      </c>
      <c r="J564">
        <v>6555</v>
      </c>
      <c r="K564" s="8">
        <f>SUMIF(SoundCast_Data!$A$2:$A$1001,RouteID_Conversion!$H$2:$H$999,SoundCast_Data!$C$2:$C$1001)</f>
        <v>82.653951644897404</v>
      </c>
      <c r="N564">
        <v>563</v>
      </c>
      <c r="O564" t="s">
        <v>356</v>
      </c>
      <c r="P564">
        <v>2055</v>
      </c>
      <c r="Q564" s="8">
        <f>SUMIF(SoundCast_Data!$Q$2:$Q$747,RouteID_Conversion!N564,SoundCast_Data!$P$2:$P$747)</f>
        <v>72.655219078063794</v>
      </c>
    </row>
    <row r="565" spans="1:17" x14ac:dyDescent="0.25">
      <c r="A565">
        <v>973</v>
      </c>
      <c r="B565">
        <v>110564</v>
      </c>
      <c r="C565">
        <v>1</v>
      </c>
      <c r="D565" t="s">
        <v>1802</v>
      </c>
      <c r="E565" t="s">
        <v>327</v>
      </c>
      <c r="F565" t="s">
        <v>1802</v>
      </c>
      <c r="G565">
        <v>6</v>
      </c>
      <c r="H565">
        <v>564</v>
      </c>
      <c r="I565" t="s">
        <v>1803</v>
      </c>
      <c r="J565">
        <v>6556</v>
      </c>
      <c r="K565" s="8">
        <f>SUMIF(SoundCast_Data!$A$2:$A$1001,RouteID_Conversion!$H$2:$H$999,SoundCast_Data!$C$2:$C$1001)</f>
        <v>52.531115531921202</v>
      </c>
      <c r="N565">
        <v>564</v>
      </c>
      <c r="O565" t="s">
        <v>360</v>
      </c>
      <c r="P565">
        <v>2054</v>
      </c>
      <c r="Q565" s="8">
        <f>SUMIF(SoundCast_Data!$Q$2:$Q$747,RouteID_Conversion!N565,SoundCast_Data!$P$2:$P$747)</f>
        <v>126.09124946594218</v>
      </c>
    </row>
    <row r="566" spans="1:17" x14ac:dyDescent="0.25">
      <c r="A566">
        <v>974</v>
      </c>
      <c r="B566">
        <v>110565</v>
      </c>
      <c r="C566">
        <v>1</v>
      </c>
      <c r="D566" t="s">
        <v>1804</v>
      </c>
      <c r="E566" t="s">
        <v>327</v>
      </c>
      <c r="F566" t="s">
        <v>1804</v>
      </c>
      <c r="G566">
        <v>6</v>
      </c>
      <c r="H566">
        <v>565</v>
      </c>
      <c r="I566" t="s">
        <v>1803</v>
      </c>
      <c r="J566">
        <v>6556</v>
      </c>
      <c r="K566" s="8">
        <f>SUMIF(SoundCast_Data!$A$2:$A$1001,RouteID_Conversion!$H$2:$H$999,SoundCast_Data!$C$2:$C$1001)</f>
        <v>211.45688629150382</v>
      </c>
      <c r="N566">
        <v>565</v>
      </c>
      <c r="O566" t="s">
        <v>360</v>
      </c>
      <c r="P566">
        <v>2054</v>
      </c>
      <c r="Q566" s="8">
        <f>SUMIF(SoundCast_Data!$Q$2:$Q$747,RouteID_Conversion!N566,SoundCast_Data!$P$2:$P$747)</f>
        <v>110.01657199859611</v>
      </c>
    </row>
    <row r="567" spans="1:17" x14ac:dyDescent="0.25">
      <c r="A567">
        <v>977</v>
      </c>
      <c r="B567">
        <v>110566</v>
      </c>
      <c r="C567">
        <v>1</v>
      </c>
      <c r="D567" t="s">
        <v>1808</v>
      </c>
      <c r="E567" t="s">
        <v>327</v>
      </c>
      <c r="F567" t="s">
        <v>1808</v>
      </c>
      <c r="G567">
        <v>6</v>
      </c>
      <c r="H567">
        <v>566</v>
      </c>
      <c r="I567" t="s">
        <v>1792</v>
      </c>
      <c r="J567">
        <v>6560</v>
      </c>
      <c r="K567" s="8">
        <f>SUMIF(SoundCast_Data!$A$2:$A$1001,RouteID_Conversion!$H$2:$H$999,SoundCast_Data!$C$2:$C$1001)</f>
        <v>447.19641113281102</v>
      </c>
      <c r="N567">
        <v>566</v>
      </c>
      <c r="O567" t="s">
        <v>472</v>
      </c>
      <c r="P567">
        <v>2053</v>
      </c>
      <c r="Q567" s="8">
        <f>SUMIF(SoundCast_Data!$Q$2:$Q$747,RouteID_Conversion!N567,SoundCast_Data!$P$2:$P$747)</f>
        <v>135.59952163696269</v>
      </c>
    </row>
    <row r="568" spans="1:17" x14ac:dyDescent="0.25">
      <c r="A568">
        <v>978</v>
      </c>
      <c r="B568">
        <v>110567</v>
      </c>
      <c r="C568">
        <v>1</v>
      </c>
      <c r="D568" t="s">
        <v>1809</v>
      </c>
      <c r="E568" t="s">
        <v>327</v>
      </c>
      <c r="F568" t="s">
        <v>1809</v>
      </c>
      <c r="G568">
        <v>6</v>
      </c>
      <c r="H568">
        <v>567</v>
      </c>
      <c r="I568" t="s">
        <v>1792</v>
      </c>
      <c r="J568">
        <v>6560</v>
      </c>
      <c r="K568" s="8">
        <f>SUMIF(SoundCast_Data!$A$2:$A$1001,RouteID_Conversion!$H$2:$H$999,SoundCast_Data!$C$2:$C$1001)</f>
        <v>223.59820556640608</v>
      </c>
      <c r="N568">
        <v>567</v>
      </c>
      <c r="O568" t="s">
        <v>472</v>
      </c>
      <c r="P568">
        <v>2053</v>
      </c>
      <c r="Q568" s="8">
        <f>SUMIF(SoundCast_Data!$Q$2:$Q$747,RouteID_Conversion!N568,SoundCast_Data!$P$2:$P$747)</f>
        <v>96.329834938049203</v>
      </c>
    </row>
    <row r="569" spans="1:17" x14ac:dyDescent="0.25">
      <c r="A569">
        <v>966</v>
      </c>
      <c r="B569">
        <v>110568</v>
      </c>
      <c r="C569">
        <v>1</v>
      </c>
      <c r="D569" t="s">
        <v>1791</v>
      </c>
      <c r="E569" t="s">
        <v>327</v>
      </c>
      <c r="F569" t="s">
        <v>1791</v>
      </c>
      <c r="G569">
        <v>6</v>
      </c>
      <c r="H569">
        <v>568</v>
      </c>
      <c r="I569" t="s">
        <v>1792</v>
      </c>
      <c r="J569">
        <v>6560</v>
      </c>
      <c r="K569" s="8">
        <f>SUMIF(SoundCast_Data!$A$2:$A$1001,RouteID_Conversion!$H$2:$H$999,SoundCast_Data!$C$2:$C$1001)</f>
        <v>80.611417770385486</v>
      </c>
      <c r="N569">
        <v>568</v>
      </c>
      <c r="O569" t="s">
        <v>472</v>
      </c>
      <c r="P569">
        <v>2053</v>
      </c>
      <c r="Q569" s="8">
        <f>SUMIF(SoundCast_Data!$Q$2:$Q$747,RouteID_Conversion!N569,SoundCast_Data!$P$2:$P$747)</f>
        <v>125.88474273681629</v>
      </c>
    </row>
    <row r="570" spans="1:17" x14ac:dyDescent="0.25">
      <c r="A570">
        <v>967</v>
      </c>
      <c r="B570">
        <v>110569</v>
      </c>
      <c r="C570">
        <v>1</v>
      </c>
      <c r="D570" t="s">
        <v>1793</v>
      </c>
      <c r="E570" t="s">
        <v>327</v>
      </c>
      <c r="F570" t="s">
        <v>1793</v>
      </c>
      <c r="G570">
        <v>6</v>
      </c>
      <c r="H570">
        <v>569</v>
      </c>
      <c r="I570" t="s">
        <v>1792</v>
      </c>
      <c r="J570">
        <v>6560</v>
      </c>
      <c r="K570" s="8">
        <f>SUMIF(SoundCast_Data!$A$2:$A$1001,RouteID_Conversion!$H$2:$H$999,SoundCast_Data!$C$2:$C$1001)</f>
        <v>26.89584255218497</v>
      </c>
      <c r="N570">
        <v>569</v>
      </c>
      <c r="O570" t="s">
        <v>472</v>
      </c>
      <c r="P570">
        <v>2053</v>
      </c>
      <c r="Q570" s="8">
        <f>SUMIF(SoundCast_Data!$Q$2:$Q$747,RouteID_Conversion!N570,SoundCast_Data!$P$2:$P$747)</f>
        <v>85.843843460082908</v>
      </c>
    </row>
    <row r="571" spans="1:17" x14ac:dyDescent="0.25">
      <c r="A571">
        <v>968</v>
      </c>
      <c r="B571">
        <v>110570</v>
      </c>
      <c r="C571">
        <v>1</v>
      </c>
      <c r="D571" t="s">
        <v>1794</v>
      </c>
      <c r="E571" t="s">
        <v>327</v>
      </c>
      <c r="F571" t="s">
        <v>1794</v>
      </c>
      <c r="G571">
        <v>6</v>
      </c>
      <c r="H571">
        <v>570</v>
      </c>
      <c r="I571" t="s">
        <v>1792</v>
      </c>
      <c r="J571">
        <v>6560</v>
      </c>
      <c r="K571" s="8">
        <f>SUMIF(SoundCast_Data!$A$2:$A$1001,RouteID_Conversion!$H$2:$H$999,SoundCast_Data!$C$2:$C$1001)</f>
        <v>41.172287940978904</v>
      </c>
      <c r="N571">
        <v>570</v>
      </c>
      <c r="O571" t="s">
        <v>864</v>
      </c>
      <c r="P571">
        <v>2052</v>
      </c>
      <c r="Q571" s="8">
        <f>SUMIF(SoundCast_Data!$Q$2:$Q$747,RouteID_Conversion!N571,SoundCast_Data!$P$2:$P$747)</f>
        <v>93.519611358642408</v>
      </c>
    </row>
    <row r="572" spans="1:17" x14ac:dyDescent="0.25">
      <c r="A572">
        <v>979</v>
      </c>
      <c r="B572">
        <v>110571</v>
      </c>
      <c r="C572">
        <v>1</v>
      </c>
      <c r="D572" t="s">
        <v>1810</v>
      </c>
      <c r="E572" t="s">
        <v>327</v>
      </c>
      <c r="F572" t="s">
        <v>1810</v>
      </c>
      <c r="G572">
        <v>6</v>
      </c>
      <c r="H572">
        <v>571</v>
      </c>
      <c r="I572" t="s">
        <v>1806</v>
      </c>
      <c r="J572">
        <v>6566</v>
      </c>
      <c r="K572" s="8">
        <f>SUMIF(SoundCast_Data!$A$2:$A$1001,RouteID_Conversion!$H$2:$H$999,SoundCast_Data!$C$2:$C$1001)</f>
        <v>177.96833038330061</v>
      </c>
      <c r="N572">
        <v>571</v>
      </c>
      <c r="O572" t="s">
        <v>864</v>
      </c>
      <c r="P572">
        <v>2052</v>
      </c>
      <c r="Q572" s="8">
        <f>SUMIF(SoundCast_Data!$Q$2:$Q$747,RouteID_Conversion!N572,SoundCast_Data!$P$2:$P$747)</f>
        <v>108.28298377990711</v>
      </c>
    </row>
    <row r="573" spans="1:17" x14ac:dyDescent="0.25">
      <c r="A573">
        <v>980</v>
      </c>
      <c r="B573">
        <v>110572</v>
      </c>
      <c r="C573">
        <v>1</v>
      </c>
      <c r="D573" t="s">
        <v>1811</v>
      </c>
      <c r="E573" t="s">
        <v>327</v>
      </c>
      <c r="F573" t="s">
        <v>1811</v>
      </c>
      <c r="G573">
        <v>6</v>
      </c>
      <c r="H573">
        <v>572</v>
      </c>
      <c r="I573" t="s">
        <v>1806</v>
      </c>
      <c r="J573">
        <v>6566</v>
      </c>
      <c r="K573" s="8">
        <f>SUMIF(SoundCast_Data!$A$2:$A$1001,RouteID_Conversion!$H$2:$H$999,SoundCast_Data!$C$2:$C$1001)</f>
        <v>254.65065383911102</v>
      </c>
      <c r="N573">
        <v>572</v>
      </c>
      <c r="O573" t="s">
        <v>772</v>
      </c>
      <c r="P573">
        <v>2501</v>
      </c>
      <c r="Q573" s="8">
        <f>SUMIF(SoundCast_Data!$Q$2:$Q$747,RouteID_Conversion!N573,SoundCast_Data!$P$2:$P$747)</f>
        <v>104.84357643127431</v>
      </c>
    </row>
    <row r="574" spans="1:17" x14ac:dyDescent="0.25">
      <c r="A574">
        <v>981</v>
      </c>
      <c r="B574">
        <v>110573</v>
      </c>
      <c r="C574">
        <v>1</v>
      </c>
      <c r="D574" t="s">
        <v>1812</v>
      </c>
      <c r="E574" t="s">
        <v>327</v>
      </c>
      <c r="F574" t="s">
        <v>1812</v>
      </c>
      <c r="G574">
        <v>6</v>
      </c>
      <c r="H574">
        <v>573</v>
      </c>
      <c r="I574" t="s">
        <v>1806</v>
      </c>
      <c r="J574">
        <v>6566</v>
      </c>
      <c r="K574" s="8">
        <f>SUMIF(SoundCast_Data!$A$2:$A$1001,RouteID_Conversion!$H$2:$H$999,SoundCast_Data!$C$2:$C$1001)</f>
        <v>421.66891479492</v>
      </c>
      <c r="N574">
        <v>573</v>
      </c>
      <c r="O574" t="s">
        <v>772</v>
      </c>
      <c r="P574">
        <v>2501</v>
      </c>
      <c r="Q574" s="8">
        <f>SUMIF(SoundCast_Data!$Q$2:$Q$747,RouteID_Conversion!N574,SoundCast_Data!$P$2:$P$747)</f>
        <v>37.739494800567542</v>
      </c>
    </row>
    <row r="575" spans="1:17" x14ac:dyDescent="0.25">
      <c r="A575">
        <v>982</v>
      </c>
      <c r="B575">
        <v>110574</v>
      </c>
      <c r="C575">
        <v>1</v>
      </c>
      <c r="D575" t="s">
        <v>1813</v>
      </c>
      <c r="E575" t="s">
        <v>327</v>
      </c>
      <c r="F575" t="s">
        <v>1813</v>
      </c>
      <c r="G575">
        <v>6</v>
      </c>
      <c r="H575">
        <v>574</v>
      </c>
      <c r="I575" t="s">
        <v>1806</v>
      </c>
      <c r="J575">
        <v>6566</v>
      </c>
      <c r="K575" s="8">
        <f>SUMIF(SoundCast_Data!$A$2:$A$1001,RouteID_Conversion!$H$2:$H$999,SoundCast_Data!$C$2:$C$1001)</f>
        <v>257.55998992919888</v>
      </c>
      <c r="N575">
        <v>574</v>
      </c>
      <c r="O575" t="s">
        <v>772</v>
      </c>
      <c r="P575">
        <v>2501</v>
      </c>
      <c r="Q575" s="8">
        <f>SUMIF(SoundCast_Data!$Q$2:$Q$747,RouteID_Conversion!N575,SoundCast_Data!$P$2:$P$747)</f>
        <v>130.93315505981428</v>
      </c>
    </row>
    <row r="576" spans="1:17" x14ac:dyDescent="0.25">
      <c r="A576">
        <v>983</v>
      </c>
      <c r="B576">
        <v>110575</v>
      </c>
      <c r="C576">
        <v>1</v>
      </c>
      <c r="D576" t="s">
        <v>1814</v>
      </c>
      <c r="E576" t="s">
        <v>327</v>
      </c>
      <c r="F576" t="s">
        <v>1814</v>
      </c>
      <c r="G576">
        <v>6</v>
      </c>
      <c r="H576">
        <v>575</v>
      </c>
      <c r="I576" t="s">
        <v>1806</v>
      </c>
      <c r="J576">
        <v>6566</v>
      </c>
      <c r="K576" s="8">
        <f>SUMIF(SoundCast_Data!$A$2:$A$1001,RouteID_Conversion!$H$2:$H$999,SoundCast_Data!$C$2:$C$1001)</f>
        <v>85.853332519531108</v>
      </c>
      <c r="N576">
        <v>575</v>
      </c>
      <c r="O576" t="s">
        <v>772</v>
      </c>
      <c r="P576">
        <v>2501</v>
      </c>
      <c r="Q576" s="8">
        <f>SUMIF(SoundCast_Data!$Q$2:$Q$747,RouteID_Conversion!N576,SoundCast_Data!$P$2:$P$747)</f>
        <v>41.410045623779197</v>
      </c>
    </row>
    <row r="577" spans="1:17" x14ac:dyDescent="0.25">
      <c r="A577">
        <v>975</v>
      </c>
      <c r="B577">
        <v>110576</v>
      </c>
      <c r="C577">
        <v>1</v>
      </c>
      <c r="D577" t="s">
        <v>1805</v>
      </c>
      <c r="E577" t="s">
        <v>327</v>
      </c>
      <c r="F577" t="s">
        <v>1805</v>
      </c>
      <c r="G577">
        <v>6</v>
      </c>
      <c r="H577">
        <v>576</v>
      </c>
      <c r="I577" t="s">
        <v>1806</v>
      </c>
      <c r="J577">
        <v>6566</v>
      </c>
      <c r="K577" s="8">
        <f>SUMIF(SoundCast_Data!$A$2:$A$1001,RouteID_Conversion!$H$2:$H$999,SoundCast_Data!$C$2:$C$1001)</f>
        <v>173.31853866577129</v>
      </c>
      <c r="N577">
        <v>576</v>
      </c>
      <c r="O577" t="s">
        <v>530</v>
      </c>
      <c r="P577">
        <v>2500</v>
      </c>
      <c r="Q577" s="8">
        <f>SUMIF(SoundCast_Data!$Q$2:$Q$747,RouteID_Conversion!N577,SoundCast_Data!$P$2:$P$747)</f>
        <v>312.57766723632761</v>
      </c>
    </row>
    <row r="578" spans="1:17" x14ac:dyDescent="0.25">
      <c r="A578">
        <v>576</v>
      </c>
      <c r="B578">
        <v>110577</v>
      </c>
      <c r="C578">
        <v>1</v>
      </c>
      <c r="D578" t="s">
        <v>1208</v>
      </c>
      <c r="E578" t="s">
        <v>327</v>
      </c>
      <c r="F578" t="s">
        <v>1208</v>
      </c>
      <c r="G578">
        <v>6</v>
      </c>
      <c r="H578">
        <v>577</v>
      </c>
      <c r="I578" t="s">
        <v>1209</v>
      </c>
      <c r="J578">
        <v>6577</v>
      </c>
      <c r="K578" s="8">
        <f>SUMIF(SoundCast_Data!$A$2:$A$1001,RouteID_Conversion!$H$2:$H$999,SoundCast_Data!$C$2:$C$1001)</f>
        <v>71.216073036193706</v>
      </c>
      <c r="N578">
        <v>577</v>
      </c>
      <c r="O578" t="s">
        <v>530</v>
      </c>
      <c r="P578">
        <v>2500</v>
      </c>
      <c r="Q578" s="8">
        <f>SUMIF(SoundCast_Data!$Q$2:$Q$747,RouteID_Conversion!N578,SoundCast_Data!$P$2:$P$747)</f>
        <v>388.41131973266522</v>
      </c>
    </row>
    <row r="579" spans="1:17" x14ac:dyDescent="0.25">
      <c r="A579">
        <v>651</v>
      </c>
      <c r="B579">
        <v>110578</v>
      </c>
      <c r="C579">
        <v>1</v>
      </c>
      <c r="D579" t="s">
        <v>1082</v>
      </c>
      <c r="E579" t="s">
        <v>327</v>
      </c>
      <c r="F579" t="s">
        <v>1082</v>
      </c>
      <c r="G579">
        <v>6</v>
      </c>
      <c r="H579">
        <v>578</v>
      </c>
      <c r="I579" t="s">
        <v>427</v>
      </c>
      <c r="J579">
        <v>6599</v>
      </c>
      <c r="K579" s="8">
        <f>SUMIF(SoundCast_Data!$A$2:$A$1001,RouteID_Conversion!$H$2:$H$999,SoundCast_Data!$C$2:$C$1001)</f>
        <v>0.3072786889970297</v>
      </c>
      <c r="N579">
        <v>578</v>
      </c>
      <c r="O579" t="s">
        <v>366</v>
      </c>
      <c r="P579">
        <v>2048</v>
      </c>
      <c r="Q579" s="8">
        <f>SUMIF(SoundCast_Data!$Q$2:$Q$747,RouteID_Conversion!N579,SoundCast_Data!$P$2:$P$747)</f>
        <v>168.0258636474604</v>
      </c>
    </row>
    <row r="580" spans="1:17" x14ac:dyDescent="0.25">
      <c r="A580">
        <v>652</v>
      </c>
      <c r="B580">
        <v>110579</v>
      </c>
      <c r="C580">
        <v>1</v>
      </c>
      <c r="D580" t="s">
        <v>1084</v>
      </c>
      <c r="E580" t="s">
        <v>327</v>
      </c>
      <c r="F580" t="s">
        <v>1084</v>
      </c>
      <c r="G580">
        <v>6</v>
      </c>
      <c r="H580">
        <v>579</v>
      </c>
      <c r="I580" t="s">
        <v>427</v>
      </c>
      <c r="J580">
        <v>6599</v>
      </c>
      <c r="K580" s="8">
        <f>SUMIF(SoundCast_Data!$A$2:$A$1001,RouteID_Conversion!$H$2:$H$999,SoundCast_Data!$C$2:$C$1001)</f>
        <v>460.39713287353402</v>
      </c>
      <c r="N580">
        <v>579</v>
      </c>
      <c r="O580" t="s">
        <v>366</v>
      </c>
      <c r="P580">
        <v>2048</v>
      </c>
      <c r="Q580" s="8">
        <f>SUMIF(SoundCast_Data!$Q$2:$Q$747,RouteID_Conversion!N580,SoundCast_Data!$P$2:$P$747)</f>
        <v>150.22280883789</v>
      </c>
    </row>
    <row r="581" spans="1:17" x14ac:dyDescent="0.25">
      <c r="A581">
        <v>70</v>
      </c>
      <c r="B581">
        <v>110580</v>
      </c>
      <c r="C581">
        <v>1</v>
      </c>
      <c r="D581" t="s">
        <v>426</v>
      </c>
      <c r="E581" t="s">
        <v>327</v>
      </c>
      <c r="F581" t="s">
        <v>426</v>
      </c>
      <c r="G581">
        <v>6</v>
      </c>
      <c r="H581">
        <v>580</v>
      </c>
      <c r="I581" t="s">
        <v>427</v>
      </c>
      <c r="J581">
        <v>6599</v>
      </c>
      <c r="K581" s="8">
        <f>SUMIF(SoundCast_Data!$A$2:$A$1001,RouteID_Conversion!$H$2:$H$999,SoundCast_Data!$C$2:$C$1001)</f>
        <v>5.8217518329620299</v>
      </c>
      <c r="N581">
        <v>580</v>
      </c>
      <c r="O581" t="s">
        <v>369</v>
      </c>
      <c r="P581">
        <v>2045</v>
      </c>
      <c r="Q581" s="8">
        <f>SUMIF(SoundCast_Data!$Q$2:$Q$747,RouteID_Conversion!N581,SoundCast_Data!$P$2:$P$747)</f>
        <v>11.533843576908097</v>
      </c>
    </row>
    <row r="582" spans="1:17" x14ac:dyDescent="0.25">
      <c r="A582">
        <v>653</v>
      </c>
      <c r="B582">
        <v>110581</v>
      </c>
      <c r="C582">
        <v>1</v>
      </c>
      <c r="D582" t="s">
        <v>1310</v>
      </c>
      <c r="E582" t="s">
        <v>327</v>
      </c>
      <c r="F582" t="s">
        <v>1310</v>
      </c>
      <c r="G582">
        <v>6</v>
      </c>
      <c r="H582">
        <v>581</v>
      </c>
      <c r="I582" t="s">
        <v>427</v>
      </c>
      <c r="J582">
        <v>6599</v>
      </c>
      <c r="K582" s="8">
        <f>SUMIF(SoundCast_Data!$A$2:$A$1001,RouteID_Conversion!$H$2:$H$999,SoundCast_Data!$C$2:$C$1001)</f>
        <v>460.40774536132699</v>
      </c>
      <c r="N582">
        <v>581</v>
      </c>
      <c r="O582" t="s">
        <v>369</v>
      </c>
      <c r="P582">
        <v>2045</v>
      </c>
      <c r="Q582" s="8">
        <f>SUMIF(SoundCast_Data!$Q$2:$Q$747,RouteID_Conversion!N582,SoundCast_Data!$P$2:$P$747)</f>
        <v>20.0999224185943</v>
      </c>
    </row>
    <row r="583" spans="1:17" x14ac:dyDescent="0.25">
      <c r="A583">
        <v>478</v>
      </c>
      <c r="B583">
        <v>110582</v>
      </c>
      <c r="C583">
        <v>1</v>
      </c>
      <c r="D583" t="s">
        <v>1057</v>
      </c>
      <c r="E583" t="s">
        <v>327</v>
      </c>
      <c r="F583" t="s">
        <v>1057</v>
      </c>
      <c r="G583">
        <v>6</v>
      </c>
      <c r="H583">
        <v>582</v>
      </c>
      <c r="I583" t="s">
        <v>427</v>
      </c>
      <c r="J583">
        <v>6599</v>
      </c>
      <c r="K583" s="8">
        <f>SUMIF(SoundCast_Data!$A$2:$A$1001,RouteID_Conversion!$H$2:$H$999,SoundCast_Data!$C$2:$C$1001)</f>
        <v>4.4730032682418699</v>
      </c>
      <c r="N583">
        <v>582</v>
      </c>
      <c r="O583" t="s">
        <v>780</v>
      </c>
      <c r="P583">
        <v>2444</v>
      </c>
      <c r="Q583" s="8">
        <f>SUMIF(SoundCast_Data!$Q$2:$Q$747,RouteID_Conversion!N583,SoundCast_Data!$P$2:$P$747)</f>
        <v>2.7105437517166058</v>
      </c>
    </row>
    <row r="584" spans="1:17" x14ac:dyDescent="0.25">
      <c r="A584">
        <v>644</v>
      </c>
      <c r="B584">
        <v>110583</v>
      </c>
      <c r="C584">
        <v>1</v>
      </c>
      <c r="D584" t="s">
        <v>1302</v>
      </c>
      <c r="E584" t="s">
        <v>327</v>
      </c>
      <c r="F584" t="s">
        <v>1302</v>
      </c>
      <c r="G584">
        <v>1</v>
      </c>
      <c r="H584">
        <v>583</v>
      </c>
      <c r="I584" t="s">
        <v>1303</v>
      </c>
      <c r="J584">
        <v>1600</v>
      </c>
      <c r="K584" s="8">
        <f>SUMIF(SoundCast_Data!$A$2:$A$1001,RouteID_Conversion!$H$2:$H$999,SoundCast_Data!$C$2:$C$1001)</f>
        <v>23.58628845214842</v>
      </c>
      <c r="N584">
        <v>583</v>
      </c>
      <c r="O584" t="s">
        <v>780</v>
      </c>
      <c r="P584">
        <v>2444</v>
      </c>
      <c r="Q584" s="8">
        <f>SUMIF(SoundCast_Data!$Q$2:$Q$747,RouteID_Conversion!N584,SoundCast_Data!$P$2:$P$747)</f>
        <v>2.0500000007450581</v>
      </c>
    </row>
    <row r="585" spans="1:17" x14ac:dyDescent="0.25">
      <c r="A585">
        <v>936</v>
      </c>
      <c r="B585">
        <v>110584</v>
      </c>
      <c r="C585">
        <v>1</v>
      </c>
      <c r="D585" t="s">
        <v>1751</v>
      </c>
      <c r="E585" t="s">
        <v>327</v>
      </c>
      <c r="F585" t="s">
        <v>1751</v>
      </c>
      <c r="G585">
        <v>1</v>
      </c>
      <c r="H585">
        <v>584</v>
      </c>
      <c r="I585" t="s">
        <v>1752</v>
      </c>
      <c r="J585">
        <v>1661</v>
      </c>
      <c r="K585" s="8">
        <f>SUMIF(SoundCast_Data!$A$2:$A$1001,RouteID_Conversion!$H$2:$H$999,SoundCast_Data!$C$2:$C$1001)</f>
        <v>6.6354705095290907</v>
      </c>
      <c r="N585">
        <v>584</v>
      </c>
      <c r="O585" t="s">
        <v>476</v>
      </c>
      <c r="P585">
        <v>2042</v>
      </c>
      <c r="Q585" s="8">
        <f>SUMIF(SoundCast_Data!$Q$2:$Q$747,RouteID_Conversion!N585,SoundCast_Data!$P$2:$P$747)</f>
        <v>117.9975605010985</v>
      </c>
    </row>
    <row r="586" spans="1:17" x14ac:dyDescent="0.25">
      <c r="A586">
        <v>969</v>
      </c>
      <c r="B586">
        <v>110585</v>
      </c>
      <c r="C586">
        <v>1</v>
      </c>
      <c r="D586" t="s">
        <v>1795</v>
      </c>
      <c r="E586" t="s">
        <v>327</v>
      </c>
      <c r="F586" t="s">
        <v>1795</v>
      </c>
      <c r="G586">
        <v>1</v>
      </c>
      <c r="H586">
        <v>585</v>
      </c>
      <c r="I586" t="s">
        <v>1796</v>
      </c>
      <c r="J586">
        <v>1885</v>
      </c>
      <c r="K586" s="8">
        <f>SUMIF(SoundCast_Data!$A$2:$A$1001,RouteID_Conversion!$H$2:$H$999,SoundCast_Data!$C$2:$C$1001)</f>
        <v>4.0631180405616618</v>
      </c>
      <c r="N586">
        <v>585</v>
      </c>
      <c r="O586" t="s">
        <v>476</v>
      </c>
      <c r="P586">
        <v>2042</v>
      </c>
      <c r="Q586" s="8">
        <f>SUMIF(SoundCast_Data!$Q$2:$Q$747,RouteID_Conversion!N586,SoundCast_Data!$P$2:$P$747)</f>
        <v>87.719233036041189</v>
      </c>
    </row>
    <row r="587" spans="1:17" x14ac:dyDescent="0.25">
      <c r="A587">
        <v>15</v>
      </c>
      <c r="B587">
        <v>110586</v>
      </c>
      <c r="C587">
        <v>1</v>
      </c>
      <c r="D587" t="s">
        <v>343</v>
      </c>
      <c r="E587" t="s">
        <v>327</v>
      </c>
      <c r="F587" t="s">
        <v>343</v>
      </c>
      <c r="G587">
        <v>1</v>
      </c>
      <c r="H587">
        <v>586</v>
      </c>
      <c r="I587" t="s">
        <v>344</v>
      </c>
      <c r="J587">
        <v>1886</v>
      </c>
      <c r="K587" s="8">
        <f>SUMIF(SoundCast_Data!$A$2:$A$1001,RouteID_Conversion!$H$2:$H$999,SoundCast_Data!$C$2:$C$1001)</f>
        <v>0</v>
      </c>
      <c r="N587">
        <v>586</v>
      </c>
      <c r="O587" t="s">
        <v>933</v>
      </c>
      <c r="P587">
        <v>2413</v>
      </c>
      <c r="Q587" s="8">
        <f>SUMIF(SoundCast_Data!$Q$2:$Q$747,RouteID_Conversion!N587,SoundCast_Data!$P$2:$P$747)</f>
        <v>19.119288682937519</v>
      </c>
    </row>
    <row r="588" spans="1:17" x14ac:dyDescent="0.25">
      <c r="A588">
        <v>1000</v>
      </c>
      <c r="B588">
        <v>110587</v>
      </c>
      <c r="C588">
        <v>1</v>
      </c>
      <c r="D588" t="s">
        <v>1837</v>
      </c>
      <c r="E588" t="s">
        <v>327</v>
      </c>
      <c r="F588" t="s">
        <v>1837</v>
      </c>
      <c r="G588">
        <v>1</v>
      </c>
      <c r="H588">
        <v>587</v>
      </c>
      <c r="I588" t="s">
        <v>344</v>
      </c>
      <c r="J588">
        <v>1886</v>
      </c>
      <c r="K588" s="8">
        <f>SUMIF(SoundCast_Data!$A$2:$A$1001,RouteID_Conversion!$H$2:$H$999,SoundCast_Data!$C$2:$C$1001)</f>
        <v>0</v>
      </c>
      <c r="N588">
        <v>587</v>
      </c>
      <c r="O588" t="s">
        <v>933</v>
      </c>
      <c r="P588">
        <v>2413</v>
      </c>
      <c r="Q588" s="8">
        <f>SUMIF(SoundCast_Data!$Q$2:$Q$747,RouteID_Conversion!N588,SoundCast_Data!$P$2:$P$747)</f>
        <v>16.722644329070988</v>
      </c>
    </row>
    <row r="589" spans="1:17" x14ac:dyDescent="0.25">
      <c r="A589">
        <v>277</v>
      </c>
      <c r="B589">
        <v>110588</v>
      </c>
      <c r="C589">
        <v>1</v>
      </c>
      <c r="D589" t="s">
        <v>750</v>
      </c>
      <c r="E589" t="s">
        <v>327</v>
      </c>
      <c r="F589" t="s">
        <v>750</v>
      </c>
      <c r="G589">
        <v>1</v>
      </c>
      <c r="H589">
        <v>588</v>
      </c>
      <c r="I589" t="s">
        <v>751</v>
      </c>
      <c r="J589">
        <v>1888</v>
      </c>
      <c r="K589" s="8">
        <f>SUMIF(SoundCast_Data!$A$2:$A$1001,RouteID_Conversion!$H$2:$H$999,SoundCast_Data!$C$2:$C$1001)</f>
        <v>14.607453823089593</v>
      </c>
      <c r="N589">
        <v>588</v>
      </c>
      <c r="O589" t="s">
        <v>373</v>
      </c>
      <c r="P589">
        <v>2410</v>
      </c>
      <c r="Q589" s="8">
        <f>SUMIF(SoundCast_Data!$Q$2:$Q$747,RouteID_Conversion!N589,SoundCast_Data!$P$2:$P$747)</f>
        <v>123.58022308349601</v>
      </c>
    </row>
    <row r="590" spans="1:17" x14ac:dyDescent="0.25">
      <c r="A590">
        <v>985</v>
      </c>
      <c r="B590">
        <v>110589</v>
      </c>
      <c r="C590">
        <v>1</v>
      </c>
      <c r="D590" t="s">
        <v>1817</v>
      </c>
      <c r="E590" t="s">
        <v>327</v>
      </c>
      <c r="F590" t="s">
        <v>1817</v>
      </c>
      <c r="G590">
        <v>1</v>
      </c>
      <c r="H590">
        <v>589</v>
      </c>
      <c r="I590" t="s">
        <v>1818</v>
      </c>
      <c r="J590">
        <v>1889</v>
      </c>
      <c r="K590" s="8">
        <f>SUMIF(SoundCast_Data!$A$2:$A$1001,RouteID_Conversion!$H$2:$H$999,SoundCast_Data!$C$2:$C$1001)</f>
        <v>3.3221330046653619</v>
      </c>
      <c r="N590">
        <v>589</v>
      </c>
      <c r="O590" t="s">
        <v>373</v>
      </c>
      <c r="P590">
        <v>2410</v>
      </c>
      <c r="Q590" s="8">
        <f>SUMIF(SoundCast_Data!$Q$2:$Q$747,RouteID_Conversion!N590,SoundCast_Data!$P$2:$P$747)</f>
        <v>147.92045211791969</v>
      </c>
    </row>
    <row r="591" spans="1:17" x14ac:dyDescent="0.25">
      <c r="A591">
        <v>532</v>
      </c>
      <c r="B591">
        <v>110590</v>
      </c>
      <c r="C591">
        <v>1</v>
      </c>
      <c r="D591" t="s">
        <v>1144</v>
      </c>
      <c r="E591" t="s">
        <v>327</v>
      </c>
      <c r="F591" t="s">
        <v>1144</v>
      </c>
      <c r="G591">
        <v>1</v>
      </c>
      <c r="H591">
        <v>590</v>
      </c>
      <c r="I591" t="s">
        <v>1145</v>
      </c>
      <c r="J591">
        <v>1890</v>
      </c>
      <c r="K591" s="8">
        <f>SUMIF(SoundCast_Data!$A$2:$A$1001,RouteID_Conversion!$H$2:$H$999,SoundCast_Data!$C$2:$C$1001)</f>
        <v>15.101041555404649</v>
      </c>
      <c r="N591">
        <v>590</v>
      </c>
      <c r="O591" t="s">
        <v>783</v>
      </c>
      <c r="P591">
        <v>2041</v>
      </c>
      <c r="Q591" s="8">
        <f>SUMIF(SoundCast_Data!$Q$2:$Q$747,RouteID_Conversion!N591,SoundCast_Data!$P$2:$P$747)</f>
        <v>212.61278724670399</v>
      </c>
    </row>
    <row r="592" spans="1:17" x14ac:dyDescent="0.25">
      <c r="A592">
        <v>278</v>
      </c>
      <c r="B592">
        <v>110591</v>
      </c>
      <c r="C592">
        <v>1</v>
      </c>
      <c r="D592" t="s">
        <v>752</v>
      </c>
      <c r="E592" t="s">
        <v>327</v>
      </c>
      <c r="F592" t="s">
        <v>752</v>
      </c>
      <c r="G592">
        <v>1</v>
      </c>
      <c r="H592">
        <v>591</v>
      </c>
      <c r="I592" t="s">
        <v>753</v>
      </c>
      <c r="J592">
        <v>1891</v>
      </c>
      <c r="K592" s="8">
        <f>SUMIF(SoundCast_Data!$A$2:$A$1001,RouteID_Conversion!$H$2:$H$999,SoundCast_Data!$C$2:$C$1001)</f>
        <v>6.3999997377395506</v>
      </c>
      <c r="N592">
        <v>591</v>
      </c>
      <c r="O592" t="s">
        <v>783</v>
      </c>
      <c r="P592">
        <v>2041</v>
      </c>
      <c r="Q592" s="8">
        <f>SUMIF(SoundCast_Data!$Q$2:$Q$747,RouteID_Conversion!N592,SoundCast_Data!$P$2:$P$747)</f>
        <v>134.42506408691401</v>
      </c>
    </row>
    <row r="593" spans="1:17" x14ac:dyDescent="0.25">
      <c r="A593">
        <v>428</v>
      </c>
      <c r="B593">
        <v>110592</v>
      </c>
      <c r="C593">
        <v>1</v>
      </c>
      <c r="D593" t="s">
        <v>986</v>
      </c>
      <c r="E593" t="s">
        <v>327</v>
      </c>
      <c r="F593" t="s">
        <v>986</v>
      </c>
      <c r="G593">
        <v>1</v>
      </c>
      <c r="H593">
        <v>592</v>
      </c>
      <c r="I593" t="s">
        <v>987</v>
      </c>
      <c r="J593">
        <v>1892</v>
      </c>
      <c r="K593" s="8">
        <f>SUMIF(SoundCast_Data!$A$2:$A$1001,RouteID_Conversion!$H$2:$H$999,SoundCast_Data!$C$2:$C$1001)</f>
        <v>12.714976787567132</v>
      </c>
      <c r="N593">
        <v>592</v>
      </c>
      <c r="O593" t="s">
        <v>487</v>
      </c>
      <c r="P593">
        <v>2409</v>
      </c>
      <c r="Q593" s="8">
        <f>SUMIF(SoundCast_Data!$Q$2:$Q$747,RouteID_Conversion!N593,SoundCast_Data!$P$2:$P$747)</f>
        <v>88.669856071471997</v>
      </c>
    </row>
    <row r="594" spans="1:17" x14ac:dyDescent="0.25">
      <c r="A594">
        <v>279</v>
      </c>
      <c r="B594">
        <v>110593</v>
      </c>
      <c r="C594">
        <v>1</v>
      </c>
      <c r="D594" t="s">
        <v>754</v>
      </c>
      <c r="E594" t="s">
        <v>327</v>
      </c>
      <c r="F594" t="s">
        <v>754</v>
      </c>
      <c r="G594">
        <v>1</v>
      </c>
      <c r="H594">
        <v>593</v>
      </c>
      <c r="I594" t="s">
        <v>461</v>
      </c>
      <c r="J594">
        <v>1901</v>
      </c>
      <c r="K594" s="8">
        <f>SUMIF(SoundCast_Data!$A$2:$A$1001,RouteID_Conversion!$H$2:$H$999,SoundCast_Data!$C$2:$C$1001)</f>
        <v>58.649519920348901</v>
      </c>
      <c r="N594">
        <v>593</v>
      </c>
      <c r="O594" t="s">
        <v>487</v>
      </c>
      <c r="P594">
        <v>2409</v>
      </c>
      <c r="Q594" s="8">
        <f>SUMIF(SoundCast_Data!$Q$2:$Q$747,RouteID_Conversion!N594,SoundCast_Data!$P$2:$P$747)</f>
        <v>96.816922187805133</v>
      </c>
    </row>
    <row r="595" spans="1:17" x14ac:dyDescent="0.25">
      <c r="A595">
        <v>89</v>
      </c>
      <c r="B595">
        <v>110594</v>
      </c>
      <c r="C595">
        <v>1</v>
      </c>
      <c r="D595" t="s">
        <v>460</v>
      </c>
      <c r="E595" t="s">
        <v>327</v>
      </c>
      <c r="F595" t="s">
        <v>460</v>
      </c>
      <c r="G595">
        <v>1</v>
      </c>
      <c r="H595">
        <v>594</v>
      </c>
      <c r="I595" t="s">
        <v>461</v>
      </c>
      <c r="J595">
        <v>1901</v>
      </c>
      <c r="K595" s="8">
        <f>SUMIF(SoundCast_Data!$A$2:$A$1001,RouteID_Conversion!$H$2:$H$999,SoundCast_Data!$C$2:$C$1001)</f>
        <v>14.69177699089049</v>
      </c>
      <c r="N595">
        <v>594</v>
      </c>
      <c r="O595" t="s">
        <v>379</v>
      </c>
      <c r="P595">
        <v>2408</v>
      </c>
      <c r="Q595" s="8">
        <f>SUMIF(SoundCast_Data!$Q$2:$Q$747,RouteID_Conversion!N595,SoundCast_Data!$P$2:$P$747)</f>
        <v>24.300000667571979</v>
      </c>
    </row>
    <row r="596" spans="1:17" x14ac:dyDescent="0.25">
      <c r="A596">
        <v>124</v>
      </c>
      <c r="B596">
        <v>110595</v>
      </c>
      <c r="C596">
        <v>1</v>
      </c>
      <c r="D596" t="s">
        <v>525</v>
      </c>
      <c r="E596" t="s">
        <v>327</v>
      </c>
      <c r="F596" t="s">
        <v>525</v>
      </c>
      <c r="G596">
        <v>1</v>
      </c>
      <c r="H596">
        <v>595</v>
      </c>
      <c r="I596" t="s">
        <v>526</v>
      </c>
      <c r="J596">
        <v>1903</v>
      </c>
      <c r="K596" s="8">
        <f>SUMIF(SoundCast_Data!$A$2:$A$1001,RouteID_Conversion!$H$2:$H$999,SoundCast_Data!$C$2:$C$1001)</f>
        <v>80.708135604858299</v>
      </c>
      <c r="N596">
        <v>595</v>
      </c>
      <c r="O596" t="s">
        <v>379</v>
      </c>
      <c r="P596">
        <v>2408</v>
      </c>
      <c r="Q596" s="8">
        <f>SUMIF(SoundCast_Data!$Q$2:$Q$747,RouteID_Conversion!N596,SoundCast_Data!$P$2:$P$747)</f>
        <v>14.599999427795389</v>
      </c>
    </row>
    <row r="597" spans="1:17" x14ac:dyDescent="0.25">
      <c r="A597">
        <v>125</v>
      </c>
      <c r="B597">
        <v>110596</v>
      </c>
      <c r="C597">
        <v>1</v>
      </c>
      <c r="D597" t="s">
        <v>527</v>
      </c>
      <c r="E597" t="s">
        <v>327</v>
      </c>
      <c r="F597" t="s">
        <v>527</v>
      </c>
      <c r="G597">
        <v>1</v>
      </c>
      <c r="H597">
        <v>596</v>
      </c>
      <c r="I597" t="s">
        <v>526</v>
      </c>
      <c r="J597">
        <v>1903</v>
      </c>
      <c r="K597" s="8">
        <f>SUMIF(SoundCast_Data!$A$2:$A$1001,RouteID_Conversion!$H$2:$H$999,SoundCast_Data!$C$2:$C$1001)</f>
        <v>91.191873550415011</v>
      </c>
      <c r="N597">
        <v>596</v>
      </c>
      <c r="O597" t="s">
        <v>787</v>
      </c>
      <c r="P597">
        <v>2407</v>
      </c>
      <c r="Q597" s="8">
        <f>SUMIF(SoundCast_Data!$Q$2:$Q$747,RouteID_Conversion!N597,SoundCast_Data!$P$2:$P$747)</f>
        <v>1.5</v>
      </c>
    </row>
    <row r="598" spans="1:17" x14ac:dyDescent="0.25">
      <c r="A598">
        <v>280</v>
      </c>
      <c r="B598">
        <v>110597</v>
      </c>
      <c r="C598">
        <v>1</v>
      </c>
      <c r="D598" t="s">
        <v>755</v>
      </c>
      <c r="E598" t="s">
        <v>327</v>
      </c>
      <c r="F598" t="s">
        <v>755</v>
      </c>
      <c r="G598">
        <v>1</v>
      </c>
      <c r="H598">
        <v>597</v>
      </c>
      <c r="I598" t="s">
        <v>756</v>
      </c>
      <c r="J598">
        <v>1908</v>
      </c>
      <c r="K598" s="8">
        <f>SUMIF(SoundCast_Data!$A$2:$A$1001,RouteID_Conversion!$H$2:$H$999,SoundCast_Data!$C$2:$C$1001)</f>
        <v>5.9999999999999902</v>
      </c>
      <c r="N598">
        <v>597</v>
      </c>
      <c r="O598" t="s">
        <v>787</v>
      </c>
      <c r="P598">
        <v>2407</v>
      </c>
      <c r="Q598" s="8">
        <f>SUMIF(SoundCast_Data!$Q$2:$Q$747,RouteID_Conversion!N598,SoundCast_Data!$P$2:$P$747)</f>
        <v>4.1666665673255814</v>
      </c>
    </row>
    <row r="599" spans="1:17" x14ac:dyDescent="0.25">
      <c r="A599">
        <v>471</v>
      </c>
      <c r="B599">
        <v>110598</v>
      </c>
      <c r="C599">
        <v>1</v>
      </c>
      <c r="D599" t="s">
        <v>1050</v>
      </c>
      <c r="E599" t="s">
        <v>327</v>
      </c>
      <c r="F599" t="s">
        <v>1050</v>
      </c>
      <c r="G599">
        <v>1</v>
      </c>
      <c r="H599">
        <v>598</v>
      </c>
      <c r="I599" t="s">
        <v>756</v>
      </c>
      <c r="J599">
        <v>1908</v>
      </c>
      <c r="K599" s="8">
        <f>SUMIF(SoundCast_Data!$A$2:$A$1001,RouteID_Conversion!$H$2:$H$999,SoundCast_Data!$C$2:$C$1001)</f>
        <v>15.350007534027089</v>
      </c>
      <c r="N599">
        <v>598</v>
      </c>
      <c r="O599" t="s">
        <v>1468</v>
      </c>
      <c r="P599">
        <v>2406</v>
      </c>
      <c r="Q599" s="8">
        <f>SUMIF(SoundCast_Data!$Q$2:$Q$747,RouteID_Conversion!N599,SoundCast_Data!$P$2:$P$747)</f>
        <v>1.833333343267439</v>
      </c>
    </row>
    <row r="600" spans="1:17" x14ac:dyDescent="0.25">
      <c r="A600">
        <v>375</v>
      </c>
      <c r="B600">
        <v>110599</v>
      </c>
      <c r="C600">
        <v>1</v>
      </c>
      <c r="D600" t="s">
        <v>910</v>
      </c>
      <c r="E600" t="s">
        <v>327</v>
      </c>
      <c r="F600" t="s">
        <v>910</v>
      </c>
      <c r="G600">
        <v>1</v>
      </c>
      <c r="H600">
        <v>599</v>
      </c>
      <c r="I600" t="s">
        <v>911</v>
      </c>
      <c r="J600">
        <v>1909</v>
      </c>
      <c r="K600" s="8">
        <f>SUMIF(SoundCast_Data!$A$2:$A$1001,RouteID_Conversion!$H$2:$H$999,SoundCast_Data!$C$2:$C$1001)</f>
        <v>10.60271739959715</v>
      </c>
      <c r="N600">
        <v>599</v>
      </c>
      <c r="O600" t="s">
        <v>1468</v>
      </c>
      <c r="P600">
        <v>2406</v>
      </c>
      <c r="Q600" s="8">
        <f>SUMIF(SoundCast_Data!$Q$2:$Q$747,RouteID_Conversion!N600,SoundCast_Data!$P$2:$P$747)</f>
        <v>0</v>
      </c>
    </row>
    <row r="601" spans="1:17" x14ac:dyDescent="0.25">
      <c r="A601">
        <v>472</v>
      </c>
      <c r="B601">
        <v>110600</v>
      </c>
      <c r="C601">
        <v>1</v>
      </c>
      <c r="D601" t="s">
        <v>1051</v>
      </c>
      <c r="E601" t="s">
        <v>327</v>
      </c>
      <c r="F601" t="s">
        <v>1051</v>
      </c>
      <c r="G601">
        <v>1</v>
      </c>
      <c r="H601">
        <v>600</v>
      </c>
      <c r="I601" t="s">
        <v>911</v>
      </c>
      <c r="J601">
        <v>1909</v>
      </c>
      <c r="K601" s="8">
        <f>SUMIF(SoundCast_Data!$A$2:$A$1001,RouteID_Conversion!$H$2:$H$999,SoundCast_Data!$C$2:$C$1001)</f>
        <v>22.53686237335204</v>
      </c>
      <c r="N601">
        <v>600</v>
      </c>
      <c r="O601" t="s">
        <v>1390</v>
      </c>
      <c r="P601">
        <v>2402</v>
      </c>
      <c r="Q601" s="8">
        <f>SUMIF(SoundCast_Data!$Q$2:$Q$747,RouteID_Conversion!N601,SoundCast_Data!$P$2:$P$747)</f>
        <v>198.6137485504145</v>
      </c>
    </row>
    <row r="602" spans="1:17" x14ac:dyDescent="0.25">
      <c r="A602">
        <v>376</v>
      </c>
      <c r="B602">
        <v>110601</v>
      </c>
      <c r="C602">
        <v>1</v>
      </c>
      <c r="D602" t="s">
        <v>912</v>
      </c>
      <c r="E602" t="s">
        <v>327</v>
      </c>
      <c r="F602" t="s">
        <v>912</v>
      </c>
      <c r="G602">
        <v>1</v>
      </c>
      <c r="H602">
        <v>601</v>
      </c>
      <c r="I602" t="s">
        <v>758</v>
      </c>
      <c r="J602">
        <v>1913</v>
      </c>
      <c r="K602" s="8">
        <f>SUMIF(SoundCast_Data!$A$2:$A$1001,RouteID_Conversion!$H$2:$H$999,SoundCast_Data!$C$2:$C$1001)</f>
        <v>47.586681365966705</v>
      </c>
      <c r="N602">
        <v>601</v>
      </c>
      <c r="O602" t="s">
        <v>1390</v>
      </c>
      <c r="P602">
        <v>2402</v>
      </c>
      <c r="Q602" s="8">
        <f>SUMIF(SoundCast_Data!$Q$2:$Q$747,RouteID_Conversion!N602,SoundCast_Data!$P$2:$P$747)</f>
        <v>180.2612285614008</v>
      </c>
    </row>
    <row r="603" spans="1:17" x14ac:dyDescent="0.25">
      <c r="A603">
        <v>281</v>
      </c>
      <c r="B603">
        <v>110602</v>
      </c>
      <c r="C603">
        <v>1</v>
      </c>
      <c r="D603" t="s">
        <v>757</v>
      </c>
      <c r="E603" t="s">
        <v>327</v>
      </c>
      <c r="F603" t="s">
        <v>757</v>
      </c>
      <c r="G603">
        <v>1</v>
      </c>
      <c r="H603">
        <v>602</v>
      </c>
      <c r="I603" t="s">
        <v>758</v>
      </c>
      <c r="J603">
        <v>1913</v>
      </c>
      <c r="K603" s="8">
        <f>SUMIF(SoundCast_Data!$A$2:$A$1001,RouteID_Conversion!$H$2:$H$999,SoundCast_Data!$C$2:$C$1001)</f>
        <v>28.444904327392493</v>
      </c>
      <c r="N603">
        <v>602</v>
      </c>
      <c r="O603" t="s">
        <v>1390</v>
      </c>
      <c r="P603">
        <v>2402</v>
      </c>
      <c r="Q603" s="8">
        <f>SUMIF(SoundCast_Data!$Q$2:$Q$747,RouteID_Conversion!N603,SoundCast_Data!$P$2:$P$747)</f>
        <v>206.8810577392569</v>
      </c>
    </row>
    <row r="604" spans="1:17" x14ac:dyDescent="0.25">
      <c r="A604">
        <v>511</v>
      </c>
      <c r="B604">
        <v>110603</v>
      </c>
      <c r="C604">
        <v>1</v>
      </c>
      <c r="D604" t="s">
        <v>1116</v>
      </c>
      <c r="E604" t="s">
        <v>327</v>
      </c>
      <c r="F604" t="s">
        <v>1116</v>
      </c>
      <c r="G604">
        <v>1</v>
      </c>
      <c r="H604">
        <v>603</v>
      </c>
      <c r="I604" t="s">
        <v>1117</v>
      </c>
      <c r="J604">
        <v>1915</v>
      </c>
      <c r="K604" s="8">
        <f>SUMIF(SoundCast_Data!$A$2:$A$1001,RouteID_Conversion!$H$2:$H$999,SoundCast_Data!$C$2:$C$1001)</f>
        <v>35.787500381469656</v>
      </c>
      <c r="N604">
        <v>603</v>
      </c>
      <c r="O604" t="s">
        <v>1390</v>
      </c>
      <c r="P604">
        <v>2402</v>
      </c>
      <c r="Q604" s="8">
        <f>SUMIF(SoundCast_Data!$Q$2:$Q$747,RouteID_Conversion!N604,SoundCast_Data!$P$2:$P$747)</f>
        <v>181.56639671325652</v>
      </c>
    </row>
    <row r="605" spans="1:17" x14ac:dyDescent="0.25">
      <c r="A605">
        <v>512</v>
      </c>
      <c r="B605">
        <v>110604</v>
      </c>
      <c r="C605">
        <v>1</v>
      </c>
      <c r="D605" t="s">
        <v>1118</v>
      </c>
      <c r="E605" t="s">
        <v>327</v>
      </c>
      <c r="F605" t="s">
        <v>1118</v>
      </c>
      <c r="G605">
        <v>1</v>
      </c>
      <c r="H605">
        <v>604</v>
      </c>
      <c r="I605" t="s">
        <v>1117</v>
      </c>
      <c r="J605">
        <v>1915</v>
      </c>
      <c r="K605" s="8">
        <f>SUMIF(SoundCast_Data!$A$2:$A$1001,RouteID_Conversion!$H$2:$H$999,SoundCast_Data!$C$2:$C$1001)</f>
        <v>16.531200647354112</v>
      </c>
      <c r="N605">
        <v>604</v>
      </c>
      <c r="O605" t="s">
        <v>791</v>
      </c>
      <c r="P605">
        <v>2300</v>
      </c>
      <c r="Q605" s="8">
        <f>SUMIF(SoundCast_Data!$Q$2:$Q$747,RouteID_Conversion!N605,SoundCast_Data!$P$2:$P$747)</f>
        <v>163.96923065185541</v>
      </c>
    </row>
    <row r="606" spans="1:17" x14ac:dyDescent="0.25">
      <c r="A606">
        <v>513</v>
      </c>
      <c r="B606">
        <v>110605</v>
      </c>
      <c r="C606">
        <v>1</v>
      </c>
      <c r="D606" t="s">
        <v>1119</v>
      </c>
      <c r="E606" t="s">
        <v>327</v>
      </c>
      <c r="F606" t="s">
        <v>1119</v>
      </c>
      <c r="G606">
        <v>1</v>
      </c>
      <c r="H606">
        <v>605</v>
      </c>
      <c r="I606" t="s">
        <v>1117</v>
      </c>
      <c r="J606">
        <v>1915</v>
      </c>
      <c r="K606" s="8">
        <f>SUMIF(SoundCast_Data!$A$2:$A$1001,RouteID_Conversion!$H$2:$H$999,SoundCast_Data!$C$2:$C$1001)</f>
        <v>11.595833063125589</v>
      </c>
      <c r="N606">
        <v>605</v>
      </c>
      <c r="O606" t="s">
        <v>791</v>
      </c>
      <c r="P606">
        <v>2300</v>
      </c>
      <c r="Q606" s="8">
        <f>SUMIF(SoundCast_Data!$Q$2:$Q$747,RouteID_Conversion!N606,SoundCast_Data!$P$2:$P$747)</f>
        <v>220.73628234863239</v>
      </c>
    </row>
    <row r="607" spans="1:17" x14ac:dyDescent="0.25">
      <c r="A607">
        <v>377</v>
      </c>
      <c r="B607">
        <v>110606</v>
      </c>
      <c r="C607">
        <v>1</v>
      </c>
      <c r="D607" t="s">
        <v>913</v>
      </c>
      <c r="E607" t="s">
        <v>327</v>
      </c>
      <c r="F607" t="s">
        <v>913</v>
      </c>
      <c r="G607">
        <v>1</v>
      </c>
      <c r="H607">
        <v>606</v>
      </c>
      <c r="I607" t="s">
        <v>760</v>
      </c>
      <c r="J607">
        <v>1917</v>
      </c>
      <c r="K607" s="8">
        <f>SUMIF(SoundCast_Data!$A$2:$A$1001,RouteID_Conversion!$H$2:$H$999,SoundCast_Data!$C$2:$C$1001)</f>
        <v>16.88525629043577</v>
      </c>
      <c r="N607">
        <v>606</v>
      </c>
      <c r="O607" t="s">
        <v>791</v>
      </c>
      <c r="P607">
        <v>2300</v>
      </c>
      <c r="Q607" s="8">
        <f>SUMIF(SoundCast_Data!$Q$2:$Q$747,RouteID_Conversion!N607,SoundCast_Data!$P$2:$P$747)</f>
        <v>130.4923610687255</v>
      </c>
    </row>
    <row r="608" spans="1:17" x14ac:dyDescent="0.25">
      <c r="A608">
        <v>378</v>
      </c>
      <c r="B608">
        <v>110607</v>
      </c>
      <c r="C608">
        <v>1</v>
      </c>
      <c r="D608" t="s">
        <v>914</v>
      </c>
      <c r="E608" t="s">
        <v>327</v>
      </c>
      <c r="F608" t="s">
        <v>914</v>
      </c>
      <c r="G608">
        <v>1</v>
      </c>
      <c r="H608">
        <v>607</v>
      </c>
      <c r="I608" t="s">
        <v>760</v>
      </c>
      <c r="J608">
        <v>1917</v>
      </c>
      <c r="K608" s="8">
        <f>SUMIF(SoundCast_Data!$A$2:$A$1001,RouteID_Conversion!$H$2:$H$999,SoundCast_Data!$C$2:$C$1001)</f>
        <v>8.5241789817809988</v>
      </c>
      <c r="N608">
        <v>607</v>
      </c>
      <c r="O608" t="s">
        <v>796</v>
      </c>
      <c r="P608">
        <v>2003</v>
      </c>
      <c r="Q608" s="8">
        <f>SUMIF(SoundCast_Data!$Q$2:$Q$747,RouteID_Conversion!N608,SoundCast_Data!$P$2:$P$747)</f>
        <v>598.24899291992085</v>
      </c>
    </row>
    <row r="609" spans="1:17" x14ac:dyDescent="0.25">
      <c r="A609">
        <v>282</v>
      </c>
      <c r="B609">
        <v>110608</v>
      </c>
      <c r="C609">
        <v>1</v>
      </c>
      <c r="D609" t="s">
        <v>759</v>
      </c>
      <c r="E609" t="s">
        <v>327</v>
      </c>
      <c r="F609" t="s">
        <v>759</v>
      </c>
      <c r="G609">
        <v>1</v>
      </c>
      <c r="H609">
        <v>608</v>
      </c>
      <c r="I609" t="s">
        <v>760</v>
      </c>
      <c r="J609">
        <v>1917</v>
      </c>
      <c r="K609" s="8">
        <f>SUMIF(SoundCast_Data!$A$2:$A$1001,RouteID_Conversion!$H$2:$H$999,SoundCast_Data!$C$2:$C$1001)</f>
        <v>17.048357963561998</v>
      </c>
      <c r="N609">
        <v>608</v>
      </c>
      <c r="O609" t="s">
        <v>796</v>
      </c>
      <c r="P609">
        <v>2003</v>
      </c>
      <c r="Q609" s="8">
        <f>SUMIF(SoundCast_Data!$Q$2:$Q$747,RouteID_Conversion!N609,SoundCast_Data!$P$2:$P$747)</f>
        <v>525.5186614990231</v>
      </c>
    </row>
    <row r="610" spans="1:17" x14ac:dyDescent="0.25">
      <c r="A610">
        <v>283</v>
      </c>
      <c r="B610">
        <v>110609</v>
      </c>
      <c r="C610">
        <v>1</v>
      </c>
      <c r="D610" t="s">
        <v>761</v>
      </c>
      <c r="E610" t="s">
        <v>327</v>
      </c>
      <c r="F610" t="s">
        <v>761</v>
      </c>
      <c r="G610">
        <v>1</v>
      </c>
      <c r="H610">
        <v>609</v>
      </c>
      <c r="I610" t="s">
        <v>762</v>
      </c>
      <c r="J610">
        <v>1918</v>
      </c>
      <c r="K610" s="8">
        <f>SUMIF(SoundCast_Data!$A$2:$A$1001,RouteID_Conversion!$H$2:$H$999,SoundCast_Data!$C$2:$C$1001)</f>
        <v>1.221360370516775</v>
      </c>
      <c r="N610">
        <v>609</v>
      </c>
      <c r="O610" t="s">
        <v>432</v>
      </c>
      <c r="P610">
        <v>2028</v>
      </c>
      <c r="Q610" s="8">
        <f>SUMIF(SoundCast_Data!$Q$2:$Q$747,RouteID_Conversion!N610,SoundCast_Data!$P$2:$P$747)</f>
        <v>68.470485687255803</v>
      </c>
    </row>
    <row r="611" spans="1:17" x14ac:dyDescent="0.25">
      <c r="A611">
        <v>379</v>
      </c>
      <c r="B611">
        <v>110610</v>
      </c>
      <c r="C611">
        <v>1</v>
      </c>
      <c r="D611" t="s">
        <v>915</v>
      </c>
      <c r="E611" t="s">
        <v>327</v>
      </c>
      <c r="F611" t="s">
        <v>915</v>
      </c>
      <c r="G611">
        <v>1</v>
      </c>
      <c r="H611">
        <v>610</v>
      </c>
      <c r="I611" t="s">
        <v>762</v>
      </c>
      <c r="J611">
        <v>1918</v>
      </c>
      <c r="K611" s="8">
        <f>SUMIF(SoundCast_Data!$A$2:$A$1001,RouteID_Conversion!$H$2:$H$999,SoundCast_Data!$C$2:$C$1001)</f>
        <v>23.732983589172338</v>
      </c>
      <c r="N611">
        <v>610</v>
      </c>
      <c r="O611" t="s">
        <v>432</v>
      </c>
      <c r="P611">
        <v>2028</v>
      </c>
      <c r="Q611" s="8">
        <f>SUMIF(SoundCast_Data!$Q$2:$Q$747,RouteID_Conversion!N611,SoundCast_Data!$P$2:$P$747)</f>
        <v>19.578046798706012</v>
      </c>
    </row>
    <row r="612" spans="1:17" x14ac:dyDescent="0.25">
      <c r="A612">
        <v>499</v>
      </c>
      <c r="B612">
        <v>110611</v>
      </c>
      <c r="C612">
        <v>1</v>
      </c>
      <c r="D612" t="s">
        <v>1099</v>
      </c>
      <c r="E612" t="s">
        <v>327</v>
      </c>
      <c r="F612" t="s">
        <v>1099</v>
      </c>
      <c r="G612">
        <v>1</v>
      </c>
      <c r="H612">
        <v>611</v>
      </c>
      <c r="I612" t="s">
        <v>1098</v>
      </c>
      <c r="J612">
        <v>1919</v>
      </c>
      <c r="K612" s="8">
        <f>SUMIF(SoundCast_Data!$A$2:$A$1001,RouteID_Conversion!$H$2:$H$999,SoundCast_Data!$C$2:$C$1001)</f>
        <v>4.9526548385619904</v>
      </c>
      <c r="N612">
        <v>611</v>
      </c>
      <c r="O612" t="s">
        <v>991</v>
      </c>
      <c r="P612">
        <v>2026</v>
      </c>
      <c r="Q612" s="8">
        <f>SUMIF(SoundCast_Data!$Q$2:$Q$747,RouteID_Conversion!N612,SoundCast_Data!$P$2:$P$747)</f>
        <v>28.823591709136899</v>
      </c>
    </row>
    <row r="613" spans="1:17" x14ac:dyDescent="0.25">
      <c r="A613">
        <v>498</v>
      </c>
      <c r="B613">
        <v>110612</v>
      </c>
      <c r="C613">
        <v>1</v>
      </c>
      <c r="D613" t="s">
        <v>1097</v>
      </c>
      <c r="E613" t="s">
        <v>327</v>
      </c>
      <c r="F613" t="s">
        <v>1097</v>
      </c>
      <c r="G613">
        <v>1</v>
      </c>
      <c r="H613">
        <v>612</v>
      </c>
      <c r="I613" t="s">
        <v>1098</v>
      </c>
      <c r="J613">
        <v>1919</v>
      </c>
      <c r="K613" s="8">
        <f>SUMIF(SoundCast_Data!$A$2:$A$1001,RouteID_Conversion!$H$2:$H$999,SoundCast_Data!$C$2:$C$1001)</f>
        <v>22.916666269302297</v>
      </c>
      <c r="N613">
        <v>612</v>
      </c>
      <c r="O613" t="s">
        <v>383</v>
      </c>
      <c r="P613">
        <v>2220</v>
      </c>
      <c r="Q613" s="8">
        <f>SUMIF(SoundCast_Data!$Q$2:$Q$747,RouteID_Conversion!N613,SoundCast_Data!$P$2:$P$747)</f>
        <v>69.625153541564828</v>
      </c>
    </row>
    <row r="614" spans="1:17" x14ac:dyDescent="0.25">
      <c r="A614">
        <v>970</v>
      </c>
      <c r="B614">
        <v>110613</v>
      </c>
      <c r="C614">
        <v>1</v>
      </c>
      <c r="D614" t="s">
        <v>1797</v>
      </c>
      <c r="E614" t="s">
        <v>327</v>
      </c>
      <c r="F614" t="s">
        <v>1797</v>
      </c>
      <c r="G614">
        <v>1</v>
      </c>
      <c r="H614">
        <v>613</v>
      </c>
      <c r="I614" t="s">
        <v>1798</v>
      </c>
      <c r="J614">
        <v>1921</v>
      </c>
      <c r="K614" s="8">
        <f>SUMIF(SoundCast_Data!$A$2:$A$1001,RouteID_Conversion!$H$2:$H$999,SoundCast_Data!$C$2:$C$1001)</f>
        <v>92.808860778808395</v>
      </c>
      <c r="N614">
        <v>613</v>
      </c>
      <c r="O614" t="s">
        <v>383</v>
      </c>
      <c r="P614">
        <v>2220</v>
      </c>
      <c r="Q614" s="8">
        <f>SUMIF(SoundCast_Data!$Q$2:$Q$747,RouteID_Conversion!N614,SoundCast_Data!$P$2:$P$747)</f>
        <v>45.635206222534109</v>
      </c>
    </row>
    <row r="615" spans="1:17" x14ac:dyDescent="0.25">
      <c r="A615">
        <v>971</v>
      </c>
      <c r="B615">
        <v>110614</v>
      </c>
      <c r="C615">
        <v>1</v>
      </c>
      <c r="D615" t="s">
        <v>1799</v>
      </c>
      <c r="E615" t="s">
        <v>327</v>
      </c>
      <c r="F615" t="s">
        <v>1799</v>
      </c>
      <c r="G615">
        <v>1</v>
      </c>
      <c r="H615">
        <v>614</v>
      </c>
      <c r="I615" t="s">
        <v>1798</v>
      </c>
      <c r="J615">
        <v>1921</v>
      </c>
      <c r="K615" s="8">
        <f>SUMIF(SoundCast_Data!$A$2:$A$1001,RouteID_Conversion!$H$2:$H$999,SoundCast_Data!$C$2:$C$1001)</f>
        <v>202.09403991699199</v>
      </c>
      <c r="N615">
        <v>614</v>
      </c>
      <c r="O615" t="s">
        <v>1009</v>
      </c>
      <c r="P615">
        <v>2214</v>
      </c>
      <c r="Q615" s="8">
        <f>SUMIF(SoundCast_Data!$Q$2:$Q$747,RouteID_Conversion!N615,SoundCast_Data!$P$2:$P$747)</f>
        <v>66.712114334106346</v>
      </c>
    </row>
    <row r="616" spans="1:17" x14ac:dyDescent="0.25">
      <c r="A616">
        <v>380</v>
      </c>
      <c r="B616">
        <v>110615</v>
      </c>
      <c r="C616">
        <v>1</v>
      </c>
      <c r="D616" t="s">
        <v>916</v>
      </c>
      <c r="E616" t="s">
        <v>327</v>
      </c>
      <c r="F616" t="s">
        <v>916</v>
      </c>
      <c r="G616">
        <v>1</v>
      </c>
      <c r="H616">
        <v>615</v>
      </c>
      <c r="I616" t="s">
        <v>917</v>
      </c>
      <c r="J616">
        <v>1926</v>
      </c>
      <c r="K616" s="8">
        <f>SUMIF(SoundCast_Data!$A$2:$A$1001,RouteID_Conversion!$H$2:$H$999,SoundCast_Data!$C$2:$C$1001)</f>
        <v>36.216397285461326</v>
      </c>
      <c r="N616">
        <v>615</v>
      </c>
      <c r="O616" t="s">
        <v>1009</v>
      </c>
      <c r="P616">
        <v>2214</v>
      </c>
      <c r="Q616" s="8">
        <f>SUMIF(SoundCast_Data!$Q$2:$Q$747,RouteID_Conversion!N616,SoundCast_Data!$P$2:$P$747)</f>
        <v>54.155266761779714</v>
      </c>
    </row>
    <row r="617" spans="1:17" x14ac:dyDescent="0.25">
      <c r="A617">
        <v>381</v>
      </c>
      <c r="B617">
        <v>110616</v>
      </c>
      <c r="C617">
        <v>1</v>
      </c>
      <c r="D617" t="s">
        <v>918</v>
      </c>
      <c r="E617" t="s">
        <v>327</v>
      </c>
      <c r="F617" t="s">
        <v>918</v>
      </c>
      <c r="G617">
        <v>1</v>
      </c>
      <c r="H617">
        <v>616</v>
      </c>
      <c r="I617" t="s">
        <v>917</v>
      </c>
      <c r="J617">
        <v>1926</v>
      </c>
      <c r="K617" s="8">
        <f>SUMIF(SoundCast_Data!$A$2:$A$1001,RouteID_Conversion!$H$2:$H$999,SoundCast_Data!$C$2:$C$1001)</f>
        <v>6.7404345273971398</v>
      </c>
      <c r="N617">
        <v>616</v>
      </c>
      <c r="O617" t="s">
        <v>799</v>
      </c>
      <c r="P617">
        <v>2212</v>
      </c>
      <c r="Q617" s="8">
        <f>SUMIF(SoundCast_Data!$Q$2:$Q$747,RouteID_Conversion!N617,SoundCast_Data!$P$2:$P$747)</f>
        <v>25.601797342300362</v>
      </c>
    </row>
    <row r="618" spans="1:17" x14ac:dyDescent="0.25">
      <c r="A618">
        <v>382</v>
      </c>
      <c r="B618">
        <v>110617</v>
      </c>
      <c r="C618">
        <v>1</v>
      </c>
      <c r="D618" t="s">
        <v>919</v>
      </c>
      <c r="E618" t="s">
        <v>327</v>
      </c>
      <c r="F618" t="s">
        <v>919</v>
      </c>
      <c r="G618">
        <v>1</v>
      </c>
      <c r="H618">
        <v>617</v>
      </c>
      <c r="I618" t="s">
        <v>917</v>
      </c>
      <c r="J618">
        <v>1926</v>
      </c>
      <c r="K618" s="8">
        <f>SUMIF(SoundCast_Data!$A$2:$A$1001,RouteID_Conversion!$H$2:$H$999,SoundCast_Data!$C$2:$C$1001)</f>
        <v>69.680386543273798</v>
      </c>
      <c r="N618">
        <v>617</v>
      </c>
      <c r="O618" t="s">
        <v>799</v>
      </c>
      <c r="P618">
        <v>2212</v>
      </c>
      <c r="Q618" s="8">
        <f>SUMIF(SoundCast_Data!$Q$2:$Q$747,RouteID_Conversion!N618,SoundCast_Data!$P$2:$P$747)</f>
        <v>16.014297008514298</v>
      </c>
    </row>
    <row r="619" spans="1:17" x14ac:dyDescent="0.25">
      <c r="A619">
        <v>455</v>
      </c>
      <c r="B619">
        <v>110618</v>
      </c>
      <c r="C619">
        <v>1</v>
      </c>
      <c r="D619" t="s">
        <v>1033</v>
      </c>
      <c r="E619" t="s">
        <v>327</v>
      </c>
      <c r="F619" t="s">
        <v>1033</v>
      </c>
      <c r="G619">
        <v>1</v>
      </c>
      <c r="H619">
        <v>618</v>
      </c>
      <c r="I619" t="s">
        <v>1034</v>
      </c>
      <c r="J619">
        <v>1927</v>
      </c>
      <c r="K619" s="8">
        <f>SUMIF(SoundCast_Data!$A$2:$A$1001,RouteID_Conversion!$H$2:$H$999,SoundCast_Data!$C$2:$C$1001)</f>
        <v>23.421414852142263</v>
      </c>
      <c r="N619">
        <v>618</v>
      </c>
      <c r="O619" t="s">
        <v>799</v>
      </c>
      <c r="P619">
        <v>2212</v>
      </c>
      <c r="Q619" s="8">
        <f>SUMIF(SoundCast_Data!$Q$2:$Q$747,RouteID_Conversion!N619,SoundCast_Data!$P$2:$P$747)</f>
        <v>27.344801187515159</v>
      </c>
    </row>
    <row r="620" spans="1:17" x14ac:dyDescent="0.25">
      <c r="A620">
        <v>549</v>
      </c>
      <c r="B620">
        <v>110619</v>
      </c>
      <c r="C620">
        <v>1</v>
      </c>
      <c r="D620" t="s">
        <v>1162</v>
      </c>
      <c r="E620" t="s">
        <v>327</v>
      </c>
      <c r="F620" t="s">
        <v>1162</v>
      </c>
      <c r="G620">
        <v>1</v>
      </c>
      <c r="H620">
        <v>619</v>
      </c>
      <c r="I620" t="s">
        <v>1034</v>
      </c>
      <c r="J620">
        <v>1927</v>
      </c>
      <c r="K620" s="8">
        <f>SUMIF(SoundCast_Data!$A$2:$A$1001,RouteID_Conversion!$H$2:$H$999,SoundCast_Data!$C$2:$C$1001)</f>
        <v>11.055945634841901</v>
      </c>
      <c r="N620">
        <v>619</v>
      </c>
      <c r="O620" t="s">
        <v>799</v>
      </c>
      <c r="P620">
        <v>2212</v>
      </c>
      <c r="Q620" s="8">
        <f>SUMIF(SoundCast_Data!$Q$2:$Q$747,RouteID_Conversion!N620,SoundCast_Data!$P$2:$P$747)</f>
        <v>26.698885917663468</v>
      </c>
    </row>
    <row r="621" spans="1:17" x14ac:dyDescent="0.25">
      <c r="A621">
        <v>998</v>
      </c>
      <c r="B621">
        <v>110620</v>
      </c>
      <c r="C621">
        <v>1</v>
      </c>
      <c r="D621" t="s">
        <v>1834</v>
      </c>
      <c r="E621" t="s">
        <v>327</v>
      </c>
      <c r="F621" t="s">
        <v>1834</v>
      </c>
      <c r="G621">
        <v>1</v>
      </c>
      <c r="H621">
        <v>620</v>
      </c>
      <c r="I621" t="s">
        <v>1034</v>
      </c>
      <c r="J621">
        <v>1927</v>
      </c>
      <c r="K621" s="8">
        <f>SUMIF(SoundCast_Data!$A$2:$A$1001,RouteID_Conversion!$H$2:$H$999,SoundCast_Data!$C$2:$C$1001)</f>
        <v>12.314636707305889</v>
      </c>
      <c r="N621">
        <v>620</v>
      </c>
      <c r="O621" t="s">
        <v>387</v>
      </c>
      <c r="P621">
        <v>2207</v>
      </c>
      <c r="Q621" s="8">
        <f>SUMIF(SoundCast_Data!$Q$2:$Q$747,RouteID_Conversion!N621,SoundCast_Data!$P$2:$P$747)</f>
        <v>14.48855090141295</v>
      </c>
    </row>
    <row r="622" spans="1:17" x14ac:dyDescent="0.25">
      <c r="A622">
        <v>550</v>
      </c>
      <c r="B622">
        <v>110621</v>
      </c>
      <c r="C622">
        <v>1</v>
      </c>
      <c r="D622" t="s">
        <v>1163</v>
      </c>
      <c r="E622" t="s">
        <v>327</v>
      </c>
      <c r="F622" t="s">
        <v>1163</v>
      </c>
      <c r="G622">
        <v>1</v>
      </c>
      <c r="H622">
        <v>621</v>
      </c>
      <c r="I622" t="s">
        <v>1034</v>
      </c>
      <c r="J622">
        <v>1927</v>
      </c>
      <c r="K622" s="8">
        <f>SUMIF(SoundCast_Data!$A$2:$A$1001,RouteID_Conversion!$H$2:$H$999,SoundCast_Data!$C$2:$C$1001)</f>
        <v>21.962604999542222</v>
      </c>
      <c r="N622">
        <v>621</v>
      </c>
      <c r="O622" t="s">
        <v>387</v>
      </c>
      <c r="P622">
        <v>2207</v>
      </c>
      <c r="Q622" s="8">
        <f>SUMIF(SoundCast_Data!$Q$2:$Q$747,RouteID_Conversion!N622,SoundCast_Data!$P$2:$P$747)</f>
        <v>0</v>
      </c>
    </row>
    <row r="623" spans="1:17" x14ac:dyDescent="0.25">
      <c r="A623">
        <v>599</v>
      </c>
      <c r="B623">
        <v>110622</v>
      </c>
      <c r="C623">
        <v>1</v>
      </c>
      <c r="D623" t="s">
        <v>1249</v>
      </c>
      <c r="E623" t="s">
        <v>327</v>
      </c>
      <c r="F623" t="s">
        <v>1249</v>
      </c>
      <c r="G623">
        <v>1</v>
      </c>
      <c r="H623">
        <v>622</v>
      </c>
      <c r="I623" t="s">
        <v>605</v>
      </c>
      <c r="J623">
        <v>1929</v>
      </c>
      <c r="K623" s="8">
        <f>SUMIF(SoundCast_Data!$A$2:$A$1001,RouteID_Conversion!$H$2:$H$999,SoundCast_Data!$C$2:$C$1001)</f>
        <v>11.11429214477538</v>
      </c>
      <c r="N623">
        <v>622</v>
      </c>
      <c r="O623" t="s">
        <v>390</v>
      </c>
      <c r="P623">
        <v>2206</v>
      </c>
      <c r="Q623" s="8">
        <f>SUMIF(SoundCast_Data!$Q$2:$Q$747,RouteID_Conversion!N623,SoundCast_Data!$P$2:$P$747)</f>
        <v>64.014649391174203</v>
      </c>
    </row>
    <row r="624" spans="1:17" x14ac:dyDescent="0.25">
      <c r="A624">
        <v>190</v>
      </c>
      <c r="B624">
        <v>110623</v>
      </c>
      <c r="C624">
        <v>1</v>
      </c>
      <c r="D624" t="s">
        <v>604</v>
      </c>
      <c r="E624" t="s">
        <v>327</v>
      </c>
      <c r="F624" t="s">
        <v>604</v>
      </c>
      <c r="G624">
        <v>1</v>
      </c>
      <c r="H624">
        <v>623</v>
      </c>
      <c r="I624" t="s">
        <v>605</v>
      </c>
      <c r="J624">
        <v>1929</v>
      </c>
      <c r="K624" s="8">
        <f>SUMIF(SoundCast_Data!$A$2:$A$1001,RouteID_Conversion!$H$2:$H$999,SoundCast_Data!$C$2:$C$1001)</f>
        <v>22.323422908782948</v>
      </c>
      <c r="N624">
        <v>623</v>
      </c>
      <c r="O624" t="s">
        <v>390</v>
      </c>
      <c r="P624">
        <v>2206</v>
      </c>
      <c r="Q624" s="8">
        <f>SUMIF(SoundCast_Data!$Q$2:$Q$747,RouteID_Conversion!N624,SoundCast_Data!$P$2:$P$747)</f>
        <v>63.458199024200333</v>
      </c>
    </row>
    <row r="625" spans="1:17" x14ac:dyDescent="0.25">
      <c r="A625">
        <v>131</v>
      </c>
      <c r="B625">
        <v>110624</v>
      </c>
      <c r="C625">
        <v>1</v>
      </c>
      <c r="D625" t="s">
        <v>535</v>
      </c>
      <c r="E625" t="s">
        <v>327</v>
      </c>
      <c r="F625" t="s">
        <v>535</v>
      </c>
      <c r="G625">
        <v>1</v>
      </c>
      <c r="H625">
        <v>624</v>
      </c>
      <c r="I625" t="s">
        <v>536</v>
      </c>
      <c r="J625">
        <v>1935</v>
      </c>
      <c r="K625" s="8">
        <f>SUMIF(SoundCast_Data!$A$2:$A$1001,RouteID_Conversion!$H$2:$H$999,SoundCast_Data!$C$2:$C$1001)</f>
        <v>87.306701660156094</v>
      </c>
      <c r="N625">
        <v>624</v>
      </c>
      <c r="O625" t="s">
        <v>803</v>
      </c>
      <c r="P625">
        <v>2204</v>
      </c>
      <c r="Q625" s="8">
        <f>SUMIF(SoundCast_Data!$Q$2:$Q$747,RouteID_Conversion!N625,SoundCast_Data!$P$2:$P$747)</f>
        <v>312.97880172729424</v>
      </c>
    </row>
    <row r="626" spans="1:17" x14ac:dyDescent="0.25">
      <c r="A626">
        <v>996</v>
      </c>
      <c r="B626">
        <v>110625</v>
      </c>
      <c r="C626">
        <v>1</v>
      </c>
      <c r="D626" t="s">
        <v>1832</v>
      </c>
      <c r="E626" t="s">
        <v>327</v>
      </c>
      <c r="F626" t="s">
        <v>1832</v>
      </c>
      <c r="G626">
        <v>1</v>
      </c>
      <c r="H626">
        <v>625</v>
      </c>
      <c r="I626" t="s">
        <v>536</v>
      </c>
      <c r="J626">
        <v>1935</v>
      </c>
      <c r="K626" s="8">
        <f>SUMIF(SoundCast_Data!$A$2:$A$1001,RouteID_Conversion!$H$2:$H$999,SoundCast_Data!$C$2:$C$1001)</f>
        <v>103.79369735717751</v>
      </c>
      <c r="N626">
        <v>625</v>
      </c>
      <c r="O626" t="s">
        <v>803</v>
      </c>
      <c r="P626">
        <v>2204</v>
      </c>
      <c r="Q626" s="8">
        <f>SUMIF(SoundCast_Data!$Q$2:$Q$747,RouteID_Conversion!N626,SoundCast_Data!$P$2:$P$747)</f>
        <v>294.95403289794922</v>
      </c>
    </row>
    <row r="627" spans="1:17" x14ac:dyDescent="0.25">
      <c r="A627">
        <v>575</v>
      </c>
      <c r="B627">
        <v>110626</v>
      </c>
      <c r="C627">
        <v>1</v>
      </c>
      <c r="D627" t="s">
        <v>1206</v>
      </c>
      <c r="E627" t="s">
        <v>327</v>
      </c>
      <c r="F627" t="s">
        <v>1206</v>
      </c>
      <c r="G627">
        <v>1</v>
      </c>
      <c r="H627">
        <v>626</v>
      </c>
      <c r="I627" t="s">
        <v>1207</v>
      </c>
      <c r="J627">
        <v>1941</v>
      </c>
      <c r="K627" s="8">
        <f>SUMIF(SoundCast_Data!$A$2:$A$1001,RouteID_Conversion!$H$2:$H$999,SoundCast_Data!$C$2:$C$1001)</f>
        <v>79.123928070068203</v>
      </c>
      <c r="N627">
        <v>626</v>
      </c>
      <c r="O627" t="s">
        <v>394</v>
      </c>
      <c r="P627">
        <v>2202</v>
      </c>
      <c r="Q627" s="8">
        <f>SUMIF(SoundCast_Data!$Q$2:$Q$747,RouteID_Conversion!N627,SoundCast_Data!$P$2:$P$747)</f>
        <v>150.59882736206049</v>
      </c>
    </row>
    <row r="628" spans="1:17" x14ac:dyDescent="0.25">
      <c r="A628">
        <v>993</v>
      </c>
      <c r="B628">
        <v>110629</v>
      </c>
      <c r="C628">
        <v>1</v>
      </c>
      <c r="D628" t="s">
        <v>1827</v>
      </c>
      <c r="E628" t="s">
        <v>327</v>
      </c>
      <c r="F628" t="s">
        <v>1827</v>
      </c>
      <c r="G628">
        <v>1</v>
      </c>
      <c r="H628">
        <v>629</v>
      </c>
      <c r="I628" t="s">
        <v>1828</v>
      </c>
      <c r="J628">
        <v>1982</v>
      </c>
      <c r="K628" s="8">
        <f>SUMIF(SoundCast_Data!$A$2:$A$1001,RouteID_Conversion!$H$2:$H$999,SoundCast_Data!$C$2:$C$1001)</f>
        <v>8.1037955284118492</v>
      </c>
      <c r="N628">
        <v>627</v>
      </c>
      <c r="O628" t="s">
        <v>394</v>
      </c>
      <c r="P628">
        <v>2202</v>
      </c>
      <c r="Q628" s="8">
        <f>SUMIF(SoundCast_Data!$Q$2:$Q$747,RouteID_Conversion!N628,SoundCast_Data!$P$2:$P$747)</f>
        <v>162.2635440826414</v>
      </c>
    </row>
    <row r="629" spans="1:17" x14ac:dyDescent="0.25">
      <c r="A629">
        <v>994</v>
      </c>
      <c r="B629">
        <v>110630</v>
      </c>
      <c r="C629">
        <v>1</v>
      </c>
      <c r="D629" t="s">
        <v>1829</v>
      </c>
      <c r="E629" t="s">
        <v>327</v>
      </c>
      <c r="F629" t="s">
        <v>1829</v>
      </c>
      <c r="G629">
        <v>1</v>
      </c>
      <c r="H629">
        <v>630</v>
      </c>
      <c r="I629" t="s">
        <v>1830</v>
      </c>
      <c r="J629">
        <v>1986</v>
      </c>
      <c r="K629" s="8">
        <f>SUMIF(SoundCast_Data!$A$2:$A$1001,RouteID_Conversion!$H$2:$H$999,SoundCast_Data!$C$2:$C$1001)</f>
        <v>2.711762726306914</v>
      </c>
      <c r="N629">
        <v>628</v>
      </c>
      <c r="O629" t="s">
        <v>806</v>
      </c>
      <c r="P629">
        <v>2002</v>
      </c>
      <c r="Q629" s="8">
        <f>SUMIF(SoundCast_Data!$Q$2:$Q$747,RouteID_Conversion!N629,SoundCast_Data!$P$2:$P$747)</f>
        <v>910.48205566406091</v>
      </c>
    </row>
    <row r="630" spans="1:17" x14ac:dyDescent="0.25">
      <c r="A630">
        <v>904</v>
      </c>
      <c r="B630">
        <v>110631</v>
      </c>
      <c r="C630">
        <v>1</v>
      </c>
      <c r="D630" t="s">
        <v>1683</v>
      </c>
      <c r="E630" t="s">
        <v>327</v>
      </c>
      <c r="F630" t="s">
        <v>1683</v>
      </c>
      <c r="G630">
        <v>1</v>
      </c>
      <c r="H630">
        <v>631</v>
      </c>
      <c r="I630" t="s">
        <v>1684</v>
      </c>
      <c r="J630">
        <v>1987</v>
      </c>
      <c r="K630" s="8">
        <f>SUMIF(SoundCast_Data!$A$2:$A$1001,RouteID_Conversion!$H$2:$H$999,SoundCast_Data!$C$2:$C$1001)</f>
        <v>2.137143313884732</v>
      </c>
      <c r="N630">
        <v>629</v>
      </c>
      <c r="O630" t="s">
        <v>806</v>
      </c>
      <c r="P630">
        <v>2002</v>
      </c>
      <c r="Q630" s="8">
        <f>SUMIF(SoundCast_Data!$Q$2:$Q$747,RouteID_Conversion!N630,SoundCast_Data!$P$2:$P$747)</f>
        <v>673.10979461669808</v>
      </c>
    </row>
    <row r="631" spans="1:17" x14ac:dyDescent="0.25">
      <c r="A631">
        <v>905</v>
      </c>
      <c r="B631">
        <v>110632</v>
      </c>
      <c r="C631">
        <v>1</v>
      </c>
      <c r="D631" t="s">
        <v>1685</v>
      </c>
      <c r="E631" t="s">
        <v>327</v>
      </c>
      <c r="F631" t="s">
        <v>1685</v>
      </c>
      <c r="G631">
        <v>1</v>
      </c>
      <c r="H631">
        <v>632</v>
      </c>
      <c r="I631" t="s">
        <v>1686</v>
      </c>
      <c r="J631">
        <v>1988</v>
      </c>
      <c r="K631" s="8">
        <f>SUMIF(SoundCast_Data!$A$2:$A$1001,RouteID_Conversion!$H$2:$H$999,SoundCast_Data!$C$2:$C$1001)</f>
        <v>1.7091449797153451</v>
      </c>
      <c r="N631">
        <v>630</v>
      </c>
      <c r="O631" t="s">
        <v>941</v>
      </c>
      <c r="P631">
        <v>2016</v>
      </c>
      <c r="Q631" s="8">
        <f>SUMIF(SoundCast_Data!$Q$2:$Q$747,RouteID_Conversion!N631,SoundCast_Data!$P$2:$P$747)</f>
        <v>213.30167770385671</v>
      </c>
    </row>
    <row r="632" spans="1:17" x14ac:dyDescent="0.25">
      <c r="A632">
        <v>972</v>
      </c>
      <c r="B632">
        <v>110633</v>
      </c>
      <c r="C632">
        <v>1</v>
      </c>
      <c r="D632" t="s">
        <v>1800</v>
      </c>
      <c r="E632" t="s">
        <v>327</v>
      </c>
      <c r="F632" t="s">
        <v>1800</v>
      </c>
      <c r="G632">
        <v>1</v>
      </c>
      <c r="H632">
        <v>633</v>
      </c>
      <c r="I632" t="s">
        <v>1801</v>
      </c>
      <c r="J632">
        <v>1989</v>
      </c>
      <c r="K632" s="8">
        <f>SUMIF(SoundCast_Data!$A$2:$A$1001,RouteID_Conversion!$H$2:$H$999,SoundCast_Data!$C$2:$C$1001)</f>
        <v>0.6761526446789492</v>
      </c>
      <c r="N632">
        <v>631</v>
      </c>
      <c r="O632" t="s">
        <v>941</v>
      </c>
      <c r="P632">
        <v>2016</v>
      </c>
      <c r="Q632" s="8">
        <f>SUMIF(SoundCast_Data!$Q$2:$Q$747,RouteID_Conversion!N632,SoundCast_Data!$P$2:$P$747)</f>
        <v>203.9123191833487</v>
      </c>
    </row>
    <row r="633" spans="1:17" x14ac:dyDescent="0.25">
      <c r="A633">
        <v>703</v>
      </c>
      <c r="B633">
        <v>110634</v>
      </c>
      <c r="C633">
        <v>1</v>
      </c>
      <c r="D633" t="s">
        <v>1373</v>
      </c>
      <c r="E633" t="s">
        <v>327</v>
      </c>
      <c r="F633" t="s">
        <v>1373</v>
      </c>
      <c r="G633">
        <v>1</v>
      </c>
      <c r="H633">
        <v>634</v>
      </c>
      <c r="I633" t="s">
        <v>1374</v>
      </c>
      <c r="J633">
        <v>1994</v>
      </c>
      <c r="K633" s="8">
        <f>SUMIF(SoundCast_Data!$A$2:$A$1001,RouteID_Conversion!$H$2:$H$999,SoundCast_Data!$C$2:$C$1001)</f>
        <v>7.8349249362945503</v>
      </c>
      <c r="N633">
        <v>632</v>
      </c>
      <c r="O633" t="s">
        <v>809</v>
      </c>
      <c r="P633">
        <v>2013</v>
      </c>
      <c r="Q633" s="8">
        <f>SUMIF(SoundCast_Data!$Q$2:$Q$747,RouteID_Conversion!N633,SoundCast_Data!$P$2:$P$747)</f>
        <v>35.405915260314899</v>
      </c>
    </row>
    <row r="634" spans="1:17" x14ac:dyDescent="0.25">
      <c r="A634">
        <v>16</v>
      </c>
      <c r="B634">
        <v>110635</v>
      </c>
      <c r="C634">
        <v>1</v>
      </c>
      <c r="D634" t="s">
        <v>345</v>
      </c>
      <c r="E634" t="s">
        <v>327</v>
      </c>
      <c r="F634" t="s">
        <v>345</v>
      </c>
      <c r="G634">
        <v>1</v>
      </c>
      <c r="H634">
        <v>635</v>
      </c>
      <c r="I634" t="s">
        <v>346</v>
      </c>
      <c r="J634">
        <v>1995</v>
      </c>
      <c r="K634" s="8">
        <f>SUMIF(SoundCast_Data!$A$2:$A$1001,RouteID_Conversion!$H$2:$H$999,SoundCast_Data!$C$2:$C$1001)</f>
        <v>3.056052684783928</v>
      </c>
      <c r="N634">
        <v>633</v>
      </c>
      <c r="O634" t="s">
        <v>809</v>
      </c>
      <c r="P634">
        <v>2013</v>
      </c>
      <c r="Q634" s="8">
        <f>SUMIF(SoundCast_Data!$Q$2:$Q$747,RouteID_Conversion!N634,SoundCast_Data!$P$2:$P$747)</f>
        <v>82.330930709838697</v>
      </c>
    </row>
    <row r="635" spans="1:17" x14ac:dyDescent="0.25">
      <c r="A635">
        <v>483</v>
      </c>
      <c r="B635">
        <v>110636</v>
      </c>
      <c r="C635">
        <v>1</v>
      </c>
      <c r="D635" t="s">
        <v>1068</v>
      </c>
      <c r="E635" t="s">
        <v>327</v>
      </c>
      <c r="F635" t="s">
        <v>1069</v>
      </c>
      <c r="G635">
        <v>3</v>
      </c>
      <c r="H635">
        <v>636</v>
      </c>
      <c r="I635" t="s">
        <v>1070</v>
      </c>
      <c r="J635">
        <v>3880</v>
      </c>
      <c r="K635" s="8">
        <f>SUMIF(SoundCast_Data!$A$2:$A$1001,RouteID_Conversion!$H$2:$H$999,SoundCast_Data!$C$2:$C$1001)</f>
        <v>199.5773468017577</v>
      </c>
      <c r="N635">
        <v>634</v>
      </c>
      <c r="O635" t="s">
        <v>946</v>
      </c>
      <c r="P635">
        <v>2113</v>
      </c>
      <c r="Q635" s="8">
        <f>SUMIF(SoundCast_Data!$Q$2:$Q$747,RouteID_Conversion!N635,SoundCast_Data!$P$2:$P$747)</f>
        <v>2.2666665092110563</v>
      </c>
    </row>
    <row r="636" spans="1:17" x14ac:dyDescent="0.25">
      <c r="A636">
        <v>736</v>
      </c>
      <c r="B636">
        <v>110637</v>
      </c>
      <c r="C636">
        <v>1</v>
      </c>
      <c r="D636" t="s">
        <v>1431</v>
      </c>
      <c r="E636" t="s">
        <v>327</v>
      </c>
      <c r="F636" t="s">
        <v>1432</v>
      </c>
      <c r="G636">
        <v>3</v>
      </c>
      <c r="H636">
        <v>637</v>
      </c>
      <c r="I636" t="s">
        <v>1070</v>
      </c>
      <c r="J636">
        <v>3880</v>
      </c>
      <c r="K636" s="8">
        <f>SUMIF(SoundCast_Data!$A$2:$A$1001,RouteID_Conversion!$H$2:$H$999,SoundCast_Data!$C$2:$C$1001)</f>
        <v>251.59238433837831</v>
      </c>
      <c r="N636">
        <v>635</v>
      </c>
      <c r="O636" t="s">
        <v>946</v>
      </c>
      <c r="P636">
        <v>2113</v>
      </c>
      <c r="Q636" s="8">
        <f>SUMIF(SoundCast_Data!$Q$2:$Q$747,RouteID_Conversion!N636,SoundCast_Data!$P$2:$P$747)</f>
        <v>0</v>
      </c>
    </row>
    <row r="637" spans="1:17" x14ac:dyDescent="0.25">
      <c r="A637">
        <v>607</v>
      </c>
      <c r="B637">
        <v>110638</v>
      </c>
      <c r="C637">
        <v>1</v>
      </c>
      <c r="D637" t="s">
        <v>1257</v>
      </c>
      <c r="E637" t="s">
        <v>327</v>
      </c>
      <c r="F637" t="s">
        <v>1258</v>
      </c>
      <c r="G637">
        <v>3</v>
      </c>
      <c r="H637">
        <v>638</v>
      </c>
      <c r="I637" t="s">
        <v>1259</v>
      </c>
      <c r="J637">
        <v>3871</v>
      </c>
      <c r="K637" s="8">
        <f>SUMIF(SoundCast_Data!$A$2:$A$1001,RouteID_Conversion!$H$2:$H$999,SoundCast_Data!$C$2:$C$1001)</f>
        <v>53.375865936279197</v>
      </c>
      <c r="N637">
        <v>636</v>
      </c>
      <c r="O637" t="s">
        <v>950</v>
      </c>
      <c r="P637">
        <v>2011</v>
      </c>
      <c r="Q637" s="8">
        <f>SUMIF(SoundCast_Data!$Q$2:$Q$747,RouteID_Conversion!N637,SoundCast_Data!$P$2:$P$747)</f>
        <v>204.84062004089341</v>
      </c>
    </row>
    <row r="638" spans="1:17" x14ac:dyDescent="0.25">
      <c r="A638">
        <v>551</v>
      </c>
      <c r="B638">
        <v>110639</v>
      </c>
      <c r="C638">
        <v>1</v>
      </c>
      <c r="D638" t="s">
        <v>1164</v>
      </c>
      <c r="E638" t="s">
        <v>327</v>
      </c>
      <c r="F638" t="s">
        <v>1165</v>
      </c>
      <c r="G638">
        <v>3</v>
      </c>
      <c r="H638">
        <v>639</v>
      </c>
      <c r="I638" t="s">
        <v>1166</v>
      </c>
      <c r="J638">
        <v>3870</v>
      </c>
      <c r="K638" s="8">
        <f>SUMIF(SoundCast_Data!$A$2:$A$1001,RouteID_Conversion!$H$2:$H$999,SoundCast_Data!$C$2:$C$1001)</f>
        <v>176.57869720458959</v>
      </c>
      <c r="N638">
        <v>637</v>
      </c>
      <c r="O638" t="s">
        <v>950</v>
      </c>
      <c r="P638">
        <v>2011</v>
      </c>
      <c r="Q638" s="8">
        <f>SUMIF(SoundCast_Data!$Q$2:$Q$747,RouteID_Conversion!N638,SoundCast_Data!$P$2:$P$747)</f>
        <v>246.38656234741131</v>
      </c>
    </row>
    <row r="639" spans="1:17" x14ac:dyDescent="0.25">
      <c r="A639">
        <v>484</v>
      </c>
      <c r="B639">
        <v>110640</v>
      </c>
      <c r="C639">
        <v>1</v>
      </c>
      <c r="D639" t="s">
        <v>1071</v>
      </c>
      <c r="E639" t="s">
        <v>327</v>
      </c>
      <c r="F639" t="s">
        <v>1072</v>
      </c>
      <c r="G639">
        <v>3</v>
      </c>
      <c r="H639">
        <v>640</v>
      </c>
      <c r="I639" t="s">
        <v>1073</v>
      </c>
      <c r="J639">
        <v>3860</v>
      </c>
      <c r="K639" s="8">
        <f>SUMIF(SoundCast_Data!$A$2:$A$1001,RouteID_Conversion!$H$2:$H$999,SoundCast_Data!$C$2:$C$1001)</f>
        <v>311.5556411743151</v>
      </c>
      <c r="N639">
        <v>638</v>
      </c>
      <c r="O639" t="s">
        <v>812</v>
      </c>
      <c r="P639">
        <v>2100</v>
      </c>
      <c r="Q639" s="8">
        <f>SUMIF(SoundCast_Data!$Q$2:$Q$747,RouteID_Conversion!N639,SoundCast_Data!$P$2:$P$747)</f>
        <v>114.96820068359371</v>
      </c>
    </row>
    <row r="640" spans="1:17" x14ac:dyDescent="0.25">
      <c r="A640">
        <v>608</v>
      </c>
      <c r="B640">
        <v>110641</v>
      </c>
      <c r="C640">
        <v>1</v>
      </c>
      <c r="D640" t="s">
        <v>1260</v>
      </c>
      <c r="E640" t="s">
        <v>327</v>
      </c>
      <c r="F640" t="s">
        <v>1261</v>
      </c>
      <c r="G640">
        <v>3</v>
      </c>
      <c r="H640">
        <v>641</v>
      </c>
      <c r="I640" t="s">
        <v>1262</v>
      </c>
      <c r="J640">
        <v>3855</v>
      </c>
      <c r="K640" s="8">
        <f>SUMIF(SoundCast_Data!$A$2:$A$1001,RouteID_Conversion!$H$2:$H$999,SoundCast_Data!$C$2:$C$1001)</f>
        <v>298.76546478271331</v>
      </c>
      <c r="N640">
        <v>639</v>
      </c>
      <c r="O640" t="s">
        <v>812</v>
      </c>
      <c r="P640">
        <v>2100</v>
      </c>
      <c r="Q640" s="8">
        <f>SUMIF(SoundCast_Data!$Q$2:$Q$747,RouteID_Conversion!N640,SoundCast_Data!$P$2:$P$747)</f>
        <v>153.0276489257804</v>
      </c>
    </row>
    <row r="641" spans="1:17" x14ac:dyDescent="0.25">
      <c r="A641">
        <v>609</v>
      </c>
      <c r="B641">
        <v>110642</v>
      </c>
      <c r="C641">
        <v>1</v>
      </c>
      <c r="D641" t="s">
        <v>1263</v>
      </c>
      <c r="E641" t="s">
        <v>327</v>
      </c>
      <c r="F641" t="s">
        <v>1165</v>
      </c>
      <c r="G641">
        <v>3</v>
      </c>
      <c r="H641">
        <v>642</v>
      </c>
      <c r="I641" t="s">
        <v>1264</v>
      </c>
      <c r="J641">
        <v>3851</v>
      </c>
      <c r="K641" s="8">
        <f>SUMIF(SoundCast_Data!$A$2:$A$1001,RouteID_Conversion!$H$2:$H$999,SoundCast_Data!$C$2:$C$1001)</f>
        <v>220.279155731201</v>
      </c>
      <c r="N641">
        <v>640</v>
      </c>
      <c r="O641" t="s">
        <v>816</v>
      </c>
      <c r="P641">
        <v>2010</v>
      </c>
      <c r="Q641" s="8">
        <f>SUMIF(SoundCast_Data!$Q$2:$Q$747,RouteID_Conversion!N641,SoundCast_Data!$P$2:$P$747)</f>
        <v>54.149061203002901</v>
      </c>
    </row>
    <row r="642" spans="1:17" x14ac:dyDescent="0.25">
      <c r="A642">
        <v>850</v>
      </c>
      <c r="B642">
        <v>110643</v>
      </c>
      <c r="C642">
        <v>1</v>
      </c>
      <c r="D642" t="s">
        <v>1594</v>
      </c>
      <c r="E642" t="s">
        <v>327</v>
      </c>
      <c r="F642" t="s">
        <v>1595</v>
      </c>
      <c r="G642">
        <v>3</v>
      </c>
      <c r="H642">
        <v>643</v>
      </c>
      <c r="I642" t="s">
        <v>1596</v>
      </c>
      <c r="J642">
        <v>3821</v>
      </c>
      <c r="K642" s="8">
        <f>SUMIF(SoundCast_Data!$A$2:$A$1001,RouteID_Conversion!$H$2:$H$999,SoundCast_Data!$C$2:$C$1001)</f>
        <v>119.24929618835439</v>
      </c>
      <c r="N642">
        <v>641</v>
      </c>
      <c r="O642" t="s">
        <v>816</v>
      </c>
      <c r="P642">
        <v>2010</v>
      </c>
      <c r="Q642" s="8">
        <f>SUMIF(SoundCast_Data!$Q$2:$Q$747,RouteID_Conversion!N642,SoundCast_Data!$P$2:$P$747)</f>
        <v>83.826171874999901</v>
      </c>
    </row>
    <row r="643" spans="1:17" x14ac:dyDescent="0.25">
      <c r="A643">
        <v>485</v>
      </c>
      <c r="B643">
        <v>110644</v>
      </c>
      <c r="C643">
        <v>1</v>
      </c>
      <c r="D643" t="s">
        <v>1074</v>
      </c>
      <c r="E643" t="s">
        <v>327</v>
      </c>
      <c r="F643" t="s">
        <v>1075</v>
      </c>
      <c r="G643">
        <v>3</v>
      </c>
      <c r="H643">
        <v>644</v>
      </c>
      <c r="I643" t="s">
        <v>1076</v>
      </c>
      <c r="J643">
        <v>3812</v>
      </c>
      <c r="K643" s="8">
        <f>SUMIF(SoundCast_Data!$A$2:$A$1001,RouteID_Conversion!$H$2:$H$999,SoundCast_Data!$C$2:$C$1001)</f>
        <v>152.84169006347651</v>
      </c>
      <c r="N643">
        <v>642</v>
      </c>
      <c r="O643" t="s">
        <v>480</v>
      </c>
      <c r="P643">
        <v>2001</v>
      </c>
      <c r="Q643" s="8">
        <f>SUMIF(SoundCast_Data!$Q$2:$Q$747,RouteID_Conversion!N643,SoundCast_Data!$P$2:$P$747)</f>
        <v>1730.4887237548801</v>
      </c>
    </row>
    <row r="644" spans="1:17" x14ac:dyDescent="0.25">
      <c r="A644">
        <v>851</v>
      </c>
      <c r="B644">
        <v>110645</v>
      </c>
      <c r="C644">
        <v>1</v>
      </c>
      <c r="D644" t="s">
        <v>1597</v>
      </c>
      <c r="E644" t="s">
        <v>327</v>
      </c>
      <c r="F644" t="s">
        <v>1598</v>
      </c>
      <c r="G644">
        <v>3</v>
      </c>
      <c r="H644">
        <v>645</v>
      </c>
      <c r="I644" t="s">
        <v>1599</v>
      </c>
      <c r="J644">
        <v>3701</v>
      </c>
      <c r="K644" s="8">
        <f>SUMIF(SoundCast_Data!$A$2:$A$1001,RouteID_Conversion!$H$2:$H$999,SoundCast_Data!$C$2:$C$1001)</f>
        <v>928.41082763671807</v>
      </c>
      <c r="N644">
        <v>643</v>
      </c>
      <c r="O644" t="s">
        <v>480</v>
      </c>
      <c r="P644">
        <v>2001</v>
      </c>
      <c r="Q644" s="8">
        <f>SUMIF(SoundCast_Data!$Q$2:$Q$747,RouteID_Conversion!N644,SoundCast_Data!$P$2:$P$747)</f>
        <v>1718.2559509277341</v>
      </c>
    </row>
    <row r="645" spans="1:17" x14ac:dyDescent="0.25">
      <c r="A645">
        <v>852</v>
      </c>
      <c r="B645">
        <v>110646</v>
      </c>
      <c r="C645">
        <v>1</v>
      </c>
      <c r="D645" t="s">
        <v>1600</v>
      </c>
      <c r="E645" t="s">
        <v>327</v>
      </c>
      <c r="F645" t="s">
        <v>1601</v>
      </c>
      <c r="G645">
        <v>3</v>
      </c>
      <c r="H645">
        <v>646</v>
      </c>
      <c r="I645" t="s">
        <v>1599</v>
      </c>
      <c r="J645">
        <v>3701</v>
      </c>
      <c r="K645" s="8">
        <f>SUMIF(SoundCast_Data!$A$2:$A$1001,RouteID_Conversion!$H$2:$H$999,SoundCast_Data!$C$2:$C$1001)</f>
        <v>620.08154296874909</v>
      </c>
      <c r="N645">
        <v>644</v>
      </c>
      <c r="O645" t="s">
        <v>1397</v>
      </c>
      <c r="P645">
        <v>6578</v>
      </c>
      <c r="Q645" s="8">
        <f>SUMIF(SoundCast_Data!$Q$2:$Q$747,RouteID_Conversion!N645,SoundCast_Data!$P$2:$P$747)</f>
        <v>597.63375091552609</v>
      </c>
    </row>
    <row r="646" spans="1:17" x14ac:dyDescent="0.25">
      <c r="A646">
        <v>581</v>
      </c>
      <c r="B646">
        <v>110647</v>
      </c>
      <c r="C646">
        <v>1</v>
      </c>
      <c r="D646" t="s">
        <v>1214</v>
      </c>
      <c r="E646" t="s">
        <v>327</v>
      </c>
      <c r="F646" t="s">
        <v>1215</v>
      </c>
      <c r="G646">
        <v>6</v>
      </c>
      <c r="H646">
        <v>647</v>
      </c>
      <c r="I646" t="s">
        <v>1216</v>
      </c>
      <c r="J646">
        <v>6535</v>
      </c>
      <c r="K646" s="8">
        <f>SUMIF(SoundCast_Data!$A$2:$A$1001,RouteID_Conversion!$H$2:$H$999,SoundCast_Data!$C$2:$C$1001)</f>
        <v>209.56519317626939</v>
      </c>
      <c r="N646">
        <v>647</v>
      </c>
      <c r="O646" t="s">
        <v>956</v>
      </c>
      <c r="P646">
        <v>6010</v>
      </c>
      <c r="Q646" s="8">
        <f>SUMIF(SoundCast_Data!$Q$2:$Q$747,RouteID_Conversion!N646,SoundCast_Data!$P$2:$P$747)</f>
        <v>324.50488281249955</v>
      </c>
    </row>
    <row r="647" spans="1:17" x14ac:dyDescent="0.25">
      <c r="A647">
        <v>824</v>
      </c>
      <c r="B647">
        <v>110648</v>
      </c>
      <c r="C647">
        <v>1</v>
      </c>
      <c r="D647" t="s">
        <v>1558</v>
      </c>
      <c r="E647" t="s">
        <v>327</v>
      </c>
      <c r="F647" t="s">
        <v>1559</v>
      </c>
      <c r="G647">
        <v>6</v>
      </c>
      <c r="H647">
        <v>648</v>
      </c>
      <c r="I647" t="s">
        <v>1216</v>
      </c>
      <c r="J647">
        <v>6535</v>
      </c>
      <c r="K647" s="8">
        <f>SUMIF(SoundCast_Data!$A$2:$A$1001,RouteID_Conversion!$H$2:$H$999,SoundCast_Data!$C$2:$C$1001)</f>
        <v>1572.2996215820301</v>
      </c>
      <c r="N647">
        <v>648</v>
      </c>
      <c r="O647" t="s">
        <v>956</v>
      </c>
      <c r="P647">
        <v>6010</v>
      </c>
      <c r="Q647" s="8">
        <f>SUMIF(SoundCast_Data!$Q$2:$Q$747,RouteID_Conversion!N647,SoundCast_Data!$P$2:$P$747)</f>
        <v>160.70082092285151</v>
      </c>
    </row>
    <row r="648" spans="1:17" x14ac:dyDescent="0.25">
      <c r="A648">
        <v>853</v>
      </c>
      <c r="B648">
        <v>110649</v>
      </c>
      <c r="C648">
        <v>1</v>
      </c>
      <c r="D648" t="s">
        <v>1602</v>
      </c>
      <c r="E648" t="s">
        <v>327</v>
      </c>
      <c r="F648" t="s">
        <v>1603</v>
      </c>
      <c r="G648">
        <v>6</v>
      </c>
      <c r="H648">
        <v>649</v>
      </c>
      <c r="I648" t="s">
        <v>1604</v>
      </c>
      <c r="J648">
        <v>6532</v>
      </c>
      <c r="K648" s="8">
        <f>SUMIF(SoundCast_Data!$A$2:$A$1001,RouteID_Conversion!$H$2:$H$999,SoundCast_Data!$C$2:$C$1001)</f>
        <v>199.07278442382801</v>
      </c>
      <c r="N648">
        <v>649</v>
      </c>
      <c r="O648" t="s">
        <v>445</v>
      </c>
      <c r="P648">
        <v>5001</v>
      </c>
      <c r="Q648" s="8">
        <f>SUMIF(SoundCast_Data!$Q$2:$Q$747,RouteID_Conversion!N648,SoundCast_Data!$P$2:$P$747)</f>
        <v>4.842461682856066</v>
      </c>
    </row>
    <row r="649" spans="1:17" x14ac:dyDescent="0.25">
      <c r="A649">
        <v>854</v>
      </c>
      <c r="B649">
        <v>110651</v>
      </c>
      <c r="C649">
        <v>1</v>
      </c>
      <c r="D649" t="s">
        <v>1605</v>
      </c>
      <c r="E649" t="s">
        <v>327</v>
      </c>
      <c r="F649" t="s">
        <v>1606</v>
      </c>
      <c r="G649">
        <v>6</v>
      </c>
      <c r="H649">
        <v>651</v>
      </c>
      <c r="I649" t="s">
        <v>1607</v>
      </c>
      <c r="J649">
        <v>6513</v>
      </c>
      <c r="K649" s="8">
        <f>SUMIF(SoundCast_Data!$A$2:$A$1001,RouteID_Conversion!$H$2:$H$999,SoundCast_Data!$C$2:$C$1001)</f>
        <v>76.210138320922709</v>
      </c>
      <c r="N649">
        <v>650</v>
      </c>
      <c r="O649" t="s">
        <v>445</v>
      </c>
      <c r="P649">
        <v>5001</v>
      </c>
      <c r="Q649" s="8">
        <f>SUMIF(SoundCast_Data!$Q$2:$Q$747,RouteID_Conversion!N649,SoundCast_Data!$P$2:$P$747)</f>
        <v>5.29999995231627</v>
      </c>
    </row>
    <row r="650" spans="1:17" x14ac:dyDescent="0.25">
      <c r="A650">
        <v>911</v>
      </c>
      <c r="B650">
        <v>110652</v>
      </c>
      <c r="C650">
        <v>1</v>
      </c>
      <c r="D650" t="s">
        <v>1692</v>
      </c>
      <c r="E650" t="s">
        <v>327</v>
      </c>
      <c r="F650" t="s">
        <v>1693</v>
      </c>
      <c r="G650">
        <v>6</v>
      </c>
      <c r="H650">
        <v>652</v>
      </c>
      <c r="I650" t="s">
        <v>1694</v>
      </c>
      <c r="J650">
        <v>6511</v>
      </c>
      <c r="K650" s="8">
        <f>SUMIF(SoundCast_Data!$A$2:$A$1001,RouteID_Conversion!$H$2:$H$999,SoundCast_Data!$C$2:$C$1001)</f>
        <v>227.05920410156233</v>
      </c>
      <c r="N650">
        <v>651</v>
      </c>
      <c r="O650" t="s">
        <v>449</v>
      </c>
      <c r="P650">
        <v>5003</v>
      </c>
      <c r="Q650" s="8">
        <f>SUMIF(SoundCast_Data!$Q$2:$Q$747,RouteID_Conversion!N650,SoundCast_Data!$P$2:$P$747)</f>
        <v>1.5142857450991858</v>
      </c>
    </row>
    <row r="651" spans="1:17" x14ac:dyDescent="0.25">
      <c r="A651">
        <v>912</v>
      </c>
      <c r="B651">
        <v>110653</v>
      </c>
      <c r="C651">
        <v>1</v>
      </c>
      <c r="D651" t="s">
        <v>1695</v>
      </c>
      <c r="E651" t="s">
        <v>327</v>
      </c>
      <c r="F651" t="s">
        <v>1696</v>
      </c>
      <c r="G651">
        <v>6</v>
      </c>
      <c r="H651">
        <v>653</v>
      </c>
      <c r="I651" t="s">
        <v>1694</v>
      </c>
      <c r="J651">
        <v>6511</v>
      </c>
      <c r="K651" s="8">
        <f>SUMIF(SoundCast_Data!$A$2:$A$1001,RouteID_Conversion!$H$2:$H$999,SoundCast_Data!$C$2:$C$1001)</f>
        <v>540.579200744628</v>
      </c>
      <c r="N651">
        <v>652</v>
      </c>
      <c r="O651" t="s">
        <v>449</v>
      </c>
      <c r="P651">
        <v>5003</v>
      </c>
      <c r="Q651" s="8">
        <f>SUMIF(SoundCast_Data!$Q$2:$Q$747,RouteID_Conversion!N651,SoundCast_Data!$P$2:$P$747)</f>
        <v>0.94883074425160796</v>
      </c>
    </row>
    <row r="652" spans="1:17" x14ac:dyDescent="0.25">
      <c r="A652">
        <v>913</v>
      </c>
      <c r="B652">
        <v>110654</v>
      </c>
      <c r="C652">
        <v>1</v>
      </c>
      <c r="D652" t="s">
        <v>1697</v>
      </c>
      <c r="E652" t="s">
        <v>327</v>
      </c>
      <c r="F652" t="s">
        <v>1696</v>
      </c>
      <c r="G652">
        <v>6</v>
      </c>
      <c r="H652">
        <v>654</v>
      </c>
      <c r="I652" t="s">
        <v>1694</v>
      </c>
      <c r="J652">
        <v>6511</v>
      </c>
      <c r="K652" s="8">
        <f>SUMIF(SoundCast_Data!$A$2:$A$1001,RouteID_Conversion!$H$2:$H$999,SoundCast_Data!$C$2:$C$1001)</f>
        <v>105.92420387268049</v>
      </c>
      <c r="N652">
        <v>653</v>
      </c>
      <c r="O652" t="s">
        <v>456</v>
      </c>
      <c r="P652">
        <v>5004</v>
      </c>
      <c r="Q652" s="8">
        <f>SUMIF(SoundCast_Data!$Q$2:$Q$747,RouteID_Conversion!N652,SoundCast_Data!$P$2:$P$747)</f>
        <v>0</v>
      </c>
    </row>
    <row r="653" spans="1:17" x14ac:dyDescent="0.25">
      <c r="A653">
        <v>914</v>
      </c>
      <c r="B653">
        <v>110655</v>
      </c>
      <c r="C653">
        <v>1</v>
      </c>
      <c r="D653" t="s">
        <v>1698</v>
      </c>
      <c r="E653" t="s">
        <v>327</v>
      </c>
      <c r="F653" t="s">
        <v>1699</v>
      </c>
      <c r="G653">
        <v>6</v>
      </c>
      <c r="H653">
        <v>655</v>
      </c>
      <c r="I653" t="s">
        <v>1609</v>
      </c>
      <c r="J653">
        <v>6510</v>
      </c>
      <c r="K653" s="8">
        <f>SUMIF(SoundCast_Data!$A$2:$A$1001,RouteID_Conversion!$H$2:$H$999,SoundCast_Data!$C$2:$C$1001)</f>
        <v>245.48274612426721</v>
      </c>
      <c r="N653">
        <v>654</v>
      </c>
      <c r="O653" t="s">
        <v>456</v>
      </c>
      <c r="P653">
        <v>5004</v>
      </c>
      <c r="Q653" s="8">
        <f>SUMIF(SoundCast_Data!$Q$2:$Q$747,RouteID_Conversion!N653,SoundCast_Data!$P$2:$P$747)</f>
        <v>2</v>
      </c>
    </row>
    <row r="654" spans="1:17" x14ac:dyDescent="0.25">
      <c r="A654">
        <v>855</v>
      </c>
      <c r="B654">
        <v>110656</v>
      </c>
      <c r="C654">
        <v>1</v>
      </c>
      <c r="D654" t="s">
        <v>1608</v>
      </c>
      <c r="E654" t="s">
        <v>327</v>
      </c>
      <c r="F654" t="s">
        <v>1606</v>
      </c>
      <c r="G654">
        <v>6</v>
      </c>
      <c r="H654">
        <v>656</v>
      </c>
      <c r="I654" t="s">
        <v>1609</v>
      </c>
      <c r="J654">
        <v>6510</v>
      </c>
      <c r="K654" s="8">
        <f>SUMIF(SoundCast_Data!$A$2:$A$1001,RouteID_Conversion!$H$2:$H$999,SoundCast_Data!$C$2:$C$1001)</f>
        <v>519.98291015624795</v>
      </c>
      <c r="N654">
        <v>655</v>
      </c>
      <c r="O654" t="s">
        <v>1193</v>
      </c>
      <c r="P654">
        <v>5005</v>
      </c>
      <c r="Q654" s="8">
        <f>SUMIF(SoundCast_Data!$Q$2:$Q$747,RouteID_Conversion!N654,SoundCast_Data!$P$2:$P$747)</f>
        <v>36.597662210464385</v>
      </c>
    </row>
    <row r="655" spans="1:17" x14ac:dyDescent="0.25">
      <c r="A655">
        <v>915</v>
      </c>
      <c r="B655">
        <v>110657</v>
      </c>
      <c r="C655">
        <v>1</v>
      </c>
      <c r="D655" t="s">
        <v>1700</v>
      </c>
      <c r="E655" t="s">
        <v>327</v>
      </c>
      <c r="F655" t="s">
        <v>1701</v>
      </c>
      <c r="G655">
        <v>3</v>
      </c>
      <c r="H655">
        <v>657</v>
      </c>
      <c r="I655" t="s">
        <v>1702</v>
      </c>
      <c r="J655">
        <v>3477</v>
      </c>
      <c r="K655" s="8">
        <f>SUMIF(SoundCast_Data!$A$2:$A$1001,RouteID_Conversion!$H$2:$H$999,SoundCast_Data!$C$2:$C$1001)</f>
        <v>121.77031517028799</v>
      </c>
      <c r="N655">
        <v>656</v>
      </c>
      <c r="O655" t="s">
        <v>1193</v>
      </c>
      <c r="P655">
        <v>5005</v>
      </c>
      <c r="Q655" s="8">
        <f>SUMIF(SoundCast_Data!$Q$2:$Q$747,RouteID_Conversion!N655,SoundCast_Data!$P$2:$P$747)</f>
        <v>25.399999812245333</v>
      </c>
    </row>
    <row r="656" spans="1:17" x14ac:dyDescent="0.25">
      <c r="A656">
        <v>582</v>
      </c>
      <c r="B656">
        <v>110658</v>
      </c>
      <c r="C656">
        <v>1</v>
      </c>
      <c r="D656" t="s">
        <v>1217</v>
      </c>
      <c r="E656" t="s">
        <v>327</v>
      </c>
      <c r="F656" t="s">
        <v>1218</v>
      </c>
      <c r="G656">
        <v>3</v>
      </c>
      <c r="H656">
        <v>658</v>
      </c>
      <c r="I656" t="s">
        <v>1219</v>
      </c>
      <c r="J656">
        <v>3441</v>
      </c>
      <c r="K656" s="8">
        <f>SUMIF(SoundCast_Data!$A$2:$A$1001,RouteID_Conversion!$H$2:$H$999,SoundCast_Data!$C$2:$C$1001)</f>
        <v>45.255367279052678</v>
      </c>
      <c r="N656">
        <v>657</v>
      </c>
      <c r="O656" t="s">
        <v>1361</v>
      </c>
      <c r="P656">
        <v>5006</v>
      </c>
      <c r="Q656" s="8">
        <f>SUMIF(SoundCast_Data!$Q$2:$Q$747,RouteID_Conversion!N656,SoundCast_Data!$P$2:$P$747)</f>
        <v>11.06236970424651</v>
      </c>
    </row>
    <row r="657" spans="1:17" x14ac:dyDescent="0.25">
      <c r="A657">
        <v>916</v>
      </c>
      <c r="B657">
        <v>110659</v>
      </c>
      <c r="C657">
        <v>1</v>
      </c>
      <c r="D657" t="s">
        <v>1703</v>
      </c>
      <c r="E657" t="s">
        <v>327</v>
      </c>
      <c r="F657" t="s">
        <v>1704</v>
      </c>
      <c r="G657">
        <v>3</v>
      </c>
      <c r="H657">
        <v>659</v>
      </c>
      <c r="I657" t="s">
        <v>1705</v>
      </c>
      <c r="J657">
        <v>3435</v>
      </c>
      <c r="K657" s="8">
        <f>SUMIF(SoundCast_Data!$A$2:$A$1001,RouteID_Conversion!$H$2:$H$999,SoundCast_Data!$C$2:$C$1001)</f>
        <v>96.769398689269906</v>
      </c>
      <c r="N657">
        <v>658</v>
      </c>
      <c r="O657" t="s">
        <v>1361</v>
      </c>
      <c r="P657">
        <v>5006</v>
      </c>
      <c r="Q657" s="8">
        <f>SUMIF(SoundCast_Data!$Q$2:$Q$747,RouteID_Conversion!N657,SoundCast_Data!$P$2:$P$747)</f>
        <v>12.532375454902636</v>
      </c>
    </row>
    <row r="658" spans="1:17" x14ac:dyDescent="0.25">
      <c r="A658">
        <v>856</v>
      </c>
      <c r="B658">
        <v>110660</v>
      </c>
      <c r="C658">
        <v>1</v>
      </c>
      <c r="D658" t="s">
        <v>1610</v>
      </c>
      <c r="E658" t="s">
        <v>327</v>
      </c>
      <c r="F658" t="s">
        <v>1611</v>
      </c>
      <c r="G658">
        <v>3</v>
      </c>
      <c r="H658">
        <v>660</v>
      </c>
      <c r="I658" t="s">
        <v>1612</v>
      </c>
      <c r="J658">
        <v>3425</v>
      </c>
      <c r="K658" s="8">
        <f>SUMIF(SoundCast_Data!$A$2:$A$1001,RouteID_Conversion!$H$2:$H$999,SoundCast_Data!$C$2:$C$1001)</f>
        <v>16.884640932083112</v>
      </c>
      <c r="N658">
        <v>659</v>
      </c>
      <c r="O658" t="s">
        <v>452</v>
      </c>
      <c r="P658">
        <v>5002</v>
      </c>
      <c r="Q658" s="8">
        <f>SUMIF(SoundCast_Data!$Q$2:$Q$747,RouteID_Conversion!N658,SoundCast_Data!$P$2:$P$747)</f>
        <v>27.355061531066831</v>
      </c>
    </row>
    <row r="659" spans="1:17" x14ac:dyDescent="0.25">
      <c r="A659">
        <v>822</v>
      </c>
      <c r="B659">
        <v>110661</v>
      </c>
      <c r="C659">
        <v>1</v>
      </c>
      <c r="D659" t="s">
        <v>1553</v>
      </c>
      <c r="E659" t="s">
        <v>327</v>
      </c>
      <c r="F659" t="s">
        <v>1554</v>
      </c>
      <c r="G659">
        <v>3</v>
      </c>
      <c r="H659">
        <v>661</v>
      </c>
      <c r="I659" t="s">
        <v>1555</v>
      </c>
      <c r="J659">
        <v>3424</v>
      </c>
      <c r="K659" s="8">
        <f>SUMIF(SoundCast_Data!$A$2:$A$1001,RouteID_Conversion!$H$2:$H$999,SoundCast_Data!$C$2:$C$1001)</f>
        <v>51.956288337707306</v>
      </c>
      <c r="N659">
        <v>660</v>
      </c>
      <c r="O659" t="s">
        <v>452</v>
      </c>
      <c r="P659">
        <v>5002</v>
      </c>
      <c r="Q659" s="8">
        <f>SUMIF(SoundCast_Data!$Q$2:$Q$747,RouteID_Conversion!N659,SoundCast_Data!$P$2:$P$747)</f>
        <v>27.351516991853686</v>
      </c>
    </row>
    <row r="660" spans="1:17" x14ac:dyDescent="0.25">
      <c r="A660">
        <v>857</v>
      </c>
      <c r="B660">
        <v>110662</v>
      </c>
      <c r="C660">
        <v>1</v>
      </c>
      <c r="D660" t="s">
        <v>1613</v>
      </c>
      <c r="E660" t="s">
        <v>327</v>
      </c>
      <c r="F660" t="s">
        <v>1614</v>
      </c>
      <c r="G660">
        <v>3</v>
      </c>
      <c r="H660">
        <v>662</v>
      </c>
      <c r="I660" t="s">
        <v>1615</v>
      </c>
      <c r="J660">
        <v>3422</v>
      </c>
      <c r="K660" s="8">
        <f>SUMIF(SoundCast_Data!$A$2:$A$1001,RouteID_Conversion!$H$2:$H$999,SoundCast_Data!$C$2:$C$1001)</f>
        <v>16.141591548919671</v>
      </c>
      <c r="N660">
        <v>661</v>
      </c>
      <c r="O660" t="s">
        <v>498</v>
      </c>
      <c r="P660">
        <v>5008</v>
      </c>
      <c r="Q660" s="8">
        <f>SUMIF(SoundCast_Data!$Q$2:$Q$747,RouteID_Conversion!N660,SoundCast_Data!$P$2:$P$747)</f>
        <v>4.7857144251465673</v>
      </c>
    </row>
    <row r="661" spans="1:17" x14ac:dyDescent="0.25">
      <c r="A661">
        <v>858</v>
      </c>
      <c r="B661">
        <v>110663</v>
      </c>
      <c r="C661">
        <v>1</v>
      </c>
      <c r="D661" t="s">
        <v>1616</v>
      </c>
      <c r="E661" t="s">
        <v>327</v>
      </c>
      <c r="F661" t="s">
        <v>1617</v>
      </c>
      <c r="G661">
        <v>3</v>
      </c>
      <c r="H661">
        <v>663</v>
      </c>
      <c r="I661" t="s">
        <v>1618</v>
      </c>
      <c r="J661">
        <v>3421</v>
      </c>
      <c r="K661" s="8">
        <f>SUMIF(SoundCast_Data!$A$2:$A$1001,RouteID_Conversion!$H$2:$H$999,SoundCast_Data!$C$2:$C$1001)</f>
        <v>121.5086555480956</v>
      </c>
      <c r="N661">
        <v>662</v>
      </c>
      <c r="O661" t="s">
        <v>498</v>
      </c>
      <c r="P661">
        <v>5008</v>
      </c>
      <c r="Q661" s="8">
        <f>SUMIF(SoundCast_Data!$Q$2:$Q$747,RouteID_Conversion!N661,SoundCast_Data!$P$2:$P$747)</f>
        <v>5.4511691331863315</v>
      </c>
    </row>
    <row r="662" spans="1:17" x14ac:dyDescent="0.25">
      <c r="A662">
        <v>917</v>
      </c>
      <c r="B662">
        <v>110664</v>
      </c>
      <c r="C662">
        <v>1</v>
      </c>
      <c r="D662" t="s">
        <v>1706</v>
      </c>
      <c r="E662" t="s">
        <v>327</v>
      </c>
      <c r="F662" t="s">
        <v>1707</v>
      </c>
      <c r="G662">
        <v>3</v>
      </c>
      <c r="H662">
        <v>664</v>
      </c>
      <c r="I662" t="s">
        <v>1708</v>
      </c>
      <c r="J662">
        <v>3417</v>
      </c>
      <c r="K662" s="8">
        <f>SUMIF(SoundCast_Data!$A$2:$A$1001,RouteID_Conversion!$H$2:$H$999,SoundCast_Data!$C$2:$C$1001)</f>
        <v>89.5966472625731</v>
      </c>
      <c r="N662">
        <v>663</v>
      </c>
      <c r="O662" t="s">
        <v>820</v>
      </c>
      <c r="P662">
        <v>8001</v>
      </c>
      <c r="Q662" s="8">
        <f>SUMIF(SoundCast_Data!$Q$2:$Q$747,RouteID_Conversion!N662,SoundCast_Data!$P$2:$P$747)</f>
        <v>3.0237304717302318</v>
      </c>
    </row>
    <row r="663" spans="1:17" x14ac:dyDescent="0.25">
      <c r="A663">
        <v>918</v>
      </c>
      <c r="B663">
        <v>110665</v>
      </c>
      <c r="C663">
        <v>1</v>
      </c>
      <c r="D663" t="s">
        <v>1709</v>
      </c>
      <c r="E663" t="s">
        <v>327</v>
      </c>
      <c r="F663" t="s">
        <v>1710</v>
      </c>
      <c r="G663">
        <v>3</v>
      </c>
      <c r="H663">
        <v>665</v>
      </c>
      <c r="I663" t="s">
        <v>1711</v>
      </c>
      <c r="J663">
        <v>3416</v>
      </c>
      <c r="K663" s="8">
        <f>SUMIF(SoundCast_Data!$A$2:$A$1001,RouteID_Conversion!$H$2:$H$999,SoundCast_Data!$C$2:$C$1001)</f>
        <v>215.8890495300291</v>
      </c>
      <c r="N663">
        <v>664</v>
      </c>
      <c r="O663" t="s">
        <v>820</v>
      </c>
      <c r="P663">
        <v>8001</v>
      </c>
      <c r="Q663" s="8">
        <f>SUMIF(SoundCast_Data!$Q$2:$Q$747,RouteID_Conversion!N663,SoundCast_Data!$P$2:$P$747)</f>
        <v>0</v>
      </c>
    </row>
    <row r="664" spans="1:17" x14ac:dyDescent="0.25">
      <c r="A664">
        <v>919</v>
      </c>
      <c r="B664">
        <v>110666</v>
      </c>
      <c r="C664">
        <v>1</v>
      </c>
      <c r="D664" t="s">
        <v>1712</v>
      </c>
      <c r="E664" t="s">
        <v>327</v>
      </c>
      <c r="F664" t="s">
        <v>1713</v>
      </c>
      <c r="G664">
        <v>3</v>
      </c>
      <c r="H664">
        <v>666</v>
      </c>
      <c r="I664" t="s">
        <v>1714</v>
      </c>
      <c r="J664">
        <v>3415</v>
      </c>
      <c r="K664" s="8">
        <f>SUMIF(SoundCast_Data!$A$2:$A$1001,RouteID_Conversion!$H$2:$H$999,SoundCast_Data!$C$2:$C$1001)</f>
        <v>457.05773162841695</v>
      </c>
      <c r="N664">
        <v>665</v>
      </c>
      <c r="O664" t="s">
        <v>956</v>
      </c>
      <c r="P664">
        <v>6011</v>
      </c>
      <c r="Q664" s="8">
        <f>SUMIF(SoundCast_Data!$Q$2:$Q$747,RouteID_Conversion!N664,SoundCast_Data!$P$2:$P$747)</f>
        <v>3533.439086914062</v>
      </c>
    </row>
    <row r="665" spans="1:17" x14ac:dyDescent="0.25">
      <c r="A665">
        <v>920</v>
      </c>
      <c r="B665">
        <v>110667</v>
      </c>
      <c r="C665">
        <v>1</v>
      </c>
      <c r="D665" t="s">
        <v>1715</v>
      </c>
      <c r="E665" t="s">
        <v>327</v>
      </c>
      <c r="F665" t="s">
        <v>1716</v>
      </c>
      <c r="G665">
        <v>3</v>
      </c>
      <c r="H665">
        <v>667</v>
      </c>
      <c r="I665" t="s">
        <v>1717</v>
      </c>
      <c r="J665">
        <v>3414</v>
      </c>
      <c r="K665" s="8">
        <f>SUMIF(SoundCast_Data!$A$2:$A$1001,RouteID_Conversion!$H$2:$H$999,SoundCast_Data!$C$2:$C$1001)</f>
        <v>122.64382743835439</v>
      </c>
      <c r="N665">
        <v>666</v>
      </c>
      <c r="O665" t="s">
        <v>956</v>
      </c>
      <c r="P665">
        <v>6011</v>
      </c>
      <c r="Q665" s="8">
        <f>SUMIF(SoundCast_Data!$Q$2:$Q$747,RouteID_Conversion!N665,SoundCast_Data!$P$2:$P$747)</f>
        <v>2247.3255157470689</v>
      </c>
    </row>
    <row r="666" spans="1:17" x14ac:dyDescent="0.25">
      <c r="A666">
        <v>921</v>
      </c>
      <c r="B666">
        <v>110668</v>
      </c>
      <c r="C666">
        <v>1</v>
      </c>
      <c r="D666" t="s">
        <v>1718</v>
      </c>
      <c r="E666" t="s">
        <v>327</v>
      </c>
      <c r="F666" t="s">
        <v>1719</v>
      </c>
      <c r="G666">
        <v>3</v>
      </c>
      <c r="H666">
        <v>668</v>
      </c>
      <c r="I666" t="s">
        <v>1720</v>
      </c>
      <c r="J666">
        <v>3413</v>
      </c>
      <c r="K666" s="8">
        <f>SUMIF(SoundCast_Data!$A$2:$A$1001,RouteID_Conversion!$H$2:$H$999,SoundCast_Data!$C$2:$C$1001)</f>
        <v>508.27066040038903</v>
      </c>
      <c r="N666">
        <v>667</v>
      </c>
      <c r="O666" t="s">
        <v>824</v>
      </c>
      <c r="P666">
        <v>2603</v>
      </c>
      <c r="Q666" s="8">
        <f>SUMIF(SoundCast_Data!$Q$2:$Q$747,RouteID_Conversion!N666,SoundCast_Data!$P$2:$P$747)</f>
        <v>2.198883324861526</v>
      </c>
    </row>
    <row r="667" spans="1:17" x14ac:dyDescent="0.25">
      <c r="A667">
        <v>922</v>
      </c>
      <c r="B667">
        <v>110669</v>
      </c>
      <c r="C667">
        <v>1</v>
      </c>
      <c r="D667" t="s">
        <v>1721</v>
      </c>
      <c r="E667" t="s">
        <v>327</v>
      </c>
      <c r="F667" t="s">
        <v>1722</v>
      </c>
      <c r="G667">
        <v>3</v>
      </c>
      <c r="H667">
        <v>669</v>
      </c>
      <c r="I667" t="s">
        <v>1723</v>
      </c>
      <c r="J667">
        <v>3412</v>
      </c>
      <c r="K667" s="8">
        <f>SUMIF(SoundCast_Data!$A$2:$A$1001,RouteID_Conversion!$H$2:$H$999,SoundCast_Data!$C$2:$C$1001)</f>
        <v>202.04145050048808</v>
      </c>
      <c r="N667">
        <v>668</v>
      </c>
      <c r="O667" t="s">
        <v>824</v>
      </c>
      <c r="P667">
        <v>2603</v>
      </c>
      <c r="Q667" s="8">
        <f>SUMIF(SoundCast_Data!$Q$2:$Q$747,RouteID_Conversion!N667,SoundCast_Data!$P$2:$P$747)</f>
        <v>11.112736642360682</v>
      </c>
    </row>
    <row r="668" spans="1:17" x14ac:dyDescent="0.25">
      <c r="A668">
        <v>923</v>
      </c>
      <c r="B668">
        <v>110670</v>
      </c>
      <c r="C668">
        <v>1</v>
      </c>
      <c r="D668" t="s">
        <v>1724</v>
      </c>
      <c r="E668" t="s">
        <v>327</v>
      </c>
      <c r="F668" t="s">
        <v>1725</v>
      </c>
      <c r="G668">
        <v>3</v>
      </c>
      <c r="H668">
        <v>670</v>
      </c>
      <c r="I668" t="s">
        <v>1726</v>
      </c>
      <c r="J668">
        <v>3411</v>
      </c>
      <c r="K668" s="8">
        <f>SUMIF(SoundCast_Data!$A$2:$A$1001,RouteID_Conversion!$H$2:$H$999,SoundCast_Data!$C$2:$C$1001)</f>
        <v>198.49214172363259</v>
      </c>
      <c r="N668">
        <v>669</v>
      </c>
      <c r="O668" t="s">
        <v>1108</v>
      </c>
      <c r="P668">
        <v>7012</v>
      </c>
      <c r="Q668" s="8">
        <f>SUMIF(SoundCast_Data!$Q$2:$Q$747,RouteID_Conversion!N668,SoundCast_Data!$P$2:$P$747)</f>
        <v>16.318749666213929</v>
      </c>
    </row>
    <row r="669" spans="1:17" x14ac:dyDescent="0.25">
      <c r="A669">
        <v>924</v>
      </c>
      <c r="B669">
        <v>110671</v>
      </c>
      <c r="C669">
        <v>1</v>
      </c>
      <c r="D669" t="s">
        <v>1727</v>
      </c>
      <c r="E669" t="s">
        <v>327</v>
      </c>
      <c r="F669" t="s">
        <v>1728</v>
      </c>
      <c r="G669">
        <v>3</v>
      </c>
      <c r="H669">
        <v>671</v>
      </c>
      <c r="I669" t="s">
        <v>1729</v>
      </c>
      <c r="J669">
        <v>3410</v>
      </c>
      <c r="K669" s="8">
        <f>SUMIF(SoundCast_Data!$A$2:$A$1001,RouteID_Conversion!$H$2:$H$999,SoundCast_Data!$C$2:$C$1001)</f>
        <v>175.9094963073729</v>
      </c>
      <c r="N669">
        <v>670</v>
      </c>
      <c r="O669" t="s">
        <v>1630</v>
      </c>
      <c r="P669">
        <v>7017</v>
      </c>
      <c r="Q669" s="8">
        <f>SUMIF(SoundCast_Data!$Q$2:$Q$747,RouteID_Conversion!N669,SoundCast_Data!$P$2:$P$747)</f>
        <v>58.249874114990149</v>
      </c>
    </row>
    <row r="670" spans="1:17" x14ac:dyDescent="0.25">
      <c r="A670">
        <v>925</v>
      </c>
      <c r="B670">
        <v>110672</v>
      </c>
      <c r="C670">
        <v>1</v>
      </c>
      <c r="D670" t="s">
        <v>1730</v>
      </c>
      <c r="E670" t="s">
        <v>327</v>
      </c>
      <c r="F670" t="s">
        <v>1731</v>
      </c>
      <c r="G670">
        <v>3</v>
      </c>
      <c r="H670">
        <v>672</v>
      </c>
      <c r="I670" t="s">
        <v>1732</v>
      </c>
      <c r="J670">
        <v>3408</v>
      </c>
      <c r="K670" s="8">
        <f>SUMIF(SoundCast_Data!$A$2:$A$1001,RouteID_Conversion!$H$2:$H$999,SoundCast_Data!$C$2:$C$1001)</f>
        <v>154.57762908935541</v>
      </c>
      <c r="N670">
        <v>671</v>
      </c>
      <c r="O670" t="s">
        <v>1630</v>
      </c>
      <c r="P670">
        <v>7017</v>
      </c>
      <c r="Q670" s="8">
        <f>SUMIF(SoundCast_Data!$Q$2:$Q$747,RouteID_Conversion!N670,SoundCast_Data!$P$2:$P$747)</f>
        <v>64.224493026733299</v>
      </c>
    </row>
    <row r="671" spans="1:17" x14ac:dyDescent="0.25">
      <c r="A671">
        <v>926</v>
      </c>
      <c r="B671">
        <v>110673</v>
      </c>
      <c r="C671">
        <v>1</v>
      </c>
      <c r="D671" t="s">
        <v>1733</v>
      </c>
      <c r="E671" t="s">
        <v>327</v>
      </c>
      <c r="F671" t="s">
        <v>1734</v>
      </c>
      <c r="G671">
        <v>3</v>
      </c>
      <c r="H671">
        <v>673</v>
      </c>
      <c r="I671" t="s">
        <v>1735</v>
      </c>
      <c r="J671">
        <v>3406</v>
      </c>
      <c r="K671" s="8">
        <f>SUMIF(SoundCast_Data!$A$2:$A$1001,RouteID_Conversion!$H$2:$H$999,SoundCast_Data!$C$2:$C$1001)</f>
        <v>208.51110839843687</v>
      </c>
      <c r="N671">
        <v>672</v>
      </c>
      <c r="O671" t="s">
        <v>1134</v>
      </c>
      <c r="P671">
        <v>7018</v>
      </c>
      <c r="Q671" s="8">
        <f>SUMIF(SoundCast_Data!$Q$2:$Q$747,RouteID_Conversion!N671,SoundCast_Data!$P$2:$P$747)</f>
        <v>124.24209594726538</v>
      </c>
    </row>
    <row r="672" spans="1:17" x14ac:dyDescent="0.25">
      <c r="A672">
        <v>927</v>
      </c>
      <c r="B672">
        <v>110674</v>
      </c>
      <c r="C672">
        <v>1</v>
      </c>
      <c r="D672" t="s">
        <v>1736</v>
      </c>
      <c r="E672" t="s">
        <v>327</v>
      </c>
      <c r="F672" t="s">
        <v>1737</v>
      </c>
      <c r="G672">
        <v>3</v>
      </c>
      <c r="H672">
        <v>674</v>
      </c>
      <c r="I672" t="s">
        <v>1738</v>
      </c>
      <c r="J672">
        <v>3402</v>
      </c>
      <c r="K672" s="8">
        <f>SUMIF(SoundCast_Data!$A$2:$A$1001,RouteID_Conversion!$H$2:$H$999,SoundCast_Data!$C$2:$C$1001)</f>
        <v>459.10214233398352</v>
      </c>
      <c r="N672">
        <v>673</v>
      </c>
      <c r="O672" t="s">
        <v>1134</v>
      </c>
      <c r="P672">
        <v>7018</v>
      </c>
      <c r="Q672" s="8">
        <f>SUMIF(SoundCast_Data!$Q$2:$Q$747,RouteID_Conversion!N672,SoundCast_Data!$P$2:$P$747)</f>
        <v>0</v>
      </c>
    </row>
    <row r="673" spans="1:17" x14ac:dyDescent="0.25">
      <c r="A673">
        <v>928</v>
      </c>
      <c r="B673">
        <v>110675</v>
      </c>
      <c r="C673">
        <v>1</v>
      </c>
      <c r="D673" t="s">
        <v>1739</v>
      </c>
      <c r="E673" t="s">
        <v>327</v>
      </c>
      <c r="F673" t="s">
        <v>1737</v>
      </c>
      <c r="G673">
        <v>3</v>
      </c>
      <c r="H673">
        <v>675</v>
      </c>
      <c r="I673" t="s">
        <v>1740</v>
      </c>
      <c r="J673">
        <v>3401</v>
      </c>
      <c r="K673" s="8">
        <f>SUMIF(SoundCast_Data!$A$2:$A$1001,RouteID_Conversion!$H$2:$H$999,SoundCast_Data!$C$2:$C$1001)</f>
        <v>295.51564025878878</v>
      </c>
      <c r="N673">
        <v>674</v>
      </c>
      <c r="O673" t="s">
        <v>639</v>
      </c>
      <c r="P673">
        <v>7002</v>
      </c>
      <c r="Q673" s="8">
        <f>SUMIF(SoundCast_Data!$Q$2:$Q$747,RouteID_Conversion!N673,SoundCast_Data!$P$2:$P$747)</f>
        <v>59.764469146728466</v>
      </c>
    </row>
    <row r="674" spans="1:17" x14ac:dyDescent="0.25">
      <c r="A674">
        <v>191</v>
      </c>
      <c r="B674">
        <v>110676</v>
      </c>
      <c r="C674">
        <v>1</v>
      </c>
      <c r="D674" t="s">
        <v>606</v>
      </c>
      <c r="E674" t="s">
        <v>327</v>
      </c>
      <c r="F674" t="s">
        <v>607</v>
      </c>
      <c r="G674">
        <v>3</v>
      </c>
      <c r="H674">
        <v>676</v>
      </c>
      <c r="I674" t="s">
        <v>608</v>
      </c>
      <c r="J674">
        <v>3280</v>
      </c>
      <c r="K674" s="8">
        <f>SUMIF(SoundCast_Data!$A$2:$A$1001,RouteID_Conversion!$H$2:$H$999,SoundCast_Data!$C$2:$C$1001)</f>
        <v>36.634654998779176</v>
      </c>
      <c r="N674">
        <v>675</v>
      </c>
      <c r="O674" t="s">
        <v>437</v>
      </c>
      <c r="P674">
        <v>7027</v>
      </c>
      <c r="Q674" s="8">
        <f>SUMIF(SoundCast_Data!$Q$2:$Q$747,RouteID_Conversion!N674,SoundCast_Data!$P$2:$P$747)</f>
        <v>38.687623500823918</v>
      </c>
    </row>
    <row r="675" spans="1:17" x14ac:dyDescent="0.25">
      <c r="A675">
        <v>192</v>
      </c>
      <c r="B675">
        <v>110677</v>
      </c>
      <c r="C675">
        <v>1</v>
      </c>
      <c r="D675" t="s">
        <v>609</v>
      </c>
      <c r="E675" t="s">
        <v>327</v>
      </c>
      <c r="F675" t="s">
        <v>610</v>
      </c>
      <c r="G675">
        <v>3</v>
      </c>
      <c r="H675">
        <v>677</v>
      </c>
      <c r="I675" t="s">
        <v>608</v>
      </c>
      <c r="J675">
        <v>3280</v>
      </c>
      <c r="K675" s="8">
        <f>SUMIF(SoundCast_Data!$A$2:$A$1001,RouteID_Conversion!$H$2:$H$999,SoundCast_Data!$C$2:$C$1001)</f>
        <v>93.299861907958899</v>
      </c>
      <c r="N675">
        <v>676</v>
      </c>
      <c r="O675" t="s">
        <v>437</v>
      </c>
      <c r="P675">
        <v>7027</v>
      </c>
      <c r="Q675" s="8">
        <f>SUMIF(SoundCast_Data!$Q$2:$Q$747,RouteID_Conversion!N675,SoundCast_Data!$P$2:$P$747)</f>
        <v>17.541658401489251</v>
      </c>
    </row>
    <row r="676" spans="1:17" x14ac:dyDescent="0.25">
      <c r="A676">
        <v>193</v>
      </c>
      <c r="B676">
        <v>110678</v>
      </c>
      <c r="C676">
        <v>1</v>
      </c>
      <c r="D676" t="s">
        <v>611</v>
      </c>
      <c r="E676" t="s">
        <v>327</v>
      </c>
      <c r="F676" t="s">
        <v>610</v>
      </c>
      <c r="G676">
        <v>3</v>
      </c>
      <c r="H676">
        <v>678</v>
      </c>
      <c r="I676" t="s">
        <v>608</v>
      </c>
      <c r="J676">
        <v>3280</v>
      </c>
      <c r="K676" s="8">
        <f>SUMIF(SoundCast_Data!$A$2:$A$1001,RouteID_Conversion!$H$2:$H$999,SoundCast_Data!$C$2:$C$1001)</f>
        <v>85.477617263793803</v>
      </c>
      <c r="N676">
        <v>677</v>
      </c>
      <c r="O676" t="s">
        <v>1633</v>
      </c>
      <c r="P676">
        <v>7029</v>
      </c>
      <c r="Q676" s="8">
        <f>SUMIF(SoundCast_Data!$Q$2:$Q$747,RouteID_Conversion!N676,SoundCast_Data!$P$2:$P$747)</f>
        <v>5.8154238462448005</v>
      </c>
    </row>
    <row r="677" spans="1:17" x14ac:dyDescent="0.25">
      <c r="A677">
        <v>552</v>
      </c>
      <c r="B677">
        <v>110679</v>
      </c>
      <c r="C677">
        <v>1</v>
      </c>
      <c r="D677" t="s">
        <v>1167</v>
      </c>
      <c r="E677" t="s">
        <v>327</v>
      </c>
      <c r="F677" t="s">
        <v>1168</v>
      </c>
      <c r="G677">
        <v>3</v>
      </c>
      <c r="H677">
        <v>679</v>
      </c>
      <c r="I677" t="s">
        <v>1102</v>
      </c>
      <c r="J677">
        <v>3275</v>
      </c>
      <c r="K677" s="8">
        <f>SUMIF(SoundCast_Data!$A$2:$A$1001,RouteID_Conversion!$H$2:$H$999,SoundCast_Data!$C$2:$C$1001)</f>
        <v>38.487792015075499</v>
      </c>
      <c r="N677">
        <v>678</v>
      </c>
      <c r="O677" t="s">
        <v>1633</v>
      </c>
      <c r="P677">
        <v>7029</v>
      </c>
      <c r="Q677" s="8">
        <f>SUMIF(SoundCast_Data!$Q$2:$Q$747,RouteID_Conversion!N677,SoundCast_Data!$P$2:$P$747)</f>
        <v>154.62940025329581</v>
      </c>
    </row>
    <row r="678" spans="1:17" x14ac:dyDescent="0.25">
      <c r="A678">
        <v>500</v>
      </c>
      <c r="B678">
        <v>110680</v>
      </c>
      <c r="C678">
        <v>1</v>
      </c>
      <c r="D678" t="s">
        <v>1100</v>
      </c>
      <c r="E678" t="s">
        <v>327</v>
      </c>
      <c r="F678" t="s">
        <v>1101</v>
      </c>
      <c r="G678">
        <v>3</v>
      </c>
      <c r="H678">
        <v>680</v>
      </c>
      <c r="I678" t="s">
        <v>1102</v>
      </c>
      <c r="J678">
        <v>3275</v>
      </c>
      <c r="K678" s="8">
        <f>SUMIF(SoundCast_Data!$A$2:$A$1001,RouteID_Conversion!$H$2:$H$999,SoundCast_Data!$C$2:$C$1001)</f>
        <v>54.24796295166</v>
      </c>
      <c r="N678">
        <v>679</v>
      </c>
      <c r="O678" t="s">
        <v>1137</v>
      </c>
      <c r="P678">
        <v>7003</v>
      </c>
      <c r="Q678" s="8">
        <f>SUMIF(SoundCast_Data!$Q$2:$Q$747,RouteID_Conversion!N678,SoundCast_Data!$P$2:$P$747)</f>
        <v>105.18508434295639</v>
      </c>
    </row>
    <row r="679" spans="1:17" x14ac:dyDescent="0.25">
      <c r="A679">
        <v>553</v>
      </c>
      <c r="B679">
        <v>110681</v>
      </c>
      <c r="C679">
        <v>1</v>
      </c>
      <c r="D679" t="s">
        <v>1169</v>
      </c>
      <c r="E679" t="s">
        <v>327</v>
      </c>
      <c r="F679" t="s">
        <v>1170</v>
      </c>
      <c r="G679">
        <v>3</v>
      </c>
      <c r="H679">
        <v>681</v>
      </c>
      <c r="I679" t="s">
        <v>1088</v>
      </c>
      <c r="J679">
        <v>3270</v>
      </c>
      <c r="K679" s="8">
        <f>SUMIF(SoundCast_Data!$A$2:$A$1001,RouteID_Conversion!$H$2:$H$999,SoundCast_Data!$C$2:$C$1001)</f>
        <v>42.323882102966103</v>
      </c>
      <c r="N679">
        <v>680</v>
      </c>
      <c r="O679" t="s">
        <v>1137</v>
      </c>
      <c r="P679">
        <v>7003</v>
      </c>
      <c r="Q679" s="8">
        <f>SUMIF(SoundCast_Data!$Q$2:$Q$747,RouteID_Conversion!N679,SoundCast_Data!$P$2:$P$747)</f>
        <v>167.29289627075127</v>
      </c>
    </row>
    <row r="680" spans="1:17" x14ac:dyDescent="0.25">
      <c r="A680">
        <v>493</v>
      </c>
      <c r="B680">
        <v>110682</v>
      </c>
      <c r="C680">
        <v>1</v>
      </c>
      <c r="D680" t="s">
        <v>1086</v>
      </c>
      <c r="E680" t="s">
        <v>327</v>
      </c>
      <c r="F680" t="s">
        <v>1087</v>
      </c>
      <c r="G680">
        <v>3</v>
      </c>
      <c r="H680">
        <v>682</v>
      </c>
      <c r="I680" t="s">
        <v>1088</v>
      </c>
      <c r="J680">
        <v>3270</v>
      </c>
      <c r="K680" s="8">
        <f>SUMIF(SoundCast_Data!$A$2:$A$1001,RouteID_Conversion!$H$2:$H$999,SoundCast_Data!$C$2:$C$1001)</f>
        <v>234.21035003662098</v>
      </c>
      <c r="N680">
        <v>681</v>
      </c>
      <c r="O680" t="s">
        <v>641</v>
      </c>
      <c r="P680">
        <v>7004</v>
      </c>
      <c r="Q680" s="8">
        <f>SUMIF(SoundCast_Data!$Q$2:$Q$747,RouteID_Conversion!N680,SoundCast_Data!$P$2:$P$747)</f>
        <v>167.3136978149405</v>
      </c>
    </row>
    <row r="681" spans="1:17" x14ac:dyDescent="0.25">
      <c r="A681">
        <v>481</v>
      </c>
      <c r="B681">
        <v>110683</v>
      </c>
      <c r="C681">
        <v>1</v>
      </c>
      <c r="D681" t="s">
        <v>1063</v>
      </c>
      <c r="E681" t="s">
        <v>327</v>
      </c>
      <c r="F681" t="s">
        <v>1064</v>
      </c>
      <c r="G681">
        <v>3</v>
      </c>
      <c r="H681">
        <v>683</v>
      </c>
      <c r="I681" t="s">
        <v>1065</v>
      </c>
      <c r="J681">
        <v>3240</v>
      </c>
      <c r="K681" s="8">
        <f>SUMIF(SoundCast_Data!$A$2:$A$1001,RouteID_Conversion!$H$2:$H$999,SoundCast_Data!$C$2:$C$1001)</f>
        <v>27.49333286285399</v>
      </c>
      <c r="N681">
        <v>682</v>
      </c>
      <c r="O681" t="s">
        <v>463</v>
      </c>
      <c r="P681">
        <v>7005</v>
      </c>
      <c r="Q681" s="8">
        <f>SUMIF(SoundCast_Data!$Q$2:$Q$747,RouteID_Conversion!N681,SoundCast_Data!$P$2:$P$747)</f>
        <v>4.7279350757598806</v>
      </c>
    </row>
    <row r="682" spans="1:17" x14ac:dyDescent="0.25">
      <c r="A682">
        <v>482</v>
      </c>
      <c r="B682">
        <v>110684</v>
      </c>
      <c r="C682">
        <v>1</v>
      </c>
      <c r="D682" t="s">
        <v>1066</v>
      </c>
      <c r="E682" t="s">
        <v>327</v>
      </c>
      <c r="F682" t="s">
        <v>1067</v>
      </c>
      <c r="G682">
        <v>3</v>
      </c>
      <c r="H682">
        <v>684</v>
      </c>
      <c r="I682" t="s">
        <v>1065</v>
      </c>
      <c r="J682">
        <v>3240</v>
      </c>
      <c r="K682" s="8">
        <f>SUMIF(SoundCast_Data!$A$2:$A$1001,RouteID_Conversion!$H$2:$H$999,SoundCast_Data!$C$2:$C$1001)</f>
        <v>32.908887863159165</v>
      </c>
      <c r="N682">
        <v>683</v>
      </c>
      <c r="O682" t="s">
        <v>463</v>
      </c>
      <c r="P682">
        <v>7005</v>
      </c>
      <c r="Q682" s="8">
        <f>SUMIF(SoundCast_Data!$Q$2:$Q$747,RouteID_Conversion!N682,SoundCast_Data!$P$2:$P$747)</f>
        <v>0</v>
      </c>
    </row>
    <row r="683" spans="1:17" x14ac:dyDescent="0.25">
      <c r="A683">
        <v>554</v>
      </c>
      <c r="B683">
        <v>110685</v>
      </c>
      <c r="C683">
        <v>1</v>
      </c>
      <c r="D683" t="s">
        <v>1171</v>
      </c>
      <c r="E683" t="s">
        <v>327</v>
      </c>
      <c r="F683" t="s">
        <v>1172</v>
      </c>
      <c r="G683">
        <v>3</v>
      </c>
      <c r="H683">
        <v>685</v>
      </c>
      <c r="I683" t="s">
        <v>1173</v>
      </c>
      <c r="J683">
        <v>3230</v>
      </c>
      <c r="K683" s="8">
        <f>SUMIF(SoundCast_Data!$A$2:$A$1001,RouteID_Conversion!$H$2:$H$999,SoundCast_Data!$C$2:$C$1001)</f>
        <v>6.6000000238418401</v>
      </c>
      <c r="N683">
        <v>684</v>
      </c>
      <c r="O683" t="s">
        <v>466</v>
      </c>
      <c r="P683">
        <v>7007</v>
      </c>
      <c r="Q683" s="8">
        <f>SUMIF(SoundCast_Data!$Q$2:$Q$747,RouteID_Conversion!N683,SoundCast_Data!$P$2:$P$747)</f>
        <v>11.460691452026349</v>
      </c>
    </row>
    <row r="684" spans="1:17" x14ac:dyDescent="0.25">
      <c r="A684">
        <v>555</v>
      </c>
      <c r="B684">
        <v>110686</v>
      </c>
      <c r="C684">
        <v>1</v>
      </c>
      <c r="D684" t="s">
        <v>1174</v>
      </c>
      <c r="E684" t="s">
        <v>327</v>
      </c>
      <c r="F684" t="s">
        <v>1175</v>
      </c>
      <c r="G684">
        <v>3</v>
      </c>
      <c r="H684">
        <v>686</v>
      </c>
      <c r="I684" t="s">
        <v>1173</v>
      </c>
      <c r="J684">
        <v>3230</v>
      </c>
      <c r="K684" s="8">
        <f>SUMIF(SoundCast_Data!$A$2:$A$1001,RouteID_Conversion!$H$2:$H$999,SoundCast_Data!$C$2:$C$1001)</f>
        <v>18.209257841110219</v>
      </c>
      <c r="N684">
        <v>685</v>
      </c>
      <c r="O684" t="s">
        <v>466</v>
      </c>
      <c r="P684">
        <v>7007</v>
      </c>
      <c r="Q684" s="8">
        <f>SUMIF(SoundCast_Data!$Q$2:$Q$747,RouteID_Conversion!N684,SoundCast_Data!$P$2:$P$747)</f>
        <v>342.3893203735351</v>
      </c>
    </row>
    <row r="685" spans="1:17" x14ac:dyDescent="0.25">
      <c r="A685">
        <v>556</v>
      </c>
      <c r="B685">
        <v>110687</v>
      </c>
      <c r="C685">
        <v>1</v>
      </c>
      <c r="D685" t="s">
        <v>1176</v>
      </c>
      <c r="E685" t="s">
        <v>327</v>
      </c>
      <c r="F685" t="s">
        <v>1177</v>
      </c>
      <c r="G685">
        <v>3</v>
      </c>
      <c r="H685">
        <v>687</v>
      </c>
      <c r="I685" t="s">
        <v>1178</v>
      </c>
      <c r="J685">
        <v>3222</v>
      </c>
      <c r="K685" s="8">
        <f>SUMIF(SoundCast_Data!$A$2:$A$1001,RouteID_Conversion!$H$2:$H$999,SoundCast_Data!$C$2:$C$1001)</f>
        <v>34.771154403686431</v>
      </c>
      <c r="N685">
        <v>686</v>
      </c>
      <c r="O685" t="s">
        <v>1110</v>
      </c>
      <c r="P685">
        <v>7701</v>
      </c>
      <c r="Q685" s="8">
        <f>SUMIF(SoundCast_Data!$Q$2:$Q$747,RouteID_Conversion!N685,SoundCast_Data!$P$2:$P$747)</f>
        <v>77.143173217773295</v>
      </c>
    </row>
    <row r="686" spans="1:17" x14ac:dyDescent="0.25">
      <c r="A686">
        <v>557</v>
      </c>
      <c r="B686">
        <v>110688</v>
      </c>
      <c r="C686">
        <v>1</v>
      </c>
      <c r="D686" t="s">
        <v>1179</v>
      </c>
      <c r="E686" t="s">
        <v>327</v>
      </c>
      <c r="F686" t="s">
        <v>1180</v>
      </c>
      <c r="G686">
        <v>3</v>
      </c>
      <c r="H686">
        <v>688</v>
      </c>
      <c r="I686" t="s">
        <v>1178</v>
      </c>
      <c r="J686">
        <v>3222</v>
      </c>
      <c r="K686" s="8">
        <f>SUMIF(SoundCast_Data!$A$2:$A$1001,RouteID_Conversion!$H$2:$H$999,SoundCast_Data!$C$2:$C$1001)</f>
        <v>23.101602554321271</v>
      </c>
      <c r="N686">
        <v>687</v>
      </c>
      <c r="O686" t="s">
        <v>1110</v>
      </c>
      <c r="P686">
        <v>7701</v>
      </c>
      <c r="Q686" s="8">
        <f>SUMIF(SoundCast_Data!$Q$2:$Q$747,RouteID_Conversion!N686,SoundCast_Data!$P$2:$P$747)</f>
        <v>35.370282649993797</v>
      </c>
    </row>
    <row r="687" spans="1:17" x14ac:dyDescent="0.25">
      <c r="A687">
        <v>194</v>
      </c>
      <c r="B687">
        <v>110689</v>
      </c>
      <c r="C687">
        <v>1</v>
      </c>
      <c r="D687" t="s">
        <v>612</v>
      </c>
      <c r="E687" t="s">
        <v>327</v>
      </c>
      <c r="F687" t="s">
        <v>613</v>
      </c>
      <c r="G687">
        <v>3</v>
      </c>
      <c r="H687">
        <v>689</v>
      </c>
      <c r="I687" t="s">
        <v>614</v>
      </c>
      <c r="J687">
        <v>3221</v>
      </c>
      <c r="K687" s="8">
        <f>SUMIF(SoundCast_Data!$A$2:$A$1001,RouteID_Conversion!$H$2:$H$999,SoundCast_Data!$C$2:$C$1001)</f>
        <v>19.375550270080559</v>
      </c>
      <c r="N687">
        <v>688</v>
      </c>
      <c r="O687" t="s">
        <v>1270</v>
      </c>
      <c r="P687">
        <v>7072</v>
      </c>
      <c r="Q687" s="8">
        <f>SUMIF(SoundCast_Data!$Q$2:$Q$747,RouteID_Conversion!N687,SoundCast_Data!$P$2:$P$747)</f>
        <v>0</v>
      </c>
    </row>
    <row r="688" spans="1:17" x14ac:dyDescent="0.25">
      <c r="A688">
        <v>195</v>
      </c>
      <c r="B688">
        <v>110690</v>
      </c>
      <c r="C688">
        <v>1</v>
      </c>
      <c r="D688" t="s">
        <v>615</v>
      </c>
      <c r="E688" t="s">
        <v>327</v>
      </c>
      <c r="F688" t="s">
        <v>616</v>
      </c>
      <c r="G688">
        <v>3</v>
      </c>
      <c r="H688">
        <v>690</v>
      </c>
      <c r="I688" t="s">
        <v>614</v>
      </c>
      <c r="J688">
        <v>3221</v>
      </c>
      <c r="K688" s="8">
        <f>SUMIF(SoundCast_Data!$A$2:$A$1001,RouteID_Conversion!$H$2:$H$999,SoundCast_Data!$C$2:$C$1001)</f>
        <v>80.581039428710795</v>
      </c>
      <c r="N688">
        <v>689</v>
      </c>
      <c r="O688" t="s">
        <v>1472</v>
      </c>
      <c r="P688">
        <v>7008</v>
      </c>
      <c r="Q688" s="8">
        <f>SUMIF(SoundCast_Data!$Q$2:$Q$747,RouteID_Conversion!N688,SoundCast_Data!$P$2:$P$747)</f>
        <v>2.3068182468414302</v>
      </c>
    </row>
    <row r="689" spans="1:17" x14ac:dyDescent="0.25">
      <c r="A689">
        <v>859</v>
      </c>
      <c r="B689">
        <v>110691</v>
      </c>
      <c r="C689">
        <v>1</v>
      </c>
      <c r="D689" t="s">
        <v>1619</v>
      </c>
      <c r="E689" t="s">
        <v>327</v>
      </c>
      <c r="F689" t="s">
        <v>1620</v>
      </c>
      <c r="G689">
        <v>3</v>
      </c>
      <c r="H689">
        <v>691</v>
      </c>
      <c r="I689" t="s">
        <v>1621</v>
      </c>
      <c r="J689">
        <v>3202</v>
      </c>
      <c r="K689" s="8">
        <f>SUMIF(SoundCast_Data!$A$2:$A$1001,RouteID_Conversion!$H$2:$H$999,SoundCast_Data!$C$2:$C$1001)</f>
        <v>413.43810272216706</v>
      </c>
      <c r="N689">
        <v>690</v>
      </c>
      <c r="O689" t="s">
        <v>1472</v>
      </c>
      <c r="P689">
        <v>7008</v>
      </c>
      <c r="Q689" s="8">
        <f>SUMIF(SoundCast_Data!$Q$2:$Q$747,RouteID_Conversion!N689,SoundCast_Data!$P$2:$P$747)</f>
        <v>78.214852333068706</v>
      </c>
    </row>
    <row r="690" spans="1:17" x14ac:dyDescent="0.25">
      <c r="A690">
        <v>860</v>
      </c>
      <c r="B690">
        <v>110692</v>
      </c>
      <c r="C690">
        <v>1</v>
      </c>
      <c r="D690" t="s">
        <v>1622</v>
      </c>
      <c r="E690" t="s">
        <v>327</v>
      </c>
      <c r="F690" t="s">
        <v>1623</v>
      </c>
      <c r="G690">
        <v>3</v>
      </c>
      <c r="H690">
        <v>692</v>
      </c>
      <c r="I690" t="s">
        <v>1621</v>
      </c>
      <c r="J690">
        <v>3202</v>
      </c>
      <c r="K690" s="8">
        <f>SUMIF(SoundCast_Data!$A$2:$A$1001,RouteID_Conversion!$H$2:$H$999,SoundCast_Data!$C$2:$C$1001)</f>
        <v>113.6541728973388</v>
      </c>
      <c r="N690">
        <v>691</v>
      </c>
      <c r="O690" t="s">
        <v>468</v>
      </c>
      <c r="P690">
        <v>7009</v>
      </c>
      <c r="Q690" s="8">
        <f>SUMIF(SoundCast_Data!$Q$2:$Q$747,RouteID_Conversion!N690,SoundCast_Data!$P$2:$P$747)</f>
        <v>2.66814205050468</v>
      </c>
    </row>
    <row r="691" spans="1:17" x14ac:dyDescent="0.25">
      <c r="A691">
        <v>861</v>
      </c>
      <c r="B691">
        <v>110693</v>
      </c>
      <c r="C691">
        <v>1</v>
      </c>
      <c r="D691" t="s">
        <v>1624</v>
      </c>
      <c r="E691" t="s">
        <v>327</v>
      </c>
      <c r="F691" t="s">
        <v>1620</v>
      </c>
      <c r="G691">
        <v>3</v>
      </c>
      <c r="H691">
        <v>693</v>
      </c>
      <c r="I691" t="s">
        <v>1625</v>
      </c>
      <c r="J691">
        <v>3201</v>
      </c>
      <c r="K691" s="8">
        <f>SUMIF(SoundCast_Data!$A$2:$A$1001,RouteID_Conversion!$H$2:$H$999,SoundCast_Data!$C$2:$C$1001)</f>
        <v>418.31829071044797</v>
      </c>
      <c r="N691">
        <v>692</v>
      </c>
      <c r="O691" t="s">
        <v>468</v>
      </c>
      <c r="P691">
        <v>7009</v>
      </c>
      <c r="Q691" s="8">
        <f>SUMIF(SoundCast_Data!$Q$2:$Q$747,RouteID_Conversion!N691,SoundCast_Data!$P$2:$P$747)</f>
        <v>341.12192916870112</v>
      </c>
    </row>
    <row r="692" spans="1:17" x14ac:dyDescent="0.25">
      <c r="A692">
        <v>862</v>
      </c>
      <c r="B692">
        <v>110694</v>
      </c>
      <c r="C692">
        <v>1</v>
      </c>
      <c r="D692" t="s">
        <v>1626</v>
      </c>
      <c r="E692" t="s">
        <v>327</v>
      </c>
      <c r="F692" t="s">
        <v>1623</v>
      </c>
      <c r="G692">
        <v>3</v>
      </c>
      <c r="H692">
        <v>694</v>
      </c>
      <c r="I692" t="s">
        <v>1625</v>
      </c>
      <c r="J692">
        <v>3201</v>
      </c>
      <c r="K692" s="8">
        <f>SUMIF(SoundCast_Data!$A$2:$A$1001,RouteID_Conversion!$H$2:$H$999,SoundCast_Data!$C$2:$C$1001)</f>
        <v>538.38638305664006</v>
      </c>
      <c r="N692">
        <v>693</v>
      </c>
      <c r="O692" t="s">
        <v>1062</v>
      </c>
      <c r="P692">
        <v>7025</v>
      </c>
      <c r="Q692" s="8">
        <f>SUMIF(SoundCast_Data!$Q$2:$Q$747,RouteID_Conversion!N692,SoundCast_Data!$P$2:$P$747)</f>
        <v>119.9202766418455</v>
      </c>
    </row>
    <row r="693" spans="1:17" x14ac:dyDescent="0.25">
      <c r="A693">
        <v>863</v>
      </c>
      <c r="B693">
        <v>110695</v>
      </c>
      <c r="C693">
        <v>1</v>
      </c>
      <c r="D693" t="s">
        <v>1627</v>
      </c>
      <c r="E693" t="s">
        <v>327</v>
      </c>
      <c r="F693" t="s">
        <v>1623</v>
      </c>
      <c r="G693">
        <v>3</v>
      </c>
      <c r="H693">
        <v>695</v>
      </c>
      <c r="I693" t="s">
        <v>1628</v>
      </c>
      <c r="J693">
        <v>3200</v>
      </c>
      <c r="K693" s="8">
        <f>SUMIF(SoundCast_Data!$A$2:$A$1001,RouteID_Conversion!$H$2:$H$999,SoundCast_Data!$C$2:$C$1001)</f>
        <v>502.26646423339702</v>
      </c>
      <c r="N693">
        <v>694</v>
      </c>
      <c r="O693" t="s">
        <v>1434</v>
      </c>
      <c r="P693">
        <v>7014</v>
      </c>
      <c r="Q693" s="8">
        <f>SUMIF(SoundCast_Data!$Q$2:$Q$747,RouteID_Conversion!N693,SoundCast_Data!$P$2:$P$747)</f>
        <v>29.368859291076621</v>
      </c>
    </row>
    <row r="694" spans="1:17" x14ac:dyDescent="0.25">
      <c r="A694">
        <v>196</v>
      </c>
      <c r="B694">
        <v>110696</v>
      </c>
      <c r="C694">
        <v>1</v>
      </c>
      <c r="D694" t="s">
        <v>617</v>
      </c>
      <c r="E694" t="s">
        <v>327</v>
      </c>
      <c r="F694" t="s">
        <v>618</v>
      </c>
      <c r="G694">
        <v>3</v>
      </c>
      <c r="H694">
        <v>696</v>
      </c>
      <c r="I694" t="s">
        <v>619</v>
      </c>
      <c r="J694">
        <v>3190</v>
      </c>
      <c r="K694" s="8">
        <f>SUMIF(SoundCast_Data!$A$2:$A$1001,RouteID_Conversion!$H$2:$H$999,SoundCast_Data!$C$2:$C$1001)</f>
        <v>28.435123443603487</v>
      </c>
      <c r="N694">
        <v>695</v>
      </c>
      <c r="O694" t="s">
        <v>491</v>
      </c>
      <c r="P694">
        <v>4005</v>
      </c>
      <c r="Q694" s="8">
        <f>SUMIF(SoundCast_Data!$Q$2:$Q$747,RouteID_Conversion!N694,SoundCast_Data!$P$2:$P$747)</f>
        <v>0</v>
      </c>
    </row>
    <row r="695" spans="1:17" x14ac:dyDescent="0.25">
      <c r="A695">
        <v>558</v>
      </c>
      <c r="B695">
        <v>110697</v>
      </c>
      <c r="C695">
        <v>1</v>
      </c>
      <c r="D695" t="s">
        <v>1181</v>
      </c>
      <c r="E695" t="s">
        <v>327</v>
      </c>
      <c r="F695" t="s">
        <v>1182</v>
      </c>
      <c r="G695">
        <v>3</v>
      </c>
      <c r="H695">
        <v>697</v>
      </c>
      <c r="I695" t="s">
        <v>1183</v>
      </c>
      <c r="J695">
        <v>3131</v>
      </c>
      <c r="K695" s="8">
        <f>SUMIF(SoundCast_Data!$A$2:$A$1001,RouteID_Conversion!$H$2:$H$999,SoundCast_Data!$C$2:$C$1001)</f>
        <v>48.397427558898698</v>
      </c>
      <c r="N695">
        <v>696</v>
      </c>
      <c r="O695" t="s">
        <v>491</v>
      </c>
      <c r="P695">
        <v>4005</v>
      </c>
      <c r="Q695" s="8">
        <f>SUMIF(SoundCast_Data!$Q$2:$Q$747,RouteID_Conversion!N695,SoundCast_Data!$P$2:$P$747)</f>
        <v>0</v>
      </c>
    </row>
    <row r="696" spans="1:17" x14ac:dyDescent="0.25">
      <c r="A696">
        <v>559</v>
      </c>
      <c r="B696">
        <v>110698</v>
      </c>
      <c r="C696">
        <v>1</v>
      </c>
      <c r="D696" t="s">
        <v>1184</v>
      </c>
      <c r="E696" t="s">
        <v>327</v>
      </c>
      <c r="F696" t="s">
        <v>1185</v>
      </c>
      <c r="G696">
        <v>3</v>
      </c>
      <c r="H696">
        <v>698</v>
      </c>
      <c r="I696" t="s">
        <v>1183</v>
      </c>
      <c r="J696">
        <v>3131</v>
      </c>
      <c r="K696" s="8">
        <f>SUMIF(SoundCast_Data!$A$2:$A$1001,RouteID_Conversion!$H$2:$H$999,SoundCast_Data!$C$2:$C$1001)</f>
        <v>66.759008407592603</v>
      </c>
      <c r="N696">
        <v>697</v>
      </c>
      <c r="O696" t="s">
        <v>846</v>
      </c>
      <c r="P696">
        <v>4011</v>
      </c>
      <c r="Q696" s="8">
        <f>SUMIF(SoundCast_Data!$Q$2:$Q$747,RouteID_Conversion!N696,SoundCast_Data!$P$2:$P$747)</f>
        <v>46.608633995056138</v>
      </c>
    </row>
    <row r="697" spans="1:17" x14ac:dyDescent="0.25">
      <c r="A697">
        <v>197</v>
      </c>
      <c r="B697">
        <v>110699</v>
      </c>
      <c r="C697">
        <v>1</v>
      </c>
      <c r="D697" t="s">
        <v>620</v>
      </c>
      <c r="E697" t="s">
        <v>327</v>
      </c>
      <c r="F697" t="s">
        <v>621</v>
      </c>
      <c r="G697">
        <v>3</v>
      </c>
      <c r="H697">
        <v>699</v>
      </c>
      <c r="I697" t="s">
        <v>622</v>
      </c>
      <c r="J697">
        <v>3130</v>
      </c>
      <c r="K697" s="8">
        <f>SUMIF(SoundCast_Data!$A$2:$A$1001,RouteID_Conversion!$H$2:$H$999,SoundCast_Data!$C$2:$C$1001)</f>
        <v>53.9114408493041</v>
      </c>
      <c r="N697">
        <v>698</v>
      </c>
      <c r="O697" t="s">
        <v>846</v>
      </c>
      <c r="P697">
        <v>4011</v>
      </c>
      <c r="Q697" s="8">
        <f>SUMIF(SoundCast_Data!$Q$2:$Q$747,RouteID_Conversion!N697,SoundCast_Data!$P$2:$P$747)</f>
        <v>45.275146961212116</v>
      </c>
    </row>
    <row r="698" spans="1:17" x14ac:dyDescent="0.25">
      <c r="A698">
        <v>198</v>
      </c>
      <c r="B698">
        <v>110700</v>
      </c>
      <c r="C698">
        <v>1</v>
      </c>
      <c r="D698" t="s">
        <v>623</v>
      </c>
      <c r="E698" t="s">
        <v>327</v>
      </c>
      <c r="F698" t="s">
        <v>624</v>
      </c>
      <c r="G698">
        <v>3</v>
      </c>
      <c r="H698">
        <v>700</v>
      </c>
      <c r="I698" t="s">
        <v>622</v>
      </c>
      <c r="J698">
        <v>3130</v>
      </c>
      <c r="K698" s="8">
        <f>SUMIF(SoundCast_Data!$A$2:$A$1001,RouteID_Conversion!$H$2:$H$999,SoundCast_Data!$C$2:$C$1001)</f>
        <v>43.787658691406101</v>
      </c>
      <c r="N698">
        <v>699</v>
      </c>
      <c r="O698" t="s">
        <v>1442</v>
      </c>
      <c r="P698">
        <v>4013</v>
      </c>
      <c r="Q698" s="8">
        <f>SUMIF(SoundCast_Data!$Q$2:$Q$747,RouteID_Conversion!N698,SoundCast_Data!$P$2:$P$747)</f>
        <v>122.03957462310771</v>
      </c>
    </row>
    <row r="699" spans="1:17" x14ac:dyDescent="0.25">
      <c r="A699">
        <v>199</v>
      </c>
      <c r="B699">
        <v>110701</v>
      </c>
      <c r="C699">
        <v>1</v>
      </c>
      <c r="D699" t="s">
        <v>625</v>
      </c>
      <c r="E699" t="s">
        <v>327</v>
      </c>
      <c r="F699" t="s">
        <v>626</v>
      </c>
      <c r="G699">
        <v>3</v>
      </c>
      <c r="H699">
        <v>701</v>
      </c>
      <c r="I699" t="s">
        <v>627</v>
      </c>
      <c r="J699">
        <v>3121</v>
      </c>
      <c r="K699" s="8">
        <f>SUMIF(SoundCast_Data!$A$2:$A$1001,RouteID_Conversion!$H$2:$H$999,SoundCast_Data!$C$2:$C$1001)</f>
        <v>113.2059764862059</v>
      </c>
      <c r="N699">
        <v>700</v>
      </c>
      <c r="O699" t="s">
        <v>1442</v>
      </c>
      <c r="P699">
        <v>4013</v>
      </c>
      <c r="Q699" s="8">
        <f>SUMIF(SoundCast_Data!$Q$2:$Q$747,RouteID_Conversion!N699,SoundCast_Data!$P$2:$P$747)</f>
        <v>168.96378135681078</v>
      </c>
    </row>
    <row r="700" spans="1:17" x14ac:dyDescent="0.25">
      <c r="A700">
        <v>200</v>
      </c>
      <c r="B700">
        <v>110702</v>
      </c>
      <c r="C700">
        <v>1</v>
      </c>
      <c r="D700" t="s">
        <v>628</v>
      </c>
      <c r="E700" t="s">
        <v>327</v>
      </c>
      <c r="F700" t="s">
        <v>440</v>
      </c>
      <c r="G700">
        <v>3</v>
      </c>
      <c r="H700">
        <v>702</v>
      </c>
      <c r="I700" t="s">
        <v>627</v>
      </c>
      <c r="J700">
        <v>3121</v>
      </c>
      <c r="K700" s="8">
        <f>SUMIF(SoundCast_Data!$A$2:$A$1001,RouteID_Conversion!$H$2:$H$999,SoundCast_Data!$C$2:$C$1001)</f>
        <v>79.083467483520394</v>
      </c>
      <c r="N700">
        <v>701</v>
      </c>
      <c r="O700" t="s">
        <v>645</v>
      </c>
      <c r="P700">
        <v>4017</v>
      </c>
      <c r="Q700" s="8">
        <f>SUMIF(SoundCast_Data!$Q$2:$Q$747,RouteID_Conversion!N700,SoundCast_Data!$P$2:$P$747)</f>
        <v>119.0395689010619</v>
      </c>
    </row>
    <row r="701" spans="1:17" x14ac:dyDescent="0.25">
      <c r="A701">
        <v>79</v>
      </c>
      <c r="B701">
        <v>110703</v>
      </c>
      <c r="C701">
        <v>1</v>
      </c>
      <c r="D701" t="s">
        <v>439</v>
      </c>
      <c r="E701" t="s">
        <v>327</v>
      </c>
      <c r="F701" t="s">
        <v>440</v>
      </c>
      <c r="G701">
        <v>3</v>
      </c>
      <c r="H701">
        <v>703</v>
      </c>
      <c r="I701" t="s">
        <v>441</v>
      </c>
      <c r="J701">
        <v>3120</v>
      </c>
      <c r="K701" s="8">
        <f>SUMIF(SoundCast_Data!$A$2:$A$1001,RouteID_Conversion!$H$2:$H$999,SoundCast_Data!$C$2:$C$1001)</f>
        <v>15.13291311264037</v>
      </c>
      <c r="N701">
        <v>702</v>
      </c>
      <c r="O701" t="s">
        <v>645</v>
      </c>
      <c r="P701">
        <v>4017</v>
      </c>
      <c r="Q701" s="8">
        <f>SUMIF(SoundCast_Data!$Q$2:$Q$747,RouteID_Conversion!N701,SoundCast_Data!$P$2:$P$747)</f>
        <v>141.89025688171378</v>
      </c>
    </row>
    <row r="702" spans="1:17" x14ac:dyDescent="0.25">
      <c r="A702">
        <v>583</v>
      </c>
      <c r="B702">
        <v>110704</v>
      </c>
      <c r="C702">
        <v>1</v>
      </c>
      <c r="D702" t="s">
        <v>1220</v>
      </c>
      <c r="E702" t="s">
        <v>327</v>
      </c>
      <c r="F702" t="s">
        <v>1221</v>
      </c>
      <c r="G702">
        <v>3</v>
      </c>
      <c r="H702">
        <v>704</v>
      </c>
      <c r="I702" t="s">
        <v>1222</v>
      </c>
      <c r="J702">
        <v>3119</v>
      </c>
      <c r="K702" s="8">
        <f>SUMIF(SoundCast_Data!$A$2:$A$1001,RouteID_Conversion!$H$2:$H$999,SoundCast_Data!$C$2:$C$1001)</f>
        <v>28.13792133331291</v>
      </c>
      <c r="N702">
        <v>703</v>
      </c>
      <c r="O702" t="s">
        <v>964</v>
      </c>
      <c r="P702">
        <v>4020</v>
      </c>
      <c r="Q702" s="8">
        <f>SUMIF(SoundCast_Data!$Q$2:$Q$747,RouteID_Conversion!N702,SoundCast_Data!$P$2:$P$747)</f>
        <v>56.012763023376465</v>
      </c>
    </row>
    <row r="703" spans="1:17" x14ac:dyDescent="0.25">
      <c r="A703">
        <v>584</v>
      </c>
      <c r="B703">
        <v>110705</v>
      </c>
      <c r="C703">
        <v>1</v>
      </c>
      <c r="D703" t="s">
        <v>1223</v>
      </c>
      <c r="E703" t="s">
        <v>327</v>
      </c>
      <c r="F703" t="s">
        <v>1224</v>
      </c>
      <c r="G703">
        <v>3</v>
      </c>
      <c r="H703">
        <v>705</v>
      </c>
      <c r="I703" t="s">
        <v>1222</v>
      </c>
      <c r="J703">
        <v>3119</v>
      </c>
      <c r="K703" s="8">
        <f>SUMIF(SoundCast_Data!$A$2:$A$1001,RouteID_Conversion!$H$2:$H$999,SoundCast_Data!$C$2:$C$1001)</f>
        <v>26.333264350891092</v>
      </c>
      <c r="N703">
        <v>704</v>
      </c>
      <c r="O703" t="s">
        <v>964</v>
      </c>
      <c r="P703">
        <v>4020</v>
      </c>
      <c r="Q703" s="8">
        <f>SUMIF(SoundCast_Data!$Q$2:$Q$747,RouteID_Conversion!N703,SoundCast_Data!$P$2:$P$747)</f>
        <v>33.171311855316134</v>
      </c>
    </row>
    <row r="704" spans="1:17" x14ac:dyDescent="0.25">
      <c r="A704">
        <v>585</v>
      </c>
      <c r="B704">
        <v>110706</v>
      </c>
      <c r="C704">
        <v>1</v>
      </c>
      <c r="D704" t="s">
        <v>1225</v>
      </c>
      <c r="E704" t="s">
        <v>327</v>
      </c>
      <c r="F704" t="s">
        <v>1226</v>
      </c>
      <c r="G704">
        <v>3</v>
      </c>
      <c r="H704">
        <v>706</v>
      </c>
      <c r="I704" t="s">
        <v>1227</v>
      </c>
      <c r="J704">
        <v>3118</v>
      </c>
      <c r="K704" s="8">
        <f>SUMIF(SoundCast_Data!$A$2:$A$1001,RouteID_Conversion!$H$2:$H$999,SoundCast_Data!$C$2:$C$1001)</f>
        <v>127.4322376251219</v>
      </c>
      <c r="N704">
        <v>705</v>
      </c>
      <c r="O704" t="s">
        <v>1452</v>
      </c>
      <c r="P704">
        <v>4021</v>
      </c>
      <c r="Q704" s="8">
        <f>SUMIF(SoundCast_Data!$Q$2:$Q$747,RouteID_Conversion!N704,SoundCast_Data!$P$2:$P$747)</f>
        <v>32.394576549530029</v>
      </c>
    </row>
    <row r="705" spans="1:17" x14ac:dyDescent="0.25">
      <c r="A705">
        <v>586</v>
      </c>
      <c r="B705">
        <v>110707</v>
      </c>
      <c r="C705">
        <v>1</v>
      </c>
      <c r="D705" t="s">
        <v>1228</v>
      </c>
      <c r="E705" t="s">
        <v>327</v>
      </c>
      <c r="F705" t="s">
        <v>1229</v>
      </c>
      <c r="G705">
        <v>3</v>
      </c>
      <c r="H705">
        <v>707</v>
      </c>
      <c r="I705" t="s">
        <v>1227</v>
      </c>
      <c r="J705">
        <v>3118</v>
      </c>
      <c r="K705" s="8">
        <f>SUMIF(SoundCast_Data!$A$2:$A$1001,RouteID_Conversion!$H$2:$H$999,SoundCast_Data!$C$2:$C$1001)</f>
        <v>148.44323730468739</v>
      </c>
      <c r="N705">
        <v>706</v>
      </c>
      <c r="O705" t="s">
        <v>1452</v>
      </c>
      <c r="P705">
        <v>4021</v>
      </c>
      <c r="Q705" s="8">
        <f>SUMIF(SoundCast_Data!$Q$2:$Q$747,RouteID_Conversion!N705,SoundCast_Data!$P$2:$P$747)</f>
        <v>61.899844169616557</v>
      </c>
    </row>
    <row r="706" spans="1:17" x14ac:dyDescent="0.25">
      <c r="A706">
        <v>589</v>
      </c>
      <c r="B706">
        <v>110708</v>
      </c>
      <c r="C706">
        <v>1</v>
      </c>
      <c r="D706" t="s">
        <v>1235</v>
      </c>
      <c r="E706" t="s">
        <v>327</v>
      </c>
      <c r="F706" t="s">
        <v>1236</v>
      </c>
      <c r="G706">
        <v>3</v>
      </c>
      <c r="H706">
        <v>708</v>
      </c>
      <c r="I706" t="s">
        <v>1237</v>
      </c>
      <c r="J706">
        <v>3116</v>
      </c>
      <c r="K706" s="8">
        <f>SUMIF(SoundCast_Data!$A$2:$A$1001,RouteID_Conversion!$H$2:$H$999,SoundCast_Data!$C$2:$C$1001)</f>
        <v>175.0686111450193</v>
      </c>
      <c r="N706">
        <v>707</v>
      </c>
      <c r="O706" t="s">
        <v>850</v>
      </c>
      <c r="P706">
        <v>4023</v>
      </c>
      <c r="Q706" s="8">
        <f>SUMIF(SoundCast_Data!$Q$2:$Q$747,RouteID_Conversion!N706,SoundCast_Data!$P$2:$P$747)</f>
        <v>13.303997993469231</v>
      </c>
    </row>
    <row r="707" spans="1:17" x14ac:dyDescent="0.25">
      <c r="A707">
        <v>590</v>
      </c>
      <c r="B707">
        <v>110709</v>
      </c>
      <c r="C707">
        <v>1</v>
      </c>
      <c r="D707" t="s">
        <v>1238</v>
      </c>
      <c r="E707" t="s">
        <v>327</v>
      </c>
      <c r="F707" t="s">
        <v>1239</v>
      </c>
      <c r="G707">
        <v>3</v>
      </c>
      <c r="H707">
        <v>709</v>
      </c>
      <c r="I707" t="s">
        <v>1237</v>
      </c>
      <c r="J707">
        <v>3116</v>
      </c>
      <c r="K707" s="8">
        <f>SUMIF(SoundCast_Data!$A$2:$A$1001,RouteID_Conversion!$H$2:$H$999,SoundCast_Data!$C$2:$C$1001)</f>
        <v>308.83708953857251</v>
      </c>
      <c r="N707">
        <v>708</v>
      </c>
      <c r="O707" t="s">
        <v>850</v>
      </c>
      <c r="P707">
        <v>4023</v>
      </c>
      <c r="Q707" s="8">
        <f>SUMIF(SoundCast_Data!$Q$2:$Q$747,RouteID_Conversion!N707,SoundCast_Data!$P$2:$P$747)</f>
        <v>15.934524536132709</v>
      </c>
    </row>
    <row r="708" spans="1:17" x14ac:dyDescent="0.25">
      <c r="A708">
        <v>591</v>
      </c>
      <c r="B708">
        <v>110710</v>
      </c>
      <c r="C708">
        <v>1</v>
      </c>
      <c r="D708" t="s">
        <v>1240</v>
      </c>
      <c r="E708" t="s">
        <v>327</v>
      </c>
      <c r="F708" t="s">
        <v>1236</v>
      </c>
      <c r="G708">
        <v>3</v>
      </c>
      <c r="H708">
        <v>710</v>
      </c>
      <c r="I708" t="s">
        <v>1241</v>
      </c>
      <c r="J708">
        <v>3115</v>
      </c>
      <c r="K708" s="8">
        <f>SUMIF(SoundCast_Data!$A$2:$A$1001,RouteID_Conversion!$H$2:$H$999,SoundCast_Data!$C$2:$C$1001)</f>
        <v>225.12568283081043</v>
      </c>
      <c r="N708">
        <v>709</v>
      </c>
      <c r="O708" t="s">
        <v>1023</v>
      </c>
      <c r="P708">
        <v>4025</v>
      </c>
      <c r="Q708" s="8">
        <f>SUMIF(SoundCast_Data!$Q$2:$Q$747,RouteID_Conversion!N708,SoundCast_Data!$P$2:$P$747)</f>
        <v>51.378523349761863</v>
      </c>
    </row>
    <row r="709" spans="1:17" x14ac:dyDescent="0.25">
      <c r="A709">
        <v>592</v>
      </c>
      <c r="B709">
        <v>110711</v>
      </c>
      <c r="C709">
        <v>1</v>
      </c>
      <c r="D709" t="s">
        <v>1242</v>
      </c>
      <c r="E709" t="s">
        <v>327</v>
      </c>
      <c r="F709" t="s">
        <v>1239</v>
      </c>
      <c r="G709">
        <v>3</v>
      </c>
      <c r="H709">
        <v>711</v>
      </c>
      <c r="I709" t="s">
        <v>1241</v>
      </c>
      <c r="J709">
        <v>3115</v>
      </c>
      <c r="K709" s="8">
        <f>SUMIF(SoundCast_Data!$A$2:$A$1001,RouteID_Conversion!$H$2:$H$999,SoundCast_Data!$C$2:$C$1001)</f>
        <v>320.14096832275249</v>
      </c>
      <c r="N709">
        <v>710</v>
      </c>
      <c r="O709" t="s">
        <v>1023</v>
      </c>
      <c r="P709">
        <v>4025</v>
      </c>
      <c r="Q709" s="8">
        <f>SUMIF(SoundCast_Data!$Q$2:$Q$747,RouteID_Conversion!N709,SoundCast_Data!$P$2:$P$747)</f>
        <v>46.881233692169033</v>
      </c>
    </row>
    <row r="710" spans="1:17" x14ac:dyDescent="0.25">
      <c r="A710">
        <v>587</v>
      </c>
      <c r="B710">
        <v>110712</v>
      </c>
      <c r="C710">
        <v>1</v>
      </c>
      <c r="D710" t="s">
        <v>1230</v>
      </c>
      <c r="E710" t="s">
        <v>327</v>
      </c>
      <c r="F710" t="s">
        <v>1231</v>
      </c>
      <c r="G710">
        <v>3</v>
      </c>
      <c r="H710">
        <v>712</v>
      </c>
      <c r="I710" t="s">
        <v>1232</v>
      </c>
      <c r="J710">
        <v>3113</v>
      </c>
      <c r="K710" s="8">
        <f>SUMIF(SoundCast_Data!$A$2:$A$1001,RouteID_Conversion!$H$2:$H$999,SoundCast_Data!$C$2:$C$1001)</f>
        <v>306.59046173095533</v>
      </c>
      <c r="N710">
        <v>711</v>
      </c>
      <c r="O710" t="s">
        <v>831</v>
      </c>
      <c r="P710">
        <v>4026</v>
      </c>
      <c r="Q710" s="8">
        <f>SUMIF(SoundCast_Data!$Q$2:$Q$747,RouteID_Conversion!N710,SoundCast_Data!$P$2:$P$747)</f>
        <v>53.803366661071721</v>
      </c>
    </row>
    <row r="711" spans="1:17" x14ac:dyDescent="0.25">
      <c r="A711">
        <v>588</v>
      </c>
      <c r="B711">
        <v>110713</v>
      </c>
      <c r="C711">
        <v>1</v>
      </c>
      <c r="D711" t="s">
        <v>1233</v>
      </c>
      <c r="E711" t="s">
        <v>327</v>
      </c>
      <c r="F711" t="s">
        <v>1234</v>
      </c>
      <c r="G711">
        <v>3</v>
      </c>
      <c r="H711">
        <v>713</v>
      </c>
      <c r="I711" t="s">
        <v>1232</v>
      </c>
      <c r="J711">
        <v>3113</v>
      </c>
      <c r="K711" s="8">
        <f>SUMIF(SoundCast_Data!$A$2:$A$1001,RouteID_Conversion!$H$2:$H$999,SoundCast_Data!$C$2:$C$1001)</f>
        <v>310.85955810546699</v>
      </c>
      <c r="N711">
        <v>712</v>
      </c>
      <c r="O711" t="s">
        <v>831</v>
      </c>
      <c r="P711">
        <v>4026</v>
      </c>
      <c r="Q711" s="8">
        <f>SUMIF(SoundCast_Data!$Q$2:$Q$747,RouteID_Conversion!N711,SoundCast_Data!$P$2:$P$747)</f>
        <v>48.228313922881981</v>
      </c>
    </row>
    <row r="712" spans="1:17" x14ac:dyDescent="0.25">
      <c r="A712">
        <v>999</v>
      </c>
      <c r="B712">
        <v>110714</v>
      </c>
      <c r="C712">
        <v>1</v>
      </c>
      <c r="D712" t="s">
        <v>1835</v>
      </c>
      <c r="E712" t="s">
        <v>327</v>
      </c>
      <c r="F712" t="s">
        <v>1836</v>
      </c>
      <c r="G712">
        <v>3</v>
      </c>
      <c r="H712">
        <v>714</v>
      </c>
      <c r="I712" t="s">
        <v>1132</v>
      </c>
      <c r="J712">
        <v>3112</v>
      </c>
      <c r="K712" s="8">
        <f>SUMIF(SoundCast_Data!$A$2:$A$1001,RouteID_Conversion!$H$2:$H$999,SoundCast_Data!$C$2:$C$1001)</f>
        <v>118.57891273498521</v>
      </c>
      <c r="N712">
        <v>713</v>
      </c>
      <c r="O712" t="s">
        <v>1456</v>
      </c>
      <c r="P712">
        <v>4029</v>
      </c>
      <c r="Q712" s="8">
        <f>SUMIF(SoundCast_Data!$Q$2:$Q$747,RouteID_Conversion!N712,SoundCast_Data!$P$2:$P$747)</f>
        <v>74.213768959045296</v>
      </c>
    </row>
    <row r="713" spans="1:17" x14ac:dyDescent="0.25">
      <c r="A713">
        <v>523</v>
      </c>
      <c r="B713">
        <v>110715</v>
      </c>
      <c r="C713">
        <v>1</v>
      </c>
      <c r="D713" t="s">
        <v>1130</v>
      </c>
      <c r="E713" t="s">
        <v>327</v>
      </c>
      <c r="F713" t="s">
        <v>1131</v>
      </c>
      <c r="G713">
        <v>3</v>
      </c>
      <c r="H713">
        <v>715</v>
      </c>
      <c r="I713" t="s">
        <v>1132</v>
      </c>
      <c r="J713">
        <v>3112</v>
      </c>
      <c r="K713" s="8">
        <f>SUMIF(SoundCast_Data!$A$2:$A$1001,RouteID_Conversion!$H$2:$H$999,SoundCast_Data!$C$2:$C$1001)</f>
        <v>157.03816986083979</v>
      </c>
      <c r="N713">
        <v>714</v>
      </c>
      <c r="O713" t="s">
        <v>1456</v>
      </c>
      <c r="P713">
        <v>4029</v>
      </c>
      <c r="Q713" s="8">
        <f>SUMIF(SoundCast_Data!$Q$2:$Q$747,RouteID_Conversion!N713,SoundCast_Data!$P$2:$P$747)</f>
        <v>52.586966514587374</v>
      </c>
    </row>
    <row r="714" spans="1:17" x14ac:dyDescent="0.25">
      <c r="A714">
        <v>560</v>
      </c>
      <c r="B714">
        <v>110716</v>
      </c>
      <c r="C714">
        <v>1</v>
      </c>
      <c r="D714" t="s">
        <v>1186</v>
      </c>
      <c r="E714" t="s">
        <v>327</v>
      </c>
      <c r="F714" t="s">
        <v>1187</v>
      </c>
      <c r="G714">
        <v>3</v>
      </c>
      <c r="H714">
        <v>716</v>
      </c>
      <c r="I714" t="s">
        <v>1188</v>
      </c>
      <c r="J714">
        <v>3110</v>
      </c>
      <c r="K714" s="8">
        <f>SUMIF(SoundCast_Data!$A$2:$A$1001,RouteID_Conversion!$H$2:$H$999,SoundCast_Data!$C$2:$C$1001)</f>
        <v>22.851533889770501</v>
      </c>
      <c r="N714">
        <v>715</v>
      </c>
      <c r="O714" t="s">
        <v>649</v>
      </c>
      <c r="P714">
        <v>4034</v>
      </c>
      <c r="Q714" s="8">
        <f>SUMIF(SoundCast_Data!$Q$2:$Q$747,RouteID_Conversion!N714,SoundCast_Data!$P$2:$P$747)</f>
        <v>2</v>
      </c>
    </row>
    <row r="715" spans="1:17" x14ac:dyDescent="0.25">
      <c r="A715">
        <v>561</v>
      </c>
      <c r="B715">
        <v>110717</v>
      </c>
      <c r="C715">
        <v>1</v>
      </c>
      <c r="D715" t="s">
        <v>1189</v>
      </c>
      <c r="E715" t="s">
        <v>327</v>
      </c>
      <c r="F715" t="s">
        <v>1190</v>
      </c>
      <c r="G715">
        <v>3</v>
      </c>
      <c r="H715">
        <v>717</v>
      </c>
      <c r="I715" t="s">
        <v>1188</v>
      </c>
      <c r="J715">
        <v>3110</v>
      </c>
      <c r="K715" s="8">
        <f>SUMIF(SoundCast_Data!$A$2:$A$1001,RouteID_Conversion!$H$2:$H$999,SoundCast_Data!$C$2:$C$1001)</f>
        <v>54.996224403381298</v>
      </c>
      <c r="N715">
        <v>716</v>
      </c>
      <c r="O715" t="s">
        <v>511</v>
      </c>
      <c r="P715">
        <v>4501</v>
      </c>
      <c r="Q715" s="8">
        <f>SUMIF(SoundCast_Data!$Q$2:$Q$747,RouteID_Conversion!N715,SoundCast_Data!$P$2:$P$747)</f>
        <v>98.600000381469599</v>
      </c>
    </row>
    <row r="716" spans="1:17" x14ac:dyDescent="0.25">
      <c r="A716">
        <v>119</v>
      </c>
      <c r="B716">
        <v>110718</v>
      </c>
      <c r="C716">
        <v>1</v>
      </c>
      <c r="D716" t="s">
        <v>517</v>
      </c>
      <c r="E716" t="s">
        <v>327</v>
      </c>
      <c r="F716" t="s">
        <v>518</v>
      </c>
      <c r="G716">
        <v>3</v>
      </c>
      <c r="H716">
        <v>718</v>
      </c>
      <c r="I716" t="s">
        <v>519</v>
      </c>
      <c r="J716">
        <v>3106</v>
      </c>
      <c r="K716" s="8">
        <f>SUMIF(SoundCast_Data!$A$2:$A$1001,RouteID_Conversion!$H$2:$H$999,SoundCast_Data!$C$2:$C$1001)</f>
        <v>24.19845294952389</v>
      </c>
      <c r="N716">
        <v>717</v>
      </c>
      <c r="O716" t="s">
        <v>511</v>
      </c>
      <c r="P716">
        <v>4501</v>
      </c>
      <c r="Q716" s="8">
        <f>SUMIF(SoundCast_Data!$Q$2:$Q$747,RouteID_Conversion!N716,SoundCast_Data!$P$2:$P$747)</f>
        <v>80.299998283386131</v>
      </c>
    </row>
    <row r="717" spans="1:17" x14ac:dyDescent="0.25">
      <c r="A717">
        <v>120</v>
      </c>
      <c r="B717">
        <v>110719</v>
      </c>
      <c r="C717">
        <v>1</v>
      </c>
      <c r="D717" t="s">
        <v>520</v>
      </c>
      <c r="E717" t="s">
        <v>327</v>
      </c>
      <c r="F717" t="s">
        <v>521</v>
      </c>
      <c r="G717">
        <v>3</v>
      </c>
      <c r="H717">
        <v>719</v>
      </c>
      <c r="I717" t="s">
        <v>519</v>
      </c>
      <c r="J717">
        <v>3106</v>
      </c>
      <c r="K717" s="8">
        <f>SUMIF(SoundCast_Data!$A$2:$A$1001,RouteID_Conversion!$H$2:$H$999,SoundCast_Data!$C$2:$C$1001)</f>
        <v>24.952971935272167</v>
      </c>
      <c r="N717">
        <v>718</v>
      </c>
      <c r="O717" t="s">
        <v>688</v>
      </c>
      <c r="P717">
        <v>4090</v>
      </c>
      <c r="Q717" s="8">
        <f>SUMIF(SoundCast_Data!$Q$2:$Q$747,RouteID_Conversion!N717,SoundCast_Data!$P$2:$P$747)</f>
        <v>46.27271318435664</v>
      </c>
    </row>
    <row r="718" spans="1:17" x14ac:dyDescent="0.25">
      <c r="A718">
        <v>201</v>
      </c>
      <c r="B718">
        <v>110720</v>
      </c>
      <c r="C718">
        <v>1</v>
      </c>
      <c r="D718" t="s">
        <v>629</v>
      </c>
      <c r="E718" t="s">
        <v>327</v>
      </c>
      <c r="F718" t="s">
        <v>518</v>
      </c>
      <c r="G718">
        <v>3</v>
      </c>
      <c r="H718">
        <v>720</v>
      </c>
      <c r="I718" t="s">
        <v>630</v>
      </c>
      <c r="J718">
        <v>3105</v>
      </c>
      <c r="K718" s="8">
        <f>SUMIF(SoundCast_Data!$A$2:$A$1001,RouteID_Conversion!$H$2:$H$999,SoundCast_Data!$C$2:$C$1001)</f>
        <v>199.43454360961908</v>
      </c>
      <c r="N718">
        <v>719</v>
      </c>
      <c r="O718" t="s">
        <v>688</v>
      </c>
      <c r="P718">
        <v>4090</v>
      </c>
      <c r="Q718" s="8">
        <f>SUMIF(SoundCast_Data!$Q$2:$Q$747,RouteID_Conversion!N718,SoundCast_Data!$P$2:$P$747)</f>
        <v>66.260650157928438</v>
      </c>
    </row>
    <row r="719" spans="1:17" x14ac:dyDescent="0.25">
      <c r="A719">
        <v>202</v>
      </c>
      <c r="B719">
        <v>110721</v>
      </c>
      <c r="C719">
        <v>1</v>
      </c>
      <c r="D719" t="s">
        <v>631</v>
      </c>
      <c r="E719" t="s">
        <v>327</v>
      </c>
      <c r="F719" t="s">
        <v>632</v>
      </c>
      <c r="G719">
        <v>3</v>
      </c>
      <c r="H719">
        <v>721</v>
      </c>
      <c r="I719" t="s">
        <v>630</v>
      </c>
      <c r="J719">
        <v>3105</v>
      </c>
      <c r="K719" s="8">
        <f>SUMIF(SoundCast_Data!$A$2:$A$1001,RouteID_Conversion!$H$2:$H$999,SoundCast_Data!$C$2:$C$1001)</f>
        <v>205.92885971069322</v>
      </c>
      <c r="N719">
        <v>720</v>
      </c>
      <c r="O719" t="s">
        <v>688</v>
      </c>
      <c r="P719">
        <v>4090</v>
      </c>
      <c r="Q719" s="8">
        <f>SUMIF(SoundCast_Data!$Q$2:$Q$747,RouteID_Conversion!N719,SoundCast_Data!$P$2:$P$747)</f>
        <v>13.63842046260833</v>
      </c>
    </row>
    <row r="720" spans="1:17" x14ac:dyDescent="0.25">
      <c r="A720">
        <v>203</v>
      </c>
      <c r="B720">
        <v>110722</v>
      </c>
      <c r="C720">
        <v>1</v>
      </c>
      <c r="D720" t="s">
        <v>633</v>
      </c>
      <c r="E720" t="s">
        <v>327</v>
      </c>
      <c r="F720" t="s">
        <v>634</v>
      </c>
      <c r="G720">
        <v>3</v>
      </c>
      <c r="H720">
        <v>722</v>
      </c>
      <c r="I720" t="s">
        <v>635</v>
      </c>
      <c r="J720">
        <v>3101</v>
      </c>
      <c r="K720" s="8">
        <f>SUMIF(SoundCast_Data!$A$2:$A$1001,RouteID_Conversion!$H$2:$H$999,SoundCast_Data!$C$2:$C$1001)</f>
        <v>287.56840515136702</v>
      </c>
      <c r="N720">
        <v>721</v>
      </c>
      <c r="O720" t="s">
        <v>688</v>
      </c>
      <c r="P720">
        <v>4090</v>
      </c>
      <c r="Q720" s="8">
        <f>SUMIF(SoundCast_Data!$Q$2:$Q$747,RouteID_Conversion!N720,SoundCast_Data!$P$2:$P$747)</f>
        <v>19.98989725112909</v>
      </c>
    </row>
    <row r="721" spans="1:17" x14ac:dyDescent="0.25">
      <c r="A721">
        <v>204</v>
      </c>
      <c r="B721">
        <v>110723</v>
      </c>
      <c r="C721">
        <v>1</v>
      </c>
      <c r="D721" t="s">
        <v>636</v>
      </c>
      <c r="E721" t="s">
        <v>327</v>
      </c>
      <c r="F721" t="s">
        <v>637</v>
      </c>
      <c r="G721">
        <v>3</v>
      </c>
      <c r="H721">
        <v>723</v>
      </c>
      <c r="I721" t="s">
        <v>635</v>
      </c>
      <c r="J721">
        <v>3101</v>
      </c>
      <c r="K721" s="8">
        <f>SUMIF(SoundCast_Data!$A$2:$A$1001,RouteID_Conversion!$H$2:$H$999,SoundCast_Data!$C$2:$C$1001)</f>
        <v>321.75199127197163</v>
      </c>
      <c r="N721">
        <v>722</v>
      </c>
      <c r="O721" t="s">
        <v>502</v>
      </c>
      <c r="P721">
        <v>4091</v>
      </c>
      <c r="Q721" s="8">
        <f>SUMIF(SoundCast_Data!$Q$2:$Q$747,RouteID_Conversion!N721,SoundCast_Data!$P$2:$P$747)</f>
        <v>1.0191263705492011</v>
      </c>
    </row>
    <row r="722" spans="1:17" x14ac:dyDescent="0.25">
      <c r="A722">
        <v>929</v>
      </c>
      <c r="B722">
        <v>110724</v>
      </c>
      <c r="C722">
        <v>1</v>
      </c>
      <c r="D722" t="s">
        <v>1741</v>
      </c>
      <c r="E722" t="s">
        <v>327</v>
      </c>
      <c r="F722" t="s">
        <v>1710</v>
      </c>
      <c r="G722">
        <v>3</v>
      </c>
      <c r="H722">
        <v>724</v>
      </c>
      <c r="I722" t="s">
        <v>1742</v>
      </c>
      <c r="J722">
        <v>3404</v>
      </c>
      <c r="K722" s="8">
        <f>SUMIF(SoundCast_Data!$A$2:$A$1001,RouteID_Conversion!$H$2:$H$999,SoundCast_Data!$C$2:$C$1001)</f>
        <v>183.84166717529291</v>
      </c>
      <c r="N722">
        <v>723</v>
      </c>
      <c r="O722" t="s">
        <v>649</v>
      </c>
      <c r="P722">
        <v>4034</v>
      </c>
      <c r="Q722" s="8">
        <f>SUMIF(SoundCast_Data!$Q$2:$Q$747,RouteID_Conversion!N722,SoundCast_Data!$P$2:$P$747)</f>
        <v>3.8016890287399261</v>
      </c>
    </row>
    <row r="723" spans="1:17" x14ac:dyDescent="0.25">
      <c r="A723">
        <v>659</v>
      </c>
      <c r="B723">
        <v>110725</v>
      </c>
      <c r="C723">
        <v>1</v>
      </c>
      <c r="D723" t="s">
        <v>1321</v>
      </c>
      <c r="E723" t="s">
        <v>327</v>
      </c>
      <c r="F723" t="s">
        <v>1322</v>
      </c>
      <c r="G723">
        <v>2</v>
      </c>
      <c r="H723">
        <v>725</v>
      </c>
      <c r="I723" t="s">
        <v>1323</v>
      </c>
      <c r="J723">
        <v>2061</v>
      </c>
      <c r="K723" s="8">
        <f>SUMIF(SoundCast_Data!$A$2:$A$1001,RouteID_Conversion!$H$2:$H$999,SoundCast_Data!$C$2:$C$1001)</f>
        <v>30.80744409561148</v>
      </c>
      <c r="N723">
        <v>724</v>
      </c>
      <c r="O723" t="s">
        <v>664</v>
      </c>
      <c r="P723">
        <v>4092</v>
      </c>
      <c r="Q723" s="8">
        <f>SUMIF(SoundCast_Data!$Q$2:$Q$747,RouteID_Conversion!N723,SoundCast_Data!$P$2:$P$747)</f>
        <v>25.162885904312109</v>
      </c>
    </row>
    <row r="724" spans="1:17" x14ac:dyDescent="0.25">
      <c r="A724">
        <v>660</v>
      </c>
      <c r="B724">
        <v>110726</v>
      </c>
      <c r="C724">
        <v>1</v>
      </c>
      <c r="D724" t="s">
        <v>1324</v>
      </c>
      <c r="E724" t="s">
        <v>327</v>
      </c>
      <c r="F724" t="s">
        <v>1322</v>
      </c>
      <c r="G724">
        <v>2</v>
      </c>
      <c r="H724">
        <v>726</v>
      </c>
      <c r="I724" t="s">
        <v>1323</v>
      </c>
      <c r="J724">
        <v>2061</v>
      </c>
      <c r="K724" s="8">
        <f>SUMIF(SoundCast_Data!$A$2:$A$1001,RouteID_Conversion!$H$2:$H$999,SoundCast_Data!$C$2:$C$1001)</f>
        <v>85.239858627319194</v>
      </c>
      <c r="N724">
        <v>725</v>
      </c>
      <c r="O724" t="s">
        <v>664</v>
      </c>
      <c r="P724">
        <v>4092</v>
      </c>
      <c r="Q724" s="8">
        <f>SUMIF(SoundCast_Data!$Q$2:$Q$747,RouteID_Conversion!N724,SoundCast_Data!$P$2:$P$747)</f>
        <v>33.548474311828549</v>
      </c>
    </row>
    <row r="725" spans="1:17" x14ac:dyDescent="0.25">
      <c r="A725">
        <v>479</v>
      </c>
      <c r="B725">
        <v>110727</v>
      </c>
      <c r="C725">
        <v>1</v>
      </c>
      <c r="D725" t="s">
        <v>1058</v>
      </c>
      <c r="E725" t="s">
        <v>327</v>
      </c>
      <c r="F725" t="s">
        <v>1059</v>
      </c>
      <c r="G725">
        <v>2</v>
      </c>
      <c r="H725">
        <v>727</v>
      </c>
      <c r="I725" t="s">
        <v>1060</v>
      </c>
      <c r="J725">
        <v>2601</v>
      </c>
      <c r="K725" s="8">
        <f>SUMIF(SoundCast_Data!$A$2:$A$1001,RouteID_Conversion!$H$2:$H$999,SoundCast_Data!$C$2:$C$1001)</f>
        <v>20.122513294219949</v>
      </c>
      <c r="N725">
        <v>726</v>
      </c>
      <c r="O725" t="s">
        <v>853</v>
      </c>
      <c r="P725">
        <v>4086</v>
      </c>
      <c r="Q725" s="8">
        <f>SUMIF(SoundCast_Data!$Q$2:$Q$747,RouteID_Conversion!N725,SoundCast_Data!$P$2:$P$747)</f>
        <v>2.11111116409301</v>
      </c>
    </row>
    <row r="726" spans="1:17" x14ac:dyDescent="0.25">
      <c r="A726">
        <v>661</v>
      </c>
      <c r="B726">
        <v>110728</v>
      </c>
      <c r="C726">
        <v>1</v>
      </c>
      <c r="D726" t="s">
        <v>1325</v>
      </c>
      <c r="E726" t="s">
        <v>327</v>
      </c>
      <c r="F726" t="s">
        <v>1326</v>
      </c>
      <c r="G726">
        <v>2</v>
      </c>
      <c r="H726">
        <v>728</v>
      </c>
      <c r="I726" t="s">
        <v>1327</v>
      </c>
      <c r="J726">
        <v>2060</v>
      </c>
      <c r="K726" s="8">
        <f>SUMIF(SoundCast_Data!$A$2:$A$1001,RouteID_Conversion!$H$2:$H$999,SoundCast_Data!$C$2:$C$1001)</f>
        <v>99.078796386718608</v>
      </c>
      <c r="N726">
        <v>727</v>
      </c>
      <c r="O726" t="s">
        <v>853</v>
      </c>
      <c r="P726">
        <v>4086</v>
      </c>
      <c r="Q726" s="8">
        <f>SUMIF(SoundCast_Data!$Q$2:$Q$747,RouteID_Conversion!N726,SoundCast_Data!$P$2:$P$747)</f>
        <v>0.53846155107021265</v>
      </c>
    </row>
    <row r="727" spans="1:17" x14ac:dyDescent="0.25">
      <c r="A727">
        <v>491</v>
      </c>
      <c r="B727">
        <v>110729</v>
      </c>
      <c r="C727">
        <v>1</v>
      </c>
      <c r="D727" t="s">
        <v>1082</v>
      </c>
      <c r="E727" t="s">
        <v>327</v>
      </c>
      <c r="F727" t="s">
        <v>1083</v>
      </c>
      <c r="G727">
        <v>6</v>
      </c>
      <c r="H727">
        <v>729</v>
      </c>
      <c r="I727" t="s">
        <v>427</v>
      </c>
      <c r="J727">
        <v>6599</v>
      </c>
      <c r="K727" s="8">
        <f>SUMIF(SoundCast_Data!$A$2:$A$1001,RouteID_Conversion!$H$2:$H$999,SoundCast_Data!$C$2:$C$1001)</f>
        <v>8.6244659423827894</v>
      </c>
      <c r="N727">
        <v>728</v>
      </c>
      <c r="O727" t="s">
        <v>1999</v>
      </c>
      <c r="P727">
        <v>4043</v>
      </c>
      <c r="Q727" s="8">
        <f>SUMIF(SoundCast_Data!$Q$2:$Q$747,RouteID_Conversion!N727,SoundCast_Data!$P$2:$P$747)</f>
        <v>4.4424358606338403</v>
      </c>
    </row>
    <row r="728" spans="1:17" x14ac:dyDescent="0.25">
      <c r="A728">
        <v>492</v>
      </c>
      <c r="B728">
        <v>110730</v>
      </c>
      <c r="C728">
        <v>1</v>
      </c>
      <c r="D728" t="s">
        <v>1084</v>
      </c>
      <c r="E728" t="s">
        <v>327</v>
      </c>
      <c r="F728" t="s">
        <v>1085</v>
      </c>
      <c r="G728">
        <v>6</v>
      </c>
      <c r="H728">
        <v>730</v>
      </c>
      <c r="I728" t="s">
        <v>427</v>
      </c>
      <c r="J728">
        <v>6599</v>
      </c>
      <c r="K728" s="8">
        <f>SUMIF(SoundCast_Data!$A$2:$A$1001,RouteID_Conversion!$H$2:$H$999,SoundCast_Data!$C$2:$C$1001)</f>
        <v>0</v>
      </c>
      <c r="N728">
        <v>729</v>
      </c>
      <c r="O728" t="s">
        <v>1999</v>
      </c>
      <c r="P728">
        <v>4043</v>
      </c>
      <c r="Q728" s="8">
        <f>SUMIF(SoundCast_Data!$Q$2:$Q$747,RouteID_Conversion!N728,SoundCast_Data!$P$2:$P$747)</f>
        <v>6.1584453582763405</v>
      </c>
    </row>
    <row r="729" spans="1:17" x14ac:dyDescent="0.25">
      <c r="A729">
        <v>722</v>
      </c>
      <c r="B729">
        <v>110731</v>
      </c>
      <c r="C729">
        <v>1</v>
      </c>
      <c r="D729" t="s">
        <v>1409</v>
      </c>
      <c r="E729" t="s">
        <v>327</v>
      </c>
      <c r="F729" t="s">
        <v>1410</v>
      </c>
      <c r="G729">
        <v>6</v>
      </c>
      <c r="H729">
        <v>731</v>
      </c>
      <c r="I729" t="s">
        <v>1411</v>
      </c>
      <c r="J729">
        <v>6595</v>
      </c>
      <c r="K729" s="8">
        <f>SUMIF(SoundCast_Data!$A$2:$A$1001,RouteID_Conversion!$H$2:$H$999,SoundCast_Data!$C$2:$C$1001)</f>
        <v>141.5113143920897</v>
      </c>
      <c r="N729">
        <v>730</v>
      </c>
      <c r="O729" t="s">
        <v>1516</v>
      </c>
      <c r="P729">
        <v>4036</v>
      </c>
      <c r="Q729" s="8">
        <f>SUMIF(SoundCast_Data!$Q$2:$Q$747,RouteID_Conversion!N729,SoundCast_Data!$P$2:$P$747)</f>
        <v>5.3016887903213465</v>
      </c>
    </row>
    <row r="730" spans="1:17" x14ac:dyDescent="0.25">
      <c r="A730">
        <v>723</v>
      </c>
      <c r="B730">
        <v>110732</v>
      </c>
      <c r="C730">
        <v>1</v>
      </c>
      <c r="D730" t="s">
        <v>1412</v>
      </c>
      <c r="E730" t="s">
        <v>327</v>
      </c>
      <c r="F730" t="s">
        <v>1413</v>
      </c>
      <c r="G730">
        <v>6</v>
      </c>
      <c r="H730">
        <v>732</v>
      </c>
      <c r="I730" t="s">
        <v>1377</v>
      </c>
      <c r="J730">
        <v>6594</v>
      </c>
      <c r="K730" s="8">
        <f>SUMIF(SoundCast_Data!$A$2:$A$1001,RouteID_Conversion!$H$2:$H$999,SoundCast_Data!$C$2:$C$1001)</f>
        <v>104.74770164489721</v>
      </c>
      <c r="N730">
        <v>731</v>
      </c>
      <c r="O730" t="s">
        <v>856</v>
      </c>
      <c r="P730">
        <v>4024</v>
      </c>
      <c r="Q730" s="8">
        <f>SUMIF(SoundCast_Data!$Q$2:$Q$747,RouteID_Conversion!N730,SoundCast_Data!$P$2:$P$747)</f>
        <v>50.662340641021643</v>
      </c>
    </row>
    <row r="731" spans="1:17" x14ac:dyDescent="0.25">
      <c r="A731">
        <v>704</v>
      </c>
      <c r="B731">
        <v>110733</v>
      </c>
      <c r="C731">
        <v>1</v>
      </c>
      <c r="D731" t="s">
        <v>1375</v>
      </c>
      <c r="E731" t="s">
        <v>327</v>
      </c>
      <c r="F731" t="s">
        <v>1376</v>
      </c>
      <c r="G731">
        <v>6</v>
      </c>
      <c r="H731">
        <v>733</v>
      </c>
      <c r="I731" t="s">
        <v>1377</v>
      </c>
      <c r="J731">
        <v>6594</v>
      </c>
      <c r="K731" s="8">
        <f>SUMIF(SoundCast_Data!$A$2:$A$1001,RouteID_Conversion!$H$2:$H$999,SoundCast_Data!$C$2:$C$1001)</f>
        <v>114.58644866943349</v>
      </c>
      <c r="N731">
        <v>732</v>
      </c>
      <c r="O731" t="s">
        <v>856</v>
      </c>
      <c r="P731">
        <v>4024</v>
      </c>
      <c r="Q731" s="8">
        <f>SUMIF(SoundCast_Data!$Q$2:$Q$747,RouteID_Conversion!N731,SoundCast_Data!$P$2:$P$747)</f>
        <v>36.76029586791983</v>
      </c>
    </row>
    <row r="732" spans="1:17" x14ac:dyDescent="0.25">
      <c r="A732">
        <v>724</v>
      </c>
      <c r="B732">
        <v>110734</v>
      </c>
      <c r="C732">
        <v>1</v>
      </c>
      <c r="D732" t="s">
        <v>1414</v>
      </c>
      <c r="E732" t="s">
        <v>327</v>
      </c>
      <c r="F732" t="s">
        <v>1415</v>
      </c>
      <c r="G732">
        <v>6</v>
      </c>
      <c r="H732">
        <v>734</v>
      </c>
      <c r="I732" t="s">
        <v>1416</v>
      </c>
      <c r="J732">
        <v>6593</v>
      </c>
      <c r="K732" s="8">
        <f>SUMIF(SoundCast_Data!$A$2:$A$1001,RouteID_Conversion!$H$2:$H$999,SoundCast_Data!$C$2:$C$1001)</f>
        <v>80.1145210266113</v>
      </c>
      <c r="N732">
        <v>733</v>
      </c>
      <c r="O732" t="s">
        <v>675</v>
      </c>
      <c r="P732">
        <v>4012</v>
      </c>
      <c r="Q732" s="8">
        <f>SUMIF(SoundCast_Data!$Q$2:$Q$747,RouteID_Conversion!N732,SoundCast_Data!$P$2:$P$747)</f>
        <v>15.693312644958482</v>
      </c>
    </row>
    <row r="733" spans="1:17" x14ac:dyDescent="0.25">
      <c r="A733">
        <v>725</v>
      </c>
      <c r="B733">
        <v>110735</v>
      </c>
      <c r="C733">
        <v>1</v>
      </c>
      <c r="D733" t="s">
        <v>1417</v>
      </c>
      <c r="E733" t="s">
        <v>327</v>
      </c>
      <c r="F733" t="s">
        <v>1418</v>
      </c>
      <c r="G733">
        <v>6</v>
      </c>
      <c r="H733">
        <v>735</v>
      </c>
      <c r="I733" t="s">
        <v>1003</v>
      </c>
      <c r="J733">
        <v>6592</v>
      </c>
      <c r="K733" s="8">
        <f>SUMIF(SoundCast_Data!$A$2:$A$1001,RouteID_Conversion!$H$2:$H$999,SoundCast_Data!$C$2:$C$1001)</f>
        <v>267.27979278564442</v>
      </c>
      <c r="N733">
        <v>734</v>
      </c>
      <c r="O733" t="s">
        <v>675</v>
      </c>
      <c r="P733">
        <v>4012</v>
      </c>
      <c r="Q733" s="8">
        <f>SUMIF(SoundCast_Data!$Q$2:$Q$747,RouteID_Conversion!N733,SoundCast_Data!$P$2:$P$747)</f>
        <v>10.629496157169331</v>
      </c>
    </row>
    <row r="734" spans="1:17" x14ac:dyDescent="0.25">
      <c r="A734">
        <v>726</v>
      </c>
      <c r="B734">
        <v>110736</v>
      </c>
      <c r="C734">
        <v>1</v>
      </c>
      <c r="D734" t="s">
        <v>1419</v>
      </c>
      <c r="E734" t="s">
        <v>327</v>
      </c>
      <c r="F734" t="s">
        <v>1418</v>
      </c>
      <c r="G734">
        <v>6</v>
      </c>
      <c r="H734">
        <v>736</v>
      </c>
      <c r="I734" t="s">
        <v>1003</v>
      </c>
      <c r="J734">
        <v>6592</v>
      </c>
      <c r="K734" s="8">
        <f>SUMIF(SoundCast_Data!$A$2:$A$1001,RouteID_Conversion!$H$2:$H$999,SoundCast_Data!$C$2:$C$1001)</f>
        <v>169.02628707885731</v>
      </c>
      <c r="N734">
        <v>735</v>
      </c>
      <c r="O734" t="s">
        <v>675</v>
      </c>
      <c r="P734">
        <v>4012</v>
      </c>
      <c r="Q734" s="8">
        <f>SUMIF(SoundCast_Data!$Q$2:$Q$747,RouteID_Conversion!N734,SoundCast_Data!$P$2:$P$747)</f>
        <v>10.629496157169331</v>
      </c>
    </row>
    <row r="735" spans="1:17" x14ac:dyDescent="0.25">
      <c r="A735">
        <v>705</v>
      </c>
      <c r="B735">
        <v>110737</v>
      </c>
      <c r="C735">
        <v>1</v>
      </c>
      <c r="D735" t="s">
        <v>1378</v>
      </c>
      <c r="E735" t="s">
        <v>327</v>
      </c>
      <c r="F735" t="s">
        <v>1379</v>
      </c>
      <c r="G735">
        <v>6</v>
      </c>
      <c r="H735">
        <v>737</v>
      </c>
      <c r="I735" t="s">
        <v>1003</v>
      </c>
      <c r="J735">
        <v>6592</v>
      </c>
      <c r="K735" s="8">
        <f>SUMIF(SoundCast_Data!$A$2:$A$1001,RouteID_Conversion!$H$2:$H$999,SoundCast_Data!$C$2:$C$1001)</f>
        <v>4.6090223789214901</v>
      </c>
      <c r="N735">
        <v>736</v>
      </c>
      <c r="O735" t="s">
        <v>675</v>
      </c>
      <c r="P735">
        <v>4012</v>
      </c>
      <c r="Q735" s="8">
        <f>SUMIF(SoundCast_Data!$Q$2:$Q$747,RouteID_Conversion!N735,SoundCast_Data!$P$2:$P$747)</f>
        <v>15.693312644958482</v>
      </c>
    </row>
    <row r="736" spans="1:17" x14ac:dyDescent="0.25">
      <c r="A736">
        <v>727</v>
      </c>
      <c r="B736">
        <v>110738</v>
      </c>
      <c r="C736">
        <v>1</v>
      </c>
      <c r="D736" t="s">
        <v>1420</v>
      </c>
      <c r="E736" t="s">
        <v>327</v>
      </c>
      <c r="F736" t="s">
        <v>1421</v>
      </c>
      <c r="G736">
        <v>6</v>
      </c>
      <c r="H736">
        <v>738</v>
      </c>
      <c r="I736" t="s">
        <v>1382</v>
      </c>
      <c r="J736">
        <v>6590</v>
      </c>
      <c r="K736" s="8">
        <f>SUMIF(SoundCast_Data!$A$2:$A$1001,RouteID_Conversion!$H$2:$H$999,SoundCast_Data!$C$2:$C$1001)</f>
        <v>583.69653320312295</v>
      </c>
      <c r="N736">
        <v>737</v>
      </c>
      <c r="O736" t="s">
        <v>1437</v>
      </c>
      <c r="P736">
        <v>4009</v>
      </c>
      <c r="Q736" s="8">
        <f>SUMIF(SoundCast_Data!$Q$2:$Q$747,RouteID_Conversion!N736,SoundCast_Data!$P$2:$P$747)</f>
        <v>41.666665792465139</v>
      </c>
    </row>
    <row r="737" spans="1:17" x14ac:dyDescent="0.25">
      <c r="A737">
        <v>728</v>
      </c>
      <c r="B737">
        <v>110739</v>
      </c>
      <c r="C737">
        <v>1</v>
      </c>
      <c r="D737" t="s">
        <v>1422</v>
      </c>
      <c r="E737" t="s">
        <v>327</v>
      </c>
      <c r="F737" t="s">
        <v>1421</v>
      </c>
      <c r="G737">
        <v>6</v>
      </c>
      <c r="H737">
        <v>739</v>
      </c>
      <c r="I737" t="s">
        <v>1382</v>
      </c>
      <c r="J737">
        <v>6590</v>
      </c>
      <c r="K737" s="8">
        <f>SUMIF(SoundCast_Data!$A$2:$A$1001,RouteID_Conversion!$H$2:$H$999,SoundCast_Data!$C$2:$C$1001)</f>
        <v>260.35794830322209</v>
      </c>
      <c r="N737">
        <v>738</v>
      </c>
      <c r="O737" t="s">
        <v>681</v>
      </c>
      <c r="P737">
        <v>4032</v>
      </c>
      <c r="Q737" s="8">
        <f>SUMIF(SoundCast_Data!$Q$2:$Q$747,RouteID_Conversion!N737,SoundCast_Data!$P$2:$P$747)</f>
        <v>40.730076313018714</v>
      </c>
    </row>
    <row r="738" spans="1:17" x14ac:dyDescent="0.25">
      <c r="A738">
        <v>706</v>
      </c>
      <c r="B738">
        <v>110740</v>
      </c>
      <c r="C738">
        <v>1</v>
      </c>
      <c r="D738" t="s">
        <v>1380</v>
      </c>
      <c r="E738" t="s">
        <v>327</v>
      </c>
      <c r="F738" t="s">
        <v>1381</v>
      </c>
      <c r="G738">
        <v>6</v>
      </c>
      <c r="H738">
        <v>740</v>
      </c>
      <c r="I738" t="s">
        <v>1382</v>
      </c>
      <c r="J738">
        <v>6590</v>
      </c>
      <c r="K738" s="8">
        <f>SUMIF(SoundCast_Data!$A$2:$A$1001,RouteID_Conversion!$H$2:$H$999,SoundCast_Data!$C$2:$C$1001)</f>
        <v>51.027532577514506</v>
      </c>
      <c r="N738">
        <v>739</v>
      </c>
      <c r="O738" t="s">
        <v>681</v>
      </c>
      <c r="P738">
        <v>4032</v>
      </c>
      <c r="Q738" s="8">
        <f>SUMIF(SoundCast_Data!$Q$2:$Q$747,RouteID_Conversion!N738,SoundCast_Data!$P$2:$P$747)</f>
        <v>30.115252017974818</v>
      </c>
    </row>
    <row r="739" spans="1:17" x14ac:dyDescent="0.25">
      <c r="A739">
        <v>285</v>
      </c>
      <c r="B739">
        <v>110741</v>
      </c>
      <c r="C739">
        <v>1</v>
      </c>
      <c r="D739" t="s">
        <v>765</v>
      </c>
      <c r="E739" t="s">
        <v>327</v>
      </c>
      <c r="F739" t="s">
        <v>766</v>
      </c>
      <c r="G739">
        <v>2</v>
      </c>
      <c r="H739">
        <v>741</v>
      </c>
      <c r="I739" t="s">
        <v>767</v>
      </c>
      <c r="J739">
        <v>2059</v>
      </c>
      <c r="K739" s="8">
        <f>SUMIF(SoundCast_Data!$A$2:$A$1001,RouteID_Conversion!$H$2:$H$999,SoundCast_Data!$C$2:$C$1001)</f>
        <v>26.419341087341301</v>
      </c>
      <c r="N739">
        <v>740</v>
      </c>
      <c r="O739" t="s">
        <v>710</v>
      </c>
      <c r="P739">
        <v>4035</v>
      </c>
      <c r="Q739" s="8">
        <f>SUMIF(SoundCast_Data!$Q$2:$Q$747,RouteID_Conversion!N739,SoundCast_Data!$P$2:$P$747)</f>
        <v>1</v>
      </c>
    </row>
    <row r="740" spans="1:17" x14ac:dyDescent="0.25">
      <c r="A740">
        <v>286</v>
      </c>
      <c r="B740">
        <v>110742</v>
      </c>
      <c r="C740">
        <v>1</v>
      </c>
      <c r="D740" t="s">
        <v>768</v>
      </c>
      <c r="E740" t="s">
        <v>327</v>
      </c>
      <c r="F740" t="s">
        <v>766</v>
      </c>
      <c r="G740">
        <v>2</v>
      </c>
      <c r="H740">
        <v>742</v>
      </c>
      <c r="I740" t="s">
        <v>767</v>
      </c>
      <c r="J740">
        <v>2059</v>
      </c>
      <c r="K740" s="8">
        <f>SUMIF(SoundCast_Data!$A$2:$A$1001,RouteID_Conversion!$H$2:$H$999,SoundCast_Data!$C$2:$C$1001)</f>
        <v>25.083053112030008</v>
      </c>
      <c r="N740">
        <v>741</v>
      </c>
      <c r="O740" t="s">
        <v>1521</v>
      </c>
      <c r="P740">
        <v>4037</v>
      </c>
      <c r="Q740" s="8">
        <f>SUMIF(SoundCast_Data!$Q$2:$Q$747,RouteID_Conversion!N740,SoundCast_Data!$P$2:$P$747)</f>
        <v>9.53281825780868</v>
      </c>
    </row>
    <row r="741" spans="1:17" x14ac:dyDescent="0.25">
      <c r="A741">
        <v>930</v>
      </c>
      <c r="B741">
        <v>110743</v>
      </c>
      <c r="C741">
        <v>1</v>
      </c>
      <c r="D741" t="s">
        <v>1743</v>
      </c>
      <c r="E741" t="s">
        <v>327</v>
      </c>
      <c r="F741" t="s">
        <v>1744</v>
      </c>
      <c r="G741">
        <v>6</v>
      </c>
      <c r="H741">
        <v>743</v>
      </c>
      <c r="I741" t="s">
        <v>1745</v>
      </c>
      <c r="J741">
        <v>6586</v>
      </c>
      <c r="K741" s="8">
        <f>SUMIF(SoundCast_Data!$A$2:$A$1001,RouteID_Conversion!$H$2:$H$999,SoundCast_Data!$C$2:$C$1001)</f>
        <v>99.220855712890398</v>
      </c>
      <c r="N741">
        <v>742</v>
      </c>
      <c r="O741" t="s">
        <v>685</v>
      </c>
      <c r="P741">
        <v>4041</v>
      </c>
      <c r="Q741" s="8">
        <f>SUMIF(SoundCast_Data!$Q$2:$Q$747,RouteID_Conversion!N741,SoundCast_Data!$P$2:$P$747)</f>
        <v>0</v>
      </c>
    </row>
    <row r="742" spans="1:17" x14ac:dyDescent="0.25">
      <c r="A742">
        <v>714</v>
      </c>
      <c r="B742">
        <v>110744</v>
      </c>
      <c r="C742">
        <v>1</v>
      </c>
      <c r="D742" t="s">
        <v>1395</v>
      </c>
      <c r="E742" t="s">
        <v>327</v>
      </c>
      <c r="F742" t="s">
        <v>1396</v>
      </c>
      <c r="G742">
        <v>6</v>
      </c>
      <c r="H742">
        <v>744</v>
      </c>
      <c r="I742" t="s">
        <v>1397</v>
      </c>
      <c r="J742">
        <v>6578</v>
      </c>
      <c r="K742" s="8">
        <f>SUMIF(SoundCast_Data!$A$2:$A$1001,RouteID_Conversion!$H$2:$H$999,SoundCast_Data!$C$2:$C$1001)</f>
        <v>47.676125526428102</v>
      </c>
      <c r="N742">
        <v>743</v>
      </c>
      <c r="O742" t="s">
        <v>494</v>
      </c>
      <c r="P742">
        <v>4008</v>
      </c>
      <c r="Q742" s="8">
        <f>SUMIF(SoundCast_Data!$Q$2:$Q$747,RouteID_Conversion!N742,SoundCast_Data!$P$2:$P$747)</f>
        <v>46.875213623046804</v>
      </c>
    </row>
    <row r="743" spans="1:17" x14ac:dyDescent="0.25">
      <c r="A743">
        <v>707</v>
      </c>
      <c r="B743">
        <v>110745</v>
      </c>
      <c r="C743">
        <v>1</v>
      </c>
      <c r="D743" t="s">
        <v>1383</v>
      </c>
      <c r="E743" t="s">
        <v>327</v>
      </c>
      <c r="F743" t="s">
        <v>1384</v>
      </c>
      <c r="G743">
        <v>6</v>
      </c>
      <c r="H743">
        <v>745</v>
      </c>
      <c r="I743" t="s">
        <v>1385</v>
      </c>
      <c r="J743">
        <v>6574</v>
      </c>
      <c r="K743" s="8">
        <f>SUMIF(SoundCast_Data!$A$2:$A$1001,RouteID_Conversion!$H$2:$H$999,SoundCast_Data!$C$2:$C$1001)</f>
        <v>200.29394149780262</v>
      </c>
      <c r="N743">
        <v>744</v>
      </c>
      <c r="O743" t="s">
        <v>494</v>
      </c>
      <c r="P743">
        <v>4008</v>
      </c>
      <c r="Q743" s="8">
        <f>SUMIF(SoundCast_Data!$Q$2:$Q$747,RouteID_Conversion!N743,SoundCast_Data!$P$2:$P$747)</f>
        <v>57.175215244293113</v>
      </c>
    </row>
    <row r="744" spans="1:17" x14ac:dyDescent="0.25">
      <c r="A744">
        <v>708</v>
      </c>
      <c r="B744">
        <v>110746</v>
      </c>
      <c r="C744">
        <v>1</v>
      </c>
      <c r="D744" t="s">
        <v>1386</v>
      </c>
      <c r="E744" t="s">
        <v>327</v>
      </c>
      <c r="F744" t="s">
        <v>1387</v>
      </c>
      <c r="G744">
        <v>6</v>
      </c>
      <c r="H744">
        <v>746</v>
      </c>
      <c r="I744" t="s">
        <v>1385</v>
      </c>
      <c r="J744">
        <v>6574</v>
      </c>
      <c r="K744" s="8">
        <f>SUMIF(SoundCast_Data!$A$2:$A$1001,RouteID_Conversion!$H$2:$H$999,SoundCast_Data!$C$2:$C$1001)</f>
        <v>190.62576293945301</v>
      </c>
      <c r="N744">
        <v>757</v>
      </c>
      <c r="O744" t="s">
        <v>2166</v>
      </c>
      <c r="P744">
        <v>2051</v>
      </c>
      <c r="Q744" s="8">
        <f>SUMIF(SoundCast_Data!$Q$2:$Q$747,RouteID_Conversion!N744,SoundCast_Data!$P$2:$P$747)</f>
        <v>63.830727577209402</v>
      </c>
    </row>
    <row r="745" spans="1:17" x14ac:dyDescent="0.25">
      <c r="A745">
        <v>384</v>
      </c>
      <c r="B745">
        <v>110747</v>
      </c>
      <c r="C745">
        <v>1</v>
      </c>
      <c r="D745" t="s">
        <v>921</v>
      </c>
      <c r="E745" t="s">
        <v>327</v>
      </c>
      <c r="F745" t="s">
        <v>922</v>
      </c>
      <c r="G745">
        <v>2</v>
      </c>
      <c r="H745">
        <v>747</v>
      </c>
      <c r="I745" t="s">
        <v>923</v>
      </c>
      <c r="J745">
        <v>2057</v>
      </c>
      <c r="K745" s="8">
        <f>SUMIF(SoundCast_Data!$A$2:$A$1001,RouteID_Conversion!$H$2:$H$999,SoundCast_Data!$C$2:$C$1001)</f>
        <v>119.69720458984361</v>
      </c>
      <c r="N745">
        <v>758</v>
      </c>
      <c r="O745" t="s">
        <v>2166</v>
      </c>
      <c r="P745">
        <v>2051</v>
      </c>
      <c r="Q745" s="8">
        <f>SUMIF(SoundCast_Data!$Q$2:$Q$747,RouteID_Conversion!N745,SoundCast_Data!$P$2:$P$747)</f>
        <v>42.403973579406639</v>
      </c>
    </row>
    <row r="746" spans="1:17" x14ac:dyDescent="0.25">
      <c r="A746">
        <v>385</v>
      </c>
      <c r="B746">
        <v>110748</v>
      </c>
      <c r="C746">
        <v>1</v>
      </c>
      <c r="D746" t="s">
        <v>924</v>
      </c>
      <c r="E746" t="s">
        <v>327</v>
      </c>
      <c r="F746" t="s">
        <v>922</v>
      </c>
      <c r="G746">
        <v>2</v>
      </c>
      <c r="H746">
        <v>748</v>
      </c>
      <c r="I746" t="s">
        <v>923</v>
      </c>
      <c r="J746">
        <v>2057</v>
      </c>
      <c r="K746" s="8">
        <f>SUMIF(SoundCast_Data!$A$2:$A$1001,RouteID_Conversion!$H$2:$H$999,SoundCast_Data!$C$2:$C$1001)</f>
        <v>52.003275871276699</v>
      </c>
      <c r="Q746" s="8">
        <f>SUMIF(SoundCast_Data!$Q$2:$Q$1001,RouteID_Conversion!$H$2:$H$999,SoundCast_Data!$P$2:$P$1001)</f>
        <v>0</v>
      </c>
    </row>
    <row r="747" spans="1:17" x14ac:dyDescent="0.25">
      <c r="A747">
        <v>20</v>
      </c>
      <c r="B747">
        <v>110749</v>
      </c>
      <c r="C747">
        <v>1</v>
      </c>
      <c r="D747" t="s">
        <v>350</v>
      </c>
      <c r="E747" t="s">
        <v>327</v>
      </c>
      <c r="F747" t="s">
        <v>351</v>
      </c>
      <c r="G747">
        <v>2</v>
      </c>
      <c r="H747">
        <v>749</v>
      </c>
      <c r="I747" t="s">
        <v>352</v>
      </c>
      <c r="J747">
        <v>2056</v>
      </c>
      <c r="K747" s="8">
        <f>SUMIF(SoundCast_Data!$A$2:$A$1001,RouteID_Conversion!$H$2:$H$999,SoundCast_Data!$C$2:$C$1001)</f>
        <v>62.521024703979393</v>
      </c>
      <c r="Q747" s="8">
        <f>SUMIF(SoundCast_Data!$Q$2:$Q$1001,RouteID_Conversion!$H$2:$H$999,SoundCast_Data!$P$2:$P$1001)</f>
        <v>0</v>
      </c>
    </row>
    <row r="748" spans="1:17" x14ac:dyDescent="0.25">
      <c r="A748">
        <v>21</v>
      </c>
      <c r="B748">
        <v>110750</v>
      </c>
      <c r="C748">
        <v>1</v>
      </c>
      <c r="D748" t="s">
        <v>353</v>
      </c>
      <c r="E748" t="s">
        <v>327</v>
      </c>
      <c r="F748" t="s">
        <v>351</v>
      </c>
      <c r="G748">
        <v>2</v>
      </c>
      <c r="H748">
        <v>750</v>
      </c>
      <c r="I748" t="s">
        <v>352</v>
      </c>
      <c r="J748">
        <v>2056</v>
      </c>
      <c r="K748" s="8">
        <f>SUMIF(SoundCast_Data!$A$2:$A$1001,RouteID_Conversion!$H$2:$H$999,SoundCast_Data!$C$2:$C$1001)</f>
        <v>118.5344543457029</v>
      </c>
      <c r="Q748" s="8">
        <f>SUMIF(SoundCast_Data!$Q$2:$Q$1001,RouteID_Conversion!$H$2:$H$999,SoundCast_Data!$P$2:$P$1001)</f>
        <v>0</v>
      </c>
    </row>
    <row r="749" spans="1:17" x14ac:dyDescent="0.25">
      <c r="A749">
        <v>22</v>
      </c>
      <c r="B749">
        <v>110751</v>
      </c>
      <c r="C749">
        <v>1</v>
      </c>
      <c r="D749" t="s">
        <v>354</v>
      </c>
      <c r="E749" t="s">
        <v>327</v>
      </c>
      <c r="F749" t="s">
        <v>355</v>
      </c>
      <c r="G749">
        <v>2</v>
      </c>
      <c r="H749">
        <v>751</v>
      </c>
      <c r="I749" t="s">
        <v>356</v>
      </c>
      <c r="J749">
        <v>2055</v>
      </c>
      <c r="K749" s="8">
        <f>SUMIF(SoundCast_Data!$A$2:$A$1001,RouteID_Conversion!$H$2:$H$999,SoundCast_Data!$C$2:$C$1001)</f>
        <v>127.76708602905259</v>
      </c>
      <c r="Q749" s="8">
        <f>SUMIF(SoundCast_Data!$Q$2:$Q$1001,RouteID_Conversion!$H$2:$H$999,SoundCast_Data!$P$2:$P$1001)</f>
        <v>0</v>
      </c>
    </row>
    <row r="750" spans="1:17" x14ac:dyDescent="0.25">
      <c r="A750">
        <v>23</v>
      </c>
      <c r="B750">
        <v>110752</v>
      </c>
      <c r="C750">
        <v>1</v>
      </c>
      <c r="D750" t="s">
        <v>357</v>
      </c>
      <c r="E750" t="s">
        <v>327</v>
      </c>
      <c r="F750" t="s">
        <v>355</v>
      </c>
      <c r="G750">
        <v>2</v>
      </c>
      <c r="H750">
        <v>752</v>
      </c>
      <c r="I750" t="s">
        <v>356</v>
      </c>
      <c r="J750">
        <v>2055</v>
      </c>
      <c r="K750" s="8">
        <f>SUMIF(SoundCast_Data!$A$2:$A$1001,RouteID_Conversion!$H$2:$H$999,SoundCast_Data!$C$2:$C$1001)</f>
        <v>59.365871429443203</v>
      </c>
      <c r="Q750" s="8">
        <f>SUMIF(SoundCast_Data!$Q$2:$Q$1001,RouteID_Conversion!$H$2:$H$999,SoundCast_Data!$P$2:$P$1001)</f>
        <v>0</v>
      </c>
    </row>
    <row r="751" spans="1:17" x14ac:dyDescent="0.25">
      <c r="A751">
        <v>287</v>
      </c>
      <c r="B751">
        <v>110753</v>
      </c>
      <c r="C751">
        <v>1</v>
      </c>
      <c r="D751" t="s">
        <v>769</v>
      </c>
      <c r="E751" t="s">
        <v>327</v>
      </c>
      <c r="F751" t="s">
        <v>359</v>
      </c>
      <c r="G751">
        <v>2</v>
      </c>
      <c r="H751">
        <v>753</v>
      </c>
      <c r="I751" t="s">
        <v>360</v>
      </c>
      <c r="J751">
        <v>2054</v>
      </c>
      <c r="K751" s="8">
        <f>SUMIF(SoundCast_Data!$A$2:$A$1001,RouteID_Conversion!$H$2:$H$999,SoundCast_Data!$C$2:$C$1001)</f>
        <v>81.518323898315302</v>
      </c>
      <c r="Q751" s="8">
        <f>SUMIF(SoundCast_Data!$Q$2:$Q$1001,RouteID_Conversion!$H$2:$H$999,SoundCast_Data!$P$2:$P$1001)</f>
        <v>0</v>
      </c>
    </row>
    <row r="752" spans="1:17" x14ac:dyDescent="0.25">
      <c r="A752">
        <v>24</v>
      </c>
      <c r="B752">
        <v>110754</v>
      </c>
      <c r="C752">
        <v>1</v>
      </c>
      <c r="D752" t="s">
        <v>358</v>
      </c>
      <c r="E752" t="s">
        <v>327</v>
      </c>
      <c r="F752" t="s">
        <v>359</v>
      </c>
      <c r="G752">
        <v>2</v>
      </c>
      <c r="H752">
        <v>754</v>
      </c>
      <c r="I752" t="s">
        <v>360</v>
      </c>
      <c r="J752">
        <v>2054</v>
      </c>
      <c r="K752" s="8">
        <f>SUMIF(SoundCast_Data!$A$2:$A$1001,RouteID_Conversion!$H$2:$H$999,SoundCast_Data!$C$2:$C$1001)</f>
        <v>80.116039276122905</v>
      </c>
      <c r="Q752" s="8">
        <f>SUMIF(SoundCast_Data!$Q$2:$Q$1001,RouteID_Conversion!$H$2:$H$999,SoundCast_Data!$P$2:$P$1001)</f>
        <v>0</v>
      </c>
    </row>
    <row r="753" spans="1:17" x14ac:dyDescent="0.25">
      <c r="A753">
        <v>386</v>
      </c>
      <c r="B753">
        <v>110755</v>
      </c>
      <c r="C753">
        <v>1</v>
      </c>
      <c r="D753" t="s">
        <v>925</v>
      </c>
      <c r="E753" t="s">
        <v>327</v>
      </c>
      <c r="F753" t="s">
        <v>926</v>
      </c>
      <c r="G753">
        <v>2</v>
      </c>
      <c r="H753">
        <v>755</v>
      </c>
      <c r="I753" t="s">
        <v>472</v>
      </c>
      <c r="J753">
        <v>2053</v>
      </c>
      <c r="K753" s="8">
        <f>SUMIF(SoundCast_Data!$A$2:$A$1001,RouteID_Conversion!$H$2:$H$999,SoundCast_Data!$C$2:$C$1001)</f>
        <v>213.46872711181629</v>
      </c>
      <c r="Q753" s="8">
        <f>SUMIF(SoundCast_Data!$Q$2:$Q$1001,RouteID_Conversion!$H$2:$H$999,SoundCast_Data!$P$2:$P$1001)</f>
        <v>0</v>
      </c>
    </row>
    <row r="754" spans="1:17" x14ac:dyDescent="0.25">
      <c r="A754">
        <v>95</v>
      </c>
      <c r="B754">
        <v>110756</v>
      </c>
      <c r="C754">
        <v>1</v>
      </c>
      <c r="D754" t="s">
        <v>470</v>
      </c>
      <c r="E754" t="s">
        <v>327</v>
      </c>
      <c r="F754" t="s">
        <v>471</v>
      </c>
      <c r="G754">
        <v>2</v>
      </c>
      <c r="H754">
        <v>756</v>
      </c>
      <c r="I754" t="s">
        <v>472</v>
      </c>
      <c r="J754">
        <v>2053</v>
      </c>
      <c r="K754" s="8">
        <f>SUMIF(SoundCast_Data!$A$2:$A$1001,RouteID_Conversion!$H$2:$H$999,SoundCast_Data!$C$2:$C$1001)</f>
        <v>25.962394714355451</v>
      </c>
      <c r="Q754" s="8">
        <f>SUMIF(SoundCast_Data!$Q$2:$Q$1001,RouteID_Conversion!$H$2:$H$999,SoundCast_Data!$P$2:$P$1001)</f>
        <v>0</v>
      </c>
    </row>
    <row r="755" spans="1:17" x14ac:dyDescent="0.25">
      <c r="A755">
        <v>387</v>
      </c>
      <c r="B755">
        <v>110757</v>
      </c>
      <c r="C755">
        <v>1</v>
      </c>
      <c r="D755" t="s">
        <v>927</v>
      </c>
      <c r="E755" t="s">
        <v>327</v>
      </c>
      <c r="F755" t="s">
        <v>471</v>
      </c>
      <c r="G755">
        <v>2</v>
      </c>
      <c r="H755">
        <v>757</v>
      </c>
      <c r="I755" t="s">
        <v>472</v>
      </c>
      <c r="J755">
        <v>2053</v>
      </c>
      <c r="K755" s="8">
        <f>SUMIF(SoundCast_Data!$A$2:$A$1001,RouteID_Conversion!$H$2:$H$999,SoundCast_Data!$C$2:$C$1001)</f>
        <v>109.72225570678701</v>
      </c>
      <c r="Q755" s="8">
        <f>SUMIF(SoundCast_Data!$Q$2:$Q$1001,RouteID_Conversion!$H$2:$H$999,SoundCast_Data!$P$2:$P$1001)</f>
        <v>63.830727577209402</v>
      </c>
    </row>
    <row r="756" spans="1:17" x14ac:dyDescent="0.25">
      <c r="A756">
        <v>388</v>
      </c>
      <c r="B756">
        <v>110758</v>
      </c>
      <c r="C756">
        <v>1</v>
      </c>
      <c r="D756" t="s">
        <v>927</v>
      </c>
      <c r="E756" t="s">
        <v>327</v>
      </c>
      <c r="F756" t="s">
        <v>926</v>
      </c>
      <c r="G756">
        <v>2</v>
      </c>
      <c r="H756">
        <v>758</v>
      </c>
      <c r="I756" t="s">
        <v>472</v>
      </c>
      <c r="J756">
        <v>2053</v>
      </c>
      <c r="K756" s="8">
        <f>SUMIF(SoundCast_Data!$A$2:$A$1001,RouteID_Conversion!$H$2:$H$999,SoundCast_Data!$C$2:$C$1001)</f>
        <v>93.179508209228402</v>
      </c>
      <c r="Q756" s="8">
        <f>SUMIF(SoundCast_Data!$Q$2:$Q$1001,RouteID_Conversion!$H$2:$H$999,SoundCast_Data!$P$2:$P$1001)</f>
        <v>42.403973579406639</v>
      </c>
    </row>
    <row r="757" spans="1:17" x14ac:dyDescent="0.25">
      <c r="A757">
        <v>96</v>
      </c>
      <c r="B757">
        <v>110759</v>
      </c>
      <c r="C757">
        <v>1</v>
      </c>
      <c r="D757" t="s">
        <v>473</v>
      </c>
      <c r="E757" t="s">
        <v>327</v>
      </c>
      <c r="F757" t="s">
        <v>471</v>
      </c>
      <c r="G757">
        <v>2</v>
      </c>
      <c r="H757">
        <v>759</v>
      </c>
      <c r="I757" t="s">
        <v>472</v>
      </c>
      <c r="J757">
        <v>2053</v>
      </c>
      <c r="K757" s="8">
        <f>SUMIF(SoundCast_Data!$A$2:$A$1001,RouteID_Conversion!$H$2:$H$999,SoundCast_Data!$C$2:$C$1001)</f>
        <v>37.436641693115099</v>
      </c>
      <c r="Q757" s="8">
        <f>SUMIF(SoundCast_Data!$Q$2:$Q$1001,RouteID_Conversion!$H$2:$H$999,SoundCast_Data!$P$2:$P$1001)</f>
        <v>4.3293514847755414</v>
      </c>
    </row>
    <row r="758" spans="1:17" x14ac:dyDescent="0.25">
      <c r="A758">
        <v>329</v>
      </c>
      <c r="B758">
        <v>110760</v>
      </c>
      <c r="C758">
        <v>1</v>
      </c>
      <c r="D758" t="s">
        <v>863</v>
      </c>
      <c r="E758" t="s">
        <v>327</v>
      </c>
      <c r="F758" t="s">
        <v>863</v>
      </c>
      <c r="G758">
        <v>2</v>
      </c>
      <c r="H758">
        <v>760</v>
      </c>
      <c r="I758" t="s">
        <v>864</v>
      </c>
      <c r="J758">
        <v>2052</v>
      </c>
      <c r="K758" s="8">
        <f>SUMIF(SoundCast_Data!$A$2:$A$1001,RouteID_Conversion!$H$2:$H$999,SoundCast_Data!$C$2:$C$1001)</f>
        <v>123.7241973876951</v>
      </c>
      <c r="Q758" s="8">
        <f>SUMIF(SoundCast_Data!$Q$2:$Q$1001,RouteID_Conversion!$H$2:$H$999,SoundCast_Data!$P$2:$P$1001)</f>
        <v>0.33562012016773202</v>
      </c>
    </row>
    <row r="759" spans="1:17" x14ac:dyDescent="0.25">
      <c r="A759">
        <v>330</v>
      </c>
      <c r="B759">
        <v>110761</v>
      </c>
      <c r="C759">
        <v>1</v>
      </c>
      <c r="D759" t="s">
        <v>865</v>
      </c>
      <c r="E759" t="s">
        <v>327</v>
      </c>
      <c r="F759" t="s">
        <v>865</v>
      </c>
      <c r="G759">
        <v>2</v>
      </c>
      <c r="H759">
        <v>761</v>
      </c>
      <c r="I759" t="s">
        <v>864</v>
      </c>
      <c r="J759">
        <v>2052</v>
      </c>
      <c r="K759" s="8">
        <f>SUMIF(SoundCast_Data!$A$2:$A$1001,RouteID_Conversion!$H$2:$H$999,SoundCast_Data!$C$2:$C$1001)</f>
        <v>132.61329650878889</v>
      </c>
      <c r="Q759" s="8">
        <f>SUMIF(SoundCast_Data!$Q$2:$Q$1001,RouteID_Conversion!$H$2:$H$999,SoundCast_Data!$P$2:$P$1001)</f>
        <v>0</v>
      </c>
    </row>
    <row r="760" spans="1:17" x14ac:dyDescent="0.25">
      <c r="A760">
        <v>429</v>
      </c>
      <c r="B760">
        <v>110762</v>
      </c>
      <c r="C760">
        <v>1</v>
      </c>
      <c r="D760" t="s">
        <v>988</v>
      </c>
      <c r="E760" t="s">
        <v>327</v>
      </c>
      <c r="F760" t="s">
        <v>771</v>
      </c>
      <c r="G760">
        <v>2</v>
      </c>
      <c r="H760">
        <v>762</v>
      </c>
      <c r="I760" t="s">
        <v>772</v>
      </c>
      <c r="J760">
        <v>2501</v>
      </c>
      <c r="K760" s="8">
        <f>SUMIF(SoundCast_Data!$A$2:$A$1001,RouteID_Conversion!$H$2:$H$999,SoundCast_Data!$C$2:$C$1001)</f>
        <v>112.07620620727531</v>
      </c>
      <c r="Q760" s="8">
        <f>SUMIF(SoundCast_Data!$Q$2:$Q$1001,RouteID_Conversion!$H$2:$H$999,SoundCast_Data!$P$2:$P$1001)</f>
        <v>0</v>
      </c>
    </row>
    <row r="761" spans="1:17" x14ac:dyDescent="0.25">
      <c r="A761">
        <v>389</v>
      </c>
      <c r="B761">
        <v>110763</v>
      </c>
      <c r="C761">
        <v>1</v>
      </c>
      <c r="D761" t="s">
        <v>928</v>
      </c>
      <c r="E761" t="s">
        <v>327</v>
      </c>
      <c r="F761" t="s">
        <v>771</v>
      </c>
      <c r="G761">
        <v>2</v>
      </c>
      <c r="H761">
        <v>763</v>
      </c>
      <c r="I761" t="s">
        <v>772</v>
      </c>
      <c r="J761">
        <v>2501</v>
      </c>
      <c r="K761" s="8">
        <f>SUMIF(SoundCast_Data!$A$2:$A$1001,RouteID_Conversion!$H$2:$H$999,SoundCast_Data!$C$2:$C$1001)</f>
        <v>112.0901832580565</v>
      </c>
      <c r="Q761" s="8">
        <f>SUMIF(SoundCast_Data!$Q$2:$Q$1001,RouteID_Conversion!$H$2:$H$999,SoundCast_Data!$P$2:$P$1001)</f>
        <v>0</v>
      </c>
    </row>
    <row r="762" spans="1:17" x14ac:dyDescent="0.25">
      <c r="A762">
        <v>390</v>
      </c>
      <c r="B762">
        <v>110764</v>
      </c>
      <c r="C762">
        <v>1</v>
      </c>
      <c r="D762" t="s">
        <v>929</v>
      </c>
      <c r="E762" t="s">
        <v>327</v>
      </c>
      <c r="F762" t="s">
        <v>771</v>
      </c>
      <c r="G762">
        <v>2</v>
      </c>
      <c r="H762">
        <v>764</v>
      </c>
      <c r="I762" t="s">
        <v>772</v>
      </c>
      <c r="J762">
        <v>2501</v>
      </c>
      <c r="K762" s="8">
        <f>SUMIF(SoundCast_Data!$A$2:$A$1001,RouteID_Conversion!$H$2:$H$999,SoundCast_Data!$C$2:$C$1001)</f>
        <v>92.891349792480398</v>
      </c>
      <c r="Q762" s="8">
        <f>SUMIF(SoundCast_Data!$Q$2:$Q$1001,RouteID_Conversion!$H$2:$H$999,SoundCast_Data!$P$2:$P$1001)</f>
        <v>0</v>
      </c>
    </row>
    <row r="763" spans="1:17" x14ac:dyDescent="0.25">
      <c r="A763">
        <v>288</v>
      </c>
      <c r="B763">
        <v>110765</v>
      </c>
      <c r="C763">
        <v>1</v>
      </c>
      <c r="D763" t="s">
        <v>770</v>
      </c>
      <c r="E763" t="s">
        <v>327</v>
      </c>
      <c r="F763" t="s">
        <v>771</v>
      </c>
      <c r="G763">
        <v>2</v>
      </c>
      <c r="H763">
        <v>765</v>
      </c>
      <c r="I763" t="s">
        <v>772</v>
      </c>
      <c r="J763">
        <v>2501</v>
      </c>
      <c r="K763" s="8">
        <f>SUMIF(SoundCast_Data!$A$2:$A$1001,RouteID_Conversion!$H$2:$H$999,SoundCast_Data!$C$2:$C$1001)</f>
        <v>92.372032165527202</v>
      </c>
      <c r="Q763" s="8">
        <f>SUMIF(SoundCast_Data!$Q$2:$Q$1001,RouteID_Conversion!$H$2:$H$999,SoundCast_Data!$P$2:$P$1001)</f>
        <v>0</v>
      </c>
    </row>
    <row r="764" spans="1:17" x14ac:dyDescent="0.25">
      <c r="A764">
        <v>126</v>
      </c>
      <c r="B764">
        <v>110766</v>
      </c>
      <c r="C764">
        <v>1</v>
      </c>
      <c r="D764" t="s">
        <v>528</v>
      </c>
      <c r="E764" t="s">
        <v>327</v>
      </c>
      <c r="F764" t="s">
        <v>529</v>
      </c>
      <c r="G764">
        <v>2</v>
      </c>
      <c r="H764">
        <v>766</v>
      </c>
      <c r="I764" t="s">
        <v>530</v>
      </c>
      <c r="J764">
        <v>2500</v>
      </c>
      <c r="K764" s="8">
        <f>SUMIF(SoundCast_Data!$A$2:$A$1001,RouteID_Conversion!$H$2:$H$999,SoundCast_Data!$C$2:$C$1001)</f>
        <v>223.40272140502918</v>
      </c>
      <c r="Q764" s="8">
        <f>SUMIF(SoundCast_Data!$Q$2:$Q$1001,RouteID_Conversion!$H$2:$H$999,SoundCast_Data!$P$2:$P$1001)</f>
        <v>0</v>
      </c>
    </row>
    <row r="765" spans="1:17" x14ac:dyDescent="0.25">
      <c r="A765">
        <v>127</v>
      </c>
      <c r="B765">
        <v>110767</v>
      </c>
      <c r="C765">
        <v>1</v>
      </c>
      <c r="D765" t="s">
        <v>531</v>
      </c>
      <c r="E765" t="s">
        <v>327</v>
      </c>
      <c r="F765" t="s">
        <v>529</v>
      </c>
      <c r="G765">
        <v>2</v>
      </c>
      <c r="H765">
        <v>767</v>
      </c>
      <c r="I765" t="s">
        <v>530</v>
      </c>
      <c r="J765">
        <v>2500</v>
      </c>
      <c r="K765" s="8">
        <f>SUMIF(SoundCast_Data!$A$2:$A$1001,RouteID_Conversion!$H$2:$H$999,SoundCast_Data!$C$2:$C$1001)</f>
        <v>174.7820777893065</v>
      </c>
      <c r="Q765" s="8">
        <f>SUMIF(SoundCast_Data!$Q$2:$Q$1001,RouteID_Conversion!$H$2:$H$999,SoundCast_Data!$P$2:$P$1001)</f>
        <v>0</v>
      </c>
    </row>
    <row r="766" spans="1:17" x14ac:dyDescent="0.25">
      <c r="A766">
        <v>289</v>
      </c>
      <c r="B766">
        <v>110768</v>
      </c>
      <c r="C766">
        <v>1</v>
      </c>
      <c r="D766" t="s">
        <v>773</v>
      </c>
      <c r="E766" t="s">
        <v>327</v>
      </c>
      <c r="F766" t="s">
        <v>774</v>
      </c>
      <c r="G766">
        <v>2</v>
      </c>
      <c r="H766">
        <v>768</v>
      </c>
      <c r="I766" t="s">
        <v>775</v>
      </c>
      <c r="J766">
        <v>2497</v>
      </c>
      <c r="K766" s="8">
        <f>SUMIF(SoundCast_Data!$A$2:$A$1001,RouteID_Conversion!$H$2:$H$999,SoundCast_Data!$C$2:$C$1001)</f>
        <v>0</v>
      </c>
      <c r="Q766" s="8">
        <f>SUMIF(SoundCast_Data!$Q$2:$Q$1001,RouteID_Conversion!$H$2:$H$999,SoundCast_Data!$P$2:$P$1001)</f>
        <v>0</v>
      </c>
    </row>
    <row r="767" spans="1:17" x14ac:dyDescent="0.25">
      <c r="A767">
        <v>25</v>
      </c>
      <c r="B767">
        <v>110769</v>
      </c>
      <c r="C767">
        <v>1</v>
      </c>
      <c r="D767" t="s">
        <v>361</v>
      </c>
      <c r="E767" t="s">
        <v>327</v>
      </c>
      <c r="F767" t="s">
        <v>362</v>
      </c>
      <c r="G767">
        <v>2</v>
      </c>
      <c r="H767">
        <v>769</v>
      </c>
      <c r="I767" t="s">
        <v>363</v>
      </c>
      <c r="J767">
        <v>2496</v>
      </c>
      <c r="K767" s="8">
        <f>SUMIF(SoundCast_Data!$A$2:$A$1001,RouteID_Conversion!$H$2:$H$999,SoundCast_Data!$C$2:$C$1001)</f>
        <v>68.042628288268929</v>
      </c>
      <c r="Q767" s="8">
        <f>SUMIF(SoundCast_Data!$Q$2:$Q$1001,RouteID_Conversion!$H$2:$H$999,SoundCast_Data!$P$2:$P$1001)</f>
        <v>0</v>
      </c>
    </row>
    <row r="768" spans="1:17" x14ac:dyDescent="0.25">
      <c r="A768">
        <v>438</v>
      </c>
      <c r="B768">
        <v>110770</v>
      </c>
      <c r="C768">
        <v>1</v>
      </c>
      <c r="D768" t="s">
        <v>1004</v>
      </c>
      <c r="E768" t="s">
        <v>327</v>
      </c>
      <c r="F768" t="s">
        <v>1005</v>
      </c>
      <c r="G768">
        <v>2</v>
      </c>
      <c r="H768">
        <v>770</v>
      </c>
      <c r="I768" t="s">
        <v>1006</v>
      </c>
      <c r="J768">
        <v>2495</v>
      </c>
      <c r="K768" s="8">
        <f>SUMIF(SoundCast_Data!$A$2:$A$1001,RouteID_Conversion!$H$2:$H$999,SoundCast_Data!$C$2:$C$1001)</f>
        <v>20.787745952606191</v>
      </c>
      <c r="Q768" s="8">
        <f>SUMIF(SoundCast_Data!$Q$2:$Q$1001,RouteID_Conversion!$H$2:$H$999,SoundCast_Data!$P$2:$P$1001)</f>
        <v>0</v>
      </c>
    </row>
    <row r="769" spans="1:17" x14ac:dyDescent="0.25">
      <c r="A769">
        <v>446</v>
      </c>
      <c r="B769">
        <v>110771</v>
      </c>
      <c r="C769">
        <v>1</v>
      </c>
      <c r="D769" t="s">
        <v>1018</v>
      </c>
      <c r="E769" t="s">
        <v>327</v>
      </c>
      <c r="F769" t="s">
        <v>1019</v>
      </c>
      <c r="G769">
        <v>2</v>
      </c>
      <c r="H769">
        <v>771</v>
      </c>
      <c r="I769" t="s">
        <v>1020</v>
      </c>
      <c r="J769">
        <v>2490</v>
      </c>
      <c r="K769" s="8">
        <f>SUMIF(SoundCast_Data!$A$2:$A$1001,RouteID_Conversion!$H$2:$H$999,SoundCast_Data!$C$2:$C$1001)</f>
        <v>151.90649032592762</v>
      </c>
      <c r="Q769" s="8">
        <f>SUMIF(SoundCast_Data!$Q$2:$Q$1001,RouteID_Conversion!$H$2:$H$999,SoundCast_Data!$P$2:$P$1001)</f>
        <v>0</v>
      </c>
    </row>
    <row r="770" spans="1:17" x14ac:dyDescent="0.25">
      <c r="A770">
        <v>26</v>
      </c>
      <c r="B770">
        <v>110772</v>
      </c>
      <c r="C770">
        <v>1</v>
      </c>
      <c r="D770" t="s">
        <v>364</v>
      </c>
      <c r="E770" t="s">
        <v>327</v>
      </c>
      <c r="F770" t="s">
        <v>365</v>
      </c>
      <c r="G770">
        <v>2</v>
      </c>
      <c r="H770">
        <v>772</v>
      </c>
      <c r="I770" t="s">
        <v>366</v>
      </c>
      <c r="J770">
        <v>2048</v>
      </c>
      <c r="K770" s="8">
        <f>SUMIF(SoundCast_Data!$A$2:$A$1001,RouteID_Conversion!$H$2:$H$999,SoundCast_Data!$C$2:$C$1001)</f>
        <v>23.99007320404051</v>
      </c>
      <c r="Q770" s="8">
        <f>SUMIF(SoundCast_Data!$Q$2:$Q$1001,RouteID_Conversion!$H$2:$H$999,SoundCast_Data!$P$2:$P$1001)</f>
        <v>0</v>
      </c>
    </row>
    <row r="771" spans="1:17" x14ac:dyDescent="0.25">
      <c r="A771">
        <v>290</v>
      </c>
      <c r="B771">
        <v>110773</v>
      </c>
      <c r="C771">
        <v>1</v>
      </c>
      <c r="D771" t="s">
        <v>776</v>
      </c>
      <c r="E771" t="s">
        <v>327</v>
      </c>
      <c r="F771" t="s">
        <v>365</v>
      </c>
      <c r="G771">
        <v>2</v>
      </c>
      <c r="H771">
        <v>773</v>
      </c>
      <c r="I771" t="s">
        <v>366</v>
      </c>
      <c r="J771">
        <v>2048</v>
      </c>
      <c r="K771" s="8">
        <f>SUMIF(SoundCast_Data!$A$2:$A$1001,RouteID_Conversion!$H$2:$H$999,SoundCast_Data!$C$2:$C$1001)</f>
        <v>184.45386123657218</v>
      </c>
      <c r="Q771" s="8">
        <f>SUMIF(SoundCast_Data!$Q$2:$Q$1001,RouteID_Conversion!$H$2:$H$999,SoundCast_Data!$P$2:$P$1001)</f>
        <v>0</v>
      </c>
    </row>
    <row r="772" spans="1:17" x14ac:dyDescent="0.25">
      <c r="A772">
        <v>291</v>
      </c>
      <c r="B772">
        <v>110774</v>
      </c>
      <c r="C772">
        <v>1</v>
      </c>
      <c r="D772" t="s">
        <v>777</v>
      </c>
      <c r="E772" t="s">
        <v>327</v>
      </c>
      <c r="F772" t="s">
        <v>365</v>
      </c>
      <c r="G772">
        <v>2</v>
      </c>
      <c r="H772">
        <v>774</v>
      </c>
      <c r="I772" t="s">
        <v>366</v>
      </c>
      <c r="J772">
        <v>2048</v>
      </c>
      <c r="K772" s="8">
        <f>SUMIF(SoundCast_Data!$A$2:$A$1001,RouteID_Conversion!$H$2:$H$999,SoundCast_Data!$C$2:$C$1001)</f>
        <v>119.489719390869</v>
      </c>
      <c r="Q772" s="8">
        <f>SUMIF(SoundCast_Data!$Q$2:$Q$1001,RouteID_Conversion!$H$2:$H$999,SoundCast_Data!$P$2:$P$1001)</f>
        <v>0</v>
      </c>
    </row>
    <row r="773" spans="1:17" x14ac:dyDescent="0.25">
      <c r="A773">
        <v>27</v>
      </c>
      <c r="B773">
        <v>110775</v>
      </c>
      <c r="C773">
        <v>1</v>
      </c>
      <c r="D773" t="s">
        <v>367</v>
      </c>
      <c r="E773" t="s">
        <v>327</v>
      </c>
      <c r="F773" t="s">
        <v>368</v>
      </c>
      <c r="G773">
        <v>2</v>
      </c>
      <c r="H773">
        <v>775</v>
      </c>
      <c r="I773" t="s">
        <v>369</v>
      </c>
      <c r="J773">
        <v>2045</v>
      </c>
      <c r="K773" s="8">
        <f>SUMIF(SoundCast_Data!$A$2:$A$1001,RouteID_Conversion!$H$2:$H$999,SoundCast_Data!$C$2:$C$1001)</f>
        <v>118.27249526977531</v>
      </c>
      <c r="Q773" s="8">
        <f>SUMIF(SoundCast_Data!$Q$2:$Q$1001,RouteID_Conversion!$H$2:$H$999,SoundCast_Data!$P$2:$P$1001)</f>
        <v>0</v>
      </c>
    </row>
    <row r="774" spans="1:17" x14ac:dyDescent="0.25">
      <c r="A774">
        <v>28</v>
      </c>
      <c r="B774">
        <v>110776</v>
      </c>
      <c r="C774">
        <v>1</v>
      </c>
      <c r="D774" t="s">
        <v>370</v>
      </c>
      <c r="E774" t="s">
        <v>327</v>
      </c>
      <c r="F774" t="s">
        <v>368</v>
      </c>
      <c r="G774">
        <v>2</v>
      </c>
      <c r="H774">
        <v>776</v>
      </c>
      <c r="I774" t="s">
        <v>369</v>
      </c>
      <c r="J774">
        <v>2045</v>
      </c>
      <c r="K774" s="8">
        <f>SUMIF(SoundCast_Data!$A$2:$A$1001,RouteID_Conversion!$H$2:$H$999,SoundCast_Data!$C$2:$C$1001)</f>
        <v>24.83496093749995</v>
      </c>
      <c r="Q774" s="8">
        <f>SUMIF(SoundCast_Data!$Q$2:$Q$1001,RouteID_Conversion!$H$2:$H$999,SoundCast_Data!$P$2:$P$1001)</f>
        <v>0</v>
      </c>
    </row>
    <row r="775" spans="1:17" x14ac:dyDescent="0.25">
      <c r="A775">
        <v>391</v>
      </c>
      <c r="B775">
        <v>110777</v>
      </c>
      <c r="C775">
        <v>1</v>
      </c>
      <c r="D775" t="s">
        <v>930</v>
      </c>
      <c r="E775" t="s">
        <v>327</v>
      </c>
      <c r="F775" t="s">
        <v>779</v>
      </c>
      <c r="G775">
        <v>2</v>
      </c>
      <c r="H775">
        <v>777</v>
      </c>
      <c r="I775" t="s">
        <v>780</v>
      </c>
      <c r="J775">
        <v>2444</v>
      </c>
      <c r="K775" s="8">
        <f>SUMIF(SoundCast_Data!$A$2:$A$1001,RouteID_Conversion!$H$2:$H$999,SoundCast_Data!$C$2:$C$1001)</f>
        <v>9.5763018131255997</v>
      </c>
      <c r="Q775" s="8">
        <f>SUMIF(SoundCast_Data!$Q$2:$Q$1001,RouteID_Conversion!$H$2:$H$999,SoundCast_Data!$P$2:$P$1001)</f>
        <v>0</v>
      </c>
    </row>
    <row r="776" spans="1:17" x14ac:dyDescent="0.25">
      <c r="A776">
        <v>292</v>
      </c>
      <c r="B776">
        <v>110778</v>
      </c>
      <c r="C776">
        <v>1</v>
      </c>
      <c r="D776" t="s">
        <v>778</v>
      </c>
      <c r="E776" t="s">
        <v>327</v>
      </c>
      <c r="F776" t="s">
        <v>779</v>
      </c>
      <c r="G776">
        <v>2</v>
      </c>
      <c r="H776">
        <v>778</v>
      </c>
      <c r="I776" t="s">
        <v>780</v>
      </c>
      <c r="J776">
        <v>2444</v>
      </c>
      <c r="K776" s="8">
        <f>SUMIF(SoundCast_Data!$A$2:$A$1001,RouteID_Conversion!$H$2:$H$999,SoundCast_Data!$C$2:$C$1001)</f>
        <v>7</v>
      </c>
      <c r="Q776" s="8">
        <f>SUMIF(SoundCast_Data!$Q$2:$Q$1001,RouteID_Conversion!$H$2:$H$999,SoundCast_Data!$P$2:$P$1001)</f>
        <v>0</v>
      </c>
    </row>
    <row r="777" spans="1:17" x14ac:dyDescent="0.25">
      <c r="A777">
        <v>97</v>
      </c>
      <c r="B777">
        <v>110779</v>
      </c>
      <c r="C777">
        <v>1</v>
      </c>
      <c r="D777" t="s">
        <v>474</v>
      </c>
      <c r="E777" t="s">
        <v>327</v>
      </c>
      <c r="F777" t="s">
        <v>475</v>
      </c>
      <c r="G777">
        <v>2</v>
      </c>
      <c r="H777">
        <v>779</v>
      </c>
      <c r="I777" t="s">
        <v>476</v>
      </c>
      <c r="J777">
        <v>2042</v>
      </c>
      <c r="K777" s="8">
        <f>SUMIF(SoundCast_Data!$A$2:$A$1001,RouteID_Conversion!$H$2:$H$999,SoundCast_Data!$C$2:$C$1001)</f>
        <v>126.32531356811501</v>
      </c>
      <c r="Q777" s="8">
        <f>SUMIF(SoundCast_Data!$Q$2:$Q$1001,RouteID_Conversion!$H$2:$H$999,SoundCast_Data!$P$2:$P$1001)</f>
        <v>0</v>
      </c>
    </row>
    <row r="778" spans="1:17" x14ac:dyDescent="0.25">
      <c r="A778">
        <v>98</v>
      </c>
      <c r="B778">
        <v>110780</v>
      </c>
      <c r="C778">
        <v>1</v>
      </c>
      <c r="D778" t="s">
        <v>477</v>
      </c>
      <c r="E778" t="s">
        <v>327</v>
      </c>
      <c r="F778" t="s">
        <v>475</v>
      </c>
      <c r="G778">
        <v>2</v>
      </c>
      <c r="H778">
        <v>780</v>
      </c>
      <c r="I778" t="s">
        <v>476</v>
      </c>
      <c r="J778">
        <v>2042</v>
      </c>
      <c r="K778" s="8">
        <f>SUMIF(SoundCast_Data!$A$2:$A$1001,RouteID_Conversion!$H$2:$H$999,SoundCast_Data!$C$2:$C$1001)</f>
        <v>30.16339778900133</v>
      </c>
      <c r="Q778" s="8">
        <f>SUMIF(SoundCast_Data!$Q$2:$Q$1001,RouteID_Conversion!$H$2:$H$999,SoundCast_Data!$P$2:$P$1001)</f>
        <v>0</v>
      </c>
    </row>
    <row r="779" spans="1:17" x14ac:dyDescent="0.25">
      <c r="A779">
        <v>392</v>
      </c>
      <c r="B779">
        <v>110781</v>
      </c>
      <c r="C779">
        <v>1</v>
      </c>
      <c r="D779" t="s">
        <v>931</v>
      </c>
      <c r="E779" t="s">
        <v>327</v>
      </c>
      <c r="F779" t="s">
        <v>932</v>
      </c>
      <c r="G779">
        <v>2</v>
      </c>
      <c r="H779">
        <v>781</v>
      </c>
      <c r="I779" t="s">
        <v>933</v>
      </c>
      <c r="J779">
        <v>2413</v>
      </c>
      <c r="K779" s="8">
        <f>SUMIF(SoundCast_Data!$A$2:$A$1001,RouteID_Conversion!$H$2:$H$999,SoundCast_Data!$C$2:$C$1001)</f>
        <v>17.811697006225568</v>
      </c>
      <c r="Q779" s="8">
        <f>SUMIF(SoundCast_Data!$Q$2:$Q$1001,RouteID_Conversion!$H$2:$H$999,SoundCast_Data!$P$2:$P$1001)</f>
        <v>0</v>
      </c>
    </row>
    <row r="780" spans="1:17" x14ac:dyDescent="0.25">
      <c r="A780">
        <v>393</v>
      </c>
      <c r="B780">
        <v>110782</v>
      </c>
      <c r="C780">
        <v>1</v>
      </c>
      <c r="D780" t="s">
        <v>934</v>
      </c>
      <c r="E780" t="s">
        <v>327</v>
      </c>
      <c r="F780" t="s">
        <v>932</v>
      </c>
      <c r="G780">
        <v>2</v>
      </c>
      <c r="H780">
        <v>782</v>
      </c>
      <c r="I780" t="s">
        <v>933</v>
      </c>
      <c r="J780">
        <v>2413</v>
      </c>
      <c r="K780" s="8">
        <f>SUMIF(SoundCast_Data!$A$2:$A$1001,RouteID_Conversion!$H$2:$H$999,SoundCast_Data!$C$2:$C$1001)</f>
        <v>10.892307996749869</v>
      </c>
      <c r="Q780" s="8">
        <f>SUMIF(SoundCast_Data!$Q$2:$Q$1001,RouteID_Conversion!$H$2:$H$999,SoundCast_Data!$P$2:$P$1001)</f>
        <v>0</v>
      </c>
    </row>
    <row r="781" spans="1:17" x14ac:dyDescent="0.25">
      <c r="A781">
        <v>29</v>
      </c>
      <c r="B781">
        <v>110783</v>
      </c>
      <c r="C781">
        <v>1</v>
      </c>
      <c r="D781" t="s">
        <v>371</v>
      </c>
      <c r="E781" t="s">
        <v>327</v>
      </c>
      <c r="F781" t="s">
        <v>372</v>
      </c>
      <c r="G781">
        <v>2</v>
      </c>
      <c r="H781">
        <v>783</v>
      </c>
      <c r="I781" t="s">
        <v>373</v>
      </c>
      <c r="J781">
        <v>2410</v>
      </c>
      <c r="K781" s="8">
        <f>SUMIF(SoundCast_Data!$A$2:$A$1001,RouteID_Conversion!$H$2:$H$999,SoundCast_Data!$C$2:$C$1001)</f>
        <v>15.733933210372919</v>
      </c>
      <c r="Q781" s="8">
        <f>SUMIF(SoundCast_Data!$Q$2:$Q$1001,RouteID_Conversion!$H$2:$H$999,SoundCast_Data!$P$2:$P$1001)</f>
        <v>0</v>
      </c>
    </row>
    <row r="782" spans="1:17" x14ac:dyDescent="0.25">
      <c r="A782">
        <v>30</v>
      </c>
      <c r="B782">
        <v>110784</v>
      </c>
      <c r="C782">
        <v>1</v>
      </c>
      <c r="D782" t="s">
        <v>374</v>
      </c>
      <c r="E782" t="s">
        <v>327</v>
      </c>
      <c r="F782" t="s">
        <v>372</v>
      </c>
      <c r="G782">
        <v>2</v>
      </c>
      <c r="H782">
        <v>784</v>
      </c>
      <c r="I782" t="s">
        <v>373</v>
      </c>
      <c r="J782">
        <v>2410</v>
      </c>
      <c r="K782" s="8">
        <f>SUMIF(SoundCast_Data!$A$2:$A$1001,RouteID_Conversion!$H$2:$H$999,SoundCast_Data!$C$2:$C$1001)</f>
        <v>83.094655990600401</v>
      </c>
      <c r="Q782" s="8">
        <f>SUMIF(SoundCast_Data!$Q$2:$Q$1001,RouteID_Conversion!$H$2:$H$999,SoundCast_Data!$P$2:$P$1001)</f>
        <v>0</v>
      </c>
    </row>
    <row r="783" spans="1:17" x14ac:dyDescent="0.25">
      <c r="A783">
        <v>31</v>
      </c>
      <c r="B783">
        <v>110785</v>
      </c>
      <c r="C783">
        <v>1</v>
      </c>
      <c r="D783" t="s">
        <v>375</v>
      </c>
      <c r="E783" t="s">
        <v>327</v>
      </c>
      <c r="F783" t="s">
        <v>372</v>
      </c>
      <c r="G783">
        <v>2</v>
      </c>
      <c r="H783">
        <v>785</v>
      </c>
      <c r="I783" t="s">
        <v>373</v>
      </c>
      <c r="J783">
        <v>2410</v>
      </c>
      <c r="K783" s="8">
        <f>SUMIF(SoundCast_Data!$A$2:$A$1001,RouteID_Conversion!$H$2:$H$999,SoundCast_Data!$C$2:$C$1001)</f>
        <v>113.38721466064442</v>
      </c>
      <c r="Q783" s="8">
        <f>SUMIF(SoundCast_Data!$Q$2:$Q$1001,RouteID_Conversion!$H$2:$H$999,SoundCast_Data!$P$2:$P$1001)</f>
        <v>0</v>
      </c>
    </row>
    <row r="784" spans="1:17" x14ac:dyDescent="0.25">
      <c r="A784">
        <v>32</v>
      </c>
      <c r="B784">
        <v>110786</v>
      </c>
      <c r="C784">
        <v>1</v>
      </c>
      <c r="D784" t="s">
        <v>376</v>
      </c>
      <c r="E784" t="s">
        <v>327</v>
      </c>
      <c r="F784" t="s">
        <v>372</v>
      </c>
      <c r="G784">
        <v>2</v>
      </c>
      <c r="H784">
        <v>786</v>
      </c>
      <c r="I784" t="s">
        <v>373</v>
      </c>
      <c r="J784">
        <v>2410</v>
      </c>
      <c r="K784" s="8">
        <f>SUMIF(SoundCast_Data!$A$2:$A$1001,RouteID_Conversion!$H$2:$H$999,SoundCast_Data!$C$2:$C$1001)</f>
        <v>75.504695892333899</v>
      </c>
      <c r="Q784" s="8">
        <f>SUMIF(SoundCast_Data!$Q$2:$Q$1001,RouteID_Conversion!$H$2:$H$999,SoundCast_Data!$P$2:$P$1001)</f>
        <v>0</v>
      </c>
    </row>
    <row r="785" spans="1:17" x14ac:dyDescent="0.25">
      <c r="A785">
        <v>293</v>
      </c>
      <c r="B785">
        <v>110787</v>
      </c>
      <c r="C785">
        <v>1</v>
      </c>
      <c r="D785" t="s">
        <v>781</v>
      </c>
      <c r="E785" t="s">
        <v>327</v>
      </c>
      <c r="F785" t="s">
        <v>782</v>
      </c>
      <c r="G785">
        <v>2</v>
      </c>
      <c r="H785">
        <v>787</v>
      </c>
      <c r="I785" t="s">
        <v>783</v>
      </c>
      <c r="J785">
        <v>2041</v>
      </c>
      <c r="K785" s="8">
        <f>SUMIF(SoundCast_Data!$A$2:$A$1001,RouteID_Conversion!$H$2:$H$999,SoundCast_Data!$C$2:$C$1001)</f>
        <v>150.58755874633769</v>
      </c>
      <c r="Q785" s="8">
        <f>SUMIF(SoundCast_Data!$Q$2:$Q$1001,RouteID_Conversion!$H$2:$H$999,SoundCast_Data!$P$2:$P$1001)</f>
        <v>0</v>
      </c>
    </row>
    <row r="786" spans="1:17" x14ac:dyDescent="0.25">
      <c r="A786">
        <v>294</v>
      </c>
      <c r="B786">
        <v>110788</v>
      </c>
      <c r="C786">
        <v>1</v>
      </c>
      <c r="D786" t="s">
        <v>784</v>
      </c>
      <c r="E786" t="s">
        <v>327</v>
      </c>
      <c r="F786" t="s">
        <v>782</v>
      </c>
      <c r="G786">
        <v>2</v>
      </c>
      <c r="H786">
        <v>788</v>
      </c>
      <c r="I786" t="s">
        <v>783</v>
      </c>
      <c r="J786">
        <v>2041</v>
      </c>
      <c r="K786" s="8">
        <f>SUMIF(SoundCast_Data!$A$2:$A$1001,RouteID_Conversion!$H$2:$H$999,SoundCast_Data!$C$2:$C$1001)</f>
        <v>116.5875282287596</v>
      </c>
      <c r="Q786" s="8">
        <f>SUMIF(SoundCast_Data!$Q$2:$Q$1001,RouteID_Conversion!$H$2:$H$999,SoundCast_Data!$P$2:$P$1001)</f>
        <v>0</v>
      </c>
    </row>
    <row r="787" spans="1:17" x14ac:dyDescent="0.25">
      <c r="A787">
        <v>103</v>
      </c>
      <c r="B787">
        <v>110789</v>
      </c>
      <c r="C787">
        <v>1</v>
      </c>
      <c r="D787" t="s">
        <v>485</v>
      </c>
      <c r="E787" t="s">
        <v>327</v>
      </c>
      <c r="F787" t="s">
        <v>486</v>
      </c>
      <c r="G787">
        <v>2</v>
      </c>
      <c r="H787">
        <v>789</v>
      </c>
      <c r="I787" t="s">
        <v>487</v>
      </c>
      <c r="J787">
        <v>2409</v>
      </c>
      <c r="K787" s="8">
        <f>SUMIF(SoundCast_Data!$A$2:$A$1001,RouteID_Conversion!$H$2:$H$999,SoundCast_Data!$C$2:$C$1001)</f>
        <v>165.95449447631822</v>
      </c>
      <c r="Q787" s="8">
        <f>SUMIF(SoundCast_Data!$Q$2:$Q$1001,RouteID_Conversion!$H$2:$H$999,SoundCast_Data!$P$2:$P$1001)</f>
        <v>0</v>
      </c>
    </row>
    <row r="788" spans="1:17" x14ac:dyDescent="0.25">
      <c r="A788">
        <v>104</v>
      </c>
      <c r="B788">
        <v>110790</v>
      </c>
      <c r="C788">
        <v>1</v>
      </c>
      <c r="D788" t="s">
        <v>488</v>
      </c>
      <c r="E788" t="s">
        <v>327</v>
      </c>
      <c r="F788" t="s">
        <v>486</v>
      </c>
      <c r="G788">
        <v>2</v>
      </c>
      <c r="H788">
        <v>790</v>
      </c>
      <c r="I788" t="s">
        <v>487</v>
      </c>
      <c r="J788">
        <v>2409</v>
      </c>
      <c r="K788" s="8">
        <f>SUMIF(SoundCast_Data!$A$2:$A$1001,RouteID_Conversion!$H$2:$H$999,SoundCast_Data!$C$2:$C$1001)</f>
        <v>110.37961578369119</v>
      </c>
      <c r="Q788" s="8">
        <f>SUMIF(SoundCast_Data!$Q$2:$Q$1001,RouteID_Conversion!$H$2:$H$999,SoundCast_Data!$P$2:$P$1001)</f>
        <v>0</v>
      </c>
    </row>
    <row r="789" spans="1:17" x14ac:dyDescent="0.25">
      <c r="A789">
        <v>33</v>
      </c>
      <c r="B789">
        <v>110791</v>
      </c>
      <c r="C789">
        <v>1</v>
      </c>
      <c r="D789" t="s">
        <v>377</v>
      </c>
      <c r="E789" t="s">
        <v>327</v>
      </c>
      <c r="F789" t="s">
        <v>378</v>
      </c>
      <c r="G789">
        <v>2</v>
      </c>
      <c r="H789">
        <v>791</v>
      </c>
      <c r="I789" t="s">
        <v>379</v>
      </c>
      <c r="J789">
        <v>2408</v>
      </c>
      <c r="K789" s="8">
        <f>SUMIF(SoundCast_Data!$A$2:$A$1001,RouteID_Conversion!$H$2:$H$999,SoundCast_Data!$C$2:$C$1001)</f>
        <v>0</v>
      </c>
      <c r="Q789" s="8">
        <f>SUMIF(SoundCast_Data!$Q$2:$Q$1001,RouteID_Conversion!$H$2:$H$999,SoundCast_Data!$P$2:$P$1001)</f>
        <v>0</v>
      </c>
    </row>
    <row r="790" spans="1:17" x14ac:dyDescent="0.25">
      <c r="A790">
        <v>34</v>
      </c>
      <c r="B790">
        <v>110792</v>
      </c>
      <c r="C790">
        <v>1</v>
      </c>
      <c r="D790" t="s">
        <v>380</v>
      </c>
      <c r="E790" t="s">
        <v>327</v>
      </c>
      <c r="F790" t="s">
        <v>378</v>
      </c>
      <c r="G790">
        <v>2</v>
      </c>
      <c r="H790">
        <v>792</v>
      </c>
      <c r="I790" t="s">
        <v>379</v>
      </c>
      <c r="J790">
        <v>2408</v>
      </c>
      <c r="K790" s="8">
        <f>SUMIF(SoundCast_Data!$A$2:$A$1001,RouteID_Conversion!$H$2:$H$999,SoundCast_Data!$C$2:$C$1001)</f>
        <v>0</v>
      </c>
      <c r="Q790" s="8">
        <f>SUMIF(SoundCast_Data!$Q$2:$Q$1001,RouteID_Conversion!$H$2:$H$999,SoundCast_Data!$P$2:$P$1001)</f>
        <v>0</v>
      </c>
    </row>
    <row r="791" spans="1:17" x14ac:dyDescent="0.25">
      <c r="A791">
        <v>295</v>
      </c>
      <c r="B791">
        <v>110793</v>
      </c>
      <c r="C791">
        <v>1</v>
      </c>
      <c r="D791" t="s">
        <v>785</v>
      </c>
      <c r="E791" t="s">
        <v>327</v>
      </c>
      <c r="F791" t="s">
        <v>786</v>
      </c>
      <c r="G791">
        <v>2</v>
      </c>
      <c r="H791">
        <v>793</v>
      </c>
      <c r="I791" t="s">
        <v>787</v>
      </c>
      <c r="J791">
        <v>2407</v>
      </c>
      <c r="K791" s="8">
        <f>SUMIF(SoundCast_Data!$A$2:$A$1001,RouteID_Conversion!$H$2:$H$999,SoundCast_Data!$C$2:$C$1001)</f>
        <v>0</v>
      </c>
      <c r="Q791" s="8">
        <f>SUMIF(SoundCast_Data!$Q$2:$Q$1001,RouteID_Conversion!$H$2:$H$999,SoundCast_Data!$P$2:$P$1001)</f>
        <v>0</v>
      </c>
    </row>
    <row r="792" spans="1:17" x14ac:dyDescent="0.25">
      <c r="A792">
        <v>296</v>
      </c>
      <c r="B792">
        <v>110794</v>
      </c>
      <c r="C792">
        <v>1</v>
      </c>
      <c r="D792" t="s">
        <v>788</v>
      </c>
      <c r="E792" t="s">
        <v>327</v>
      </c>
      <c r="F792" t="s">
        <v>786</v>
      </c>
      <c r="G792">
        <v>2</v>
      </c>
      <c r="H792">
        <v>794</v>
      </c>
      <c r="I792" t="s">
        <v>787</v>
      </c>
      <c r="J792">
        <v>2407</v>
      </c>
      <c r="K792" s="8">
        <f>SUMIF(SoundCast_Data!$A$2:$A$1001,RouteID_Conversion!$H$2:$H$999,SoundCast_Data!$C$2:$C$1001)</f>
        <v>6.6666670143604195E-2</v>
      </c>
      <c r="Q792" s="8">
        <f>SUMIF(SoundCast_Data!$Q$2:$Q$1001,RouteID_Conversion!$H$2:$H$999,SoundCast_Data!$P$2:$P$1001)</f>
        <v>0</v>
      </c>
    </row>
    <row r="793" spans="1:17" x14ac:dyDescent="0.25">
      <c r="A793">
        <v>752</v>
      </c>
      <c r="B793">
        <v>110795</v>
      </c>
      <c r="C793">
        <v>1</v>
      </c>
      <c r="D793" t="s">
        <v>1466</v>
      </c>
      <c r="E793" t="s">
        <v>327</v>
      </c>
      <c r="F793" t="s">
        <v>1467</v>
      </c>
      <c r="G793">
        <v>2</v>
      </c>
      <c r="H793">
        <v>795</v>
      </c>
      <c r="I793" t="s">
        <v>1468</v>
      </c>
      <c r="J793">
        <v>2406</v>
      </c>
      <c r="K793" s="8">
        <f>SUMIF(SoundCast_Data!$A$2:$A$1001,RouteID_Conversion!$H$2:$H$999,SoundCast_Data!$C$2:$C$1001)</f>
        <v>0.13333334028720839</v>
      </c>
      <c r="Q793" s="8">
        <f>SUMIF(SoundCast_Data!$Q$2:$Q$1001,RouteID_Conversion!$H$2:$H$999,SoundCast_Data!$P$2:$P$1001)</f>
        <v>0</v>
      </c>
    </row>
    <row r="794" spans="1:17" x14ac:dyDescent="0.25">
      <c r="A794">
        <v>753</v>
      </c>
      <c r="B794">
        <v>110796</v>
      </c>
      <c r="C794">
        <v>1</v>
      </c>
      <c r="D794" t="s">
        <v>1469</v>
      </c>
      <c r="E794" t="s">
        <v>327</v>
      </c>
      <c r="F794" t="s">
        <v>1467</v>
      </c>
      <c r="G794">
        <v>2</v>
      </c>
      <c r="H794">
        <v>796</v>
      </c>
      <c r="I794" t="s">
        <v>1468</v>
      </c>
      <c r="J794">
        <v>2406</v>
      </c>
      <c r="K794" s="8">
        <f>SUMIF(SoundCast_Data!$A$2:$A$1001,RouteID_Conversion!$H$2:$H$999,SoundCast_Data!$C$2:$C$1001)</f>
        <v>5</v>
      </c>
      <c r="Q794" s="8">
        <f>SUMIF(SoundCast_Data!$Q$2:$Q$1001,RouteID_Conversion!$H$2:$H$999,SoundCast_Data!$P$2:$P$1001)</f>
        <v>0</v>
      </c>
    </row>
    <row r="795" spans="1:17" x14ac:dyDescent="0.25">
      <c r="A795">
        <v>709</v>
      </c>
      <c r="B795">
        <v>110797</v>
      </c>
      <c r="C795">
        <v>1</v>
      </c>
      <c r="D795" t="s">
        <v>1388</v>
      </c>
      <c r="E795" t="s">
        <v>327</v>
      </c>
      <c r="F795" t="s">
        <v>1389</v>
      </c>
      <c r="G795">
        <v>2</v>
      </c>
      <c r="H795">
        <v>797</v>
      </c>
      <c r="I795" t="s">
        <v>1390</v>
      </c>
      <c r="J795">
        <v>2402</v>
      </c>
      <c r="K795" s="8">
        <f>SUMIF(SoundCast_Data!$A$2:$A$1001,RouteID_Conversion!$H$2:$H$999,SoundCast_Data!$C$2:$C$1001)</f>
        <v>57.095857620239094</v>
      </c>
      <c r="Q795" s="8">
        <f>SUMIF(SoundCast_Data!$Q$2:$Q$1001,RouteID_Conversion!$H$2:$H$999,SoundCast_Data!$P$2:$P$1001)</f>
        <v>0</v>
      </c>
    </row>
    <row r="796" spans="1:17" x14ac:dyDescent="0.25">
      <c r="A796">
        <v>710</v>
      </c>
      <c r="B796">
        <v>110798</v>
      </c>
      <c r="C796">
        <v>1</v>
      </c>
      <c r="D796" t="s">
        <v>1391</v>
      </c>
      <c r="E796" t="s">
        <v>327</v>
      </c>
      <c r="F796" t="s">
        <v>1389</v>
      </c>
      <c r="G796">
        <v>2</v>
      </c>
      <c r="H796">
        <v>798</v>
      </c>
      <c r="I796" t="s">
        <v>1390</v>
      </c>
      <c r="J796">
        <v>2402</v>
      </c>
      <c r="K796" s="8">
        <f>SUMIF(SoundCast_Data!$A$2:$A$1001,RouteID_Conversion!$H$2:$H$999,SoundCast_Data!$C$2:$C$1001)</f>
        <v>28.64485311508173</v>
      </c>
      <c r="Q796" s="8">
        <f>SUMIF(SoundCast_Data!$Q$2:$Q$1001,RouteID_Conversion!$H$2:$H$999,SoundCast_Data!$P$2:$P$1001)</f>
        <v>0</v>
      </c>
    </row>
    <row r="797" spans="1:17" x14ac:dyDescent="0.25">
      <c r="A797">
        <v>711</v>
      </c>
      <c r="B797">
        <v>110799</v>
      </c>
      <c r="C797">
        <v>1</v>
      </c>
      <c r="D797" t="s">
        <v>1392</v>
      </c>
      <c r="E797" t="s">
        <v>327</v>
      </c>
      <c r="F797" t="s">
        <v>1389</v>
      </c>
      <c r="G797">
        <v>2</v>
      </c>
      <c r="H797">
        <v>799</v>
      </c>
      <c r="I797" t="s">
        <v>1390</v>
      </c>
      <c r="J797">
        <v>2402</v>
      </c>
      <c r="K797" s="8">
        <f>SUMIF(SoundCast_Data!$A$2:$A$1001,RouteID_Conversion!$H$2:$H$999,SoundCast_Data!$C$2:$C$1001)</f>
        <v>198.96262359619132</v>
      </c>
      <c r="Q797" s="8">
        <f>SUMIF(SoundCast_Data!$Q$2:$Q$1001,RouteID_Conversion!$H$2:$H$999,SoundCast_Data!$P$2:$P$1001)</f>
        <v>0</v>
      </c>
    </row>
    <row r="798" spans="1:17" x14ac:dyDescent="0.25">
      <c r="A798">
        <v>712</v>
      </c>
      <c r="B798">
        <v>110800</v>
      </c>
      <c r="C798">
        <v>1</v>
      </c>
      <c r="D798" t="s">
        <v>1393</v>
      </c>
      <c r="E798" t="s">
        <v>327</v>
      </c>
      <c r="F798" t="s">
        <v>1389</v>
      </c>
      <c r="G798">
        <v>2</v>
      </c>
      <c r="H798">
        <v>800</v>
      </c>
      <c r="I798" t="s">
        <v>1390</v>
      </c>
      <c r="J798">
        <v>2402</v>
      </c>
      <c r="K798" s="8">
        <f>SUMIF(SoundCast_Data!$A$2:$A$1001,RouteID_Conversion!$H$2:$H$999,SoundCast_Data!$C$2:$C$1001)</f>
        <v>129.9756927490233</v>
      </c>
      <c r="Q798" s="8">
        <f>SUMIF(SoundCast_Data!$Q$2:$Q$1001,RouteID_Conversion!$H$2:$H$999,SoundCast_Data!$P$2:$P$1001)</f>
        <v>0</v>
      </c>
    </row>
    <row r="799" spans="1:17" x14ac:dyDescent="0.25">
      <c r="A799">
        <v>713</v>
      </c>
      <c r="B799">
        <v>110801</v>
      </c>
      <c r="C799">
        <v>1</v>
      </c>
      <c r="D799" t="s">
        <v>1394</v>
      </c>
      <c r="E799" t="s">
        <v>327</v>
      </c>
      <c r="F799" t="s">
        <v>1389</v>
      </c>
      <c r="G799">
        <v>2</v>
      </c>
      <c r="H799">
        <v>801</v>
      </c>
      <c r="I799" t="s">
        <v>1390</v>
      </c>
      <c r="J799">
        <v>2402</v>
      </c>
      <c r="K799" s="8">
        <f>SUMIF(SoundCast_Data!$A$2:$A$1001,RouteID_Conversion!$H$2:$H$999,SoundCast_Data!$C$2:$C$1001)</f>
        <v>102.26712036132801</v>
      </c>
      <c r="Q799" s="8">
        <f>SUMIF(SoundCast_Data!$Q$2:$Q$1001,RouteID_Conversion!$H$2:$H$999,SoundCast_Data!$P$2:$P$1001)</f>
        <v>0</v>
      </c>
    </row>
    <row r="800" spans="1:17" x14ac:dyDescent="0.25">
      <c r="A800">
        <v>394</v>
      </c>
      <c r="B800">
        <v>110802</v>
      </c>
      <c r="C800">
        <v>1</v>
      </c>
      <c r="D800" t="s">
        <v>793</v>
      </c>
      <c r="E800" t="s">
        <v>327</v>
      </c>
      <c r="F800" t="s">
        <v>790</v>
      </c>
      <c r="G800">
        <v>2</v>
      </c>
      <c r="H800">
        <v>802</v>
      </c>
      <c r="I800" t="s">
        <v>791</v>
      </c>
      <c r="J800">
        <v>2300</v>
      </c>
      <c r="K800" s="8">
        <f>SUMIF(SoundCast_Data!$A$2:$A$1001,RouteID_Conversion!$H$2:$H$999,SoundCast_Data!$C$2:$C$1001)</f>
        <v>83.343709945678498</v>
      </c>
      <c r="Q800" s="8">
        <f>SUMIF(SoundCast_Data!$Q$2:$Q$1001,RouteID_Conversion!$H$2:$H$999,SoundCast_Data!$P$2:$P$1001)</f>
        <v>0</v>
      </c>
    </row>
    <row r="801" spans="1:17" x14ac:dyDescent="0.25">
      <c r="A801">
        <v>297</v>
      </c>
      <c r="B801">
        <v>110803</v>
      </c>
      <c r="C801">
        <v>1</v>
      </c>
      <c r="D801" t="s">
        <v>789</v>
      </c>
      <c r="E801" t="s">
        <v>327</v>
      </c>
      <c r="F801" t="s">
        <v>790</v>
      </c>
      <c r="G801">
        <v>2</v>
      </c>
      <c r="H801">
        <v>803</v>
      </c>
      <c r="I801" t="s">
        <v>791</v>
      </c>
      <c r="J801">
        <v>2300</v>
      </c>
      <c r="K801" s="8">
        <f>SUMIF(SoundCast_Data!$A$2:$A$1001,RouteID_Conversion!$H$2:$H$999,SoundCast_Data!$C$2:$C$1001)</f>
        <v>62.507791519164897</v>
      </c>
      <c r="Q801" s="8">
        <f>SUMIF(SoundCast_Data!$Q$2:$Q$1001,RouteID_Conversion!$H$2:$H$999,SoundCast_Data!$P$2:$P$1001)</f>
        <v>0</v>
      </c>
    </row>
    <row r="802" spans="1:17" x14ac:dyDescent="0.25">
      <c r="A802">
        <v>298</v>
      </c>
      <c r="B802">
        <v>110804</v>
      </c>
      <c r="C802">
        <v>1</v>
      </c>
      <c r="D802" t="s">
        <v>792</v>
      </c>
      <c r="E802" t="s">
        <v>327</v>
      </c>
      <c r="F802" t="s">
        <v>790</v>
      </c>
      <c r="G802">
        <v>2</v>
      </c>
      <c r="H802">
        <v>804</v>
      </c>
      <c r="I802" t="s">
        <v>791</v>
      </c>
      <c r="J802">
        <v>2300</v>
      </c>
      <c r="K802" s="8">
        <f>SUMIF(SoundCast_Data!$A$2:$A$1001,RouteID_Conversion!$H$2:$H$999,SoundCast_Data!$C$2:$C$1001)</f>
        <v>78.061447143554489</v>
      </c>
      <c r="Q802" s="8">
        <f>SUMIF(SoundCast_Data!$Q$2:$Q$1001,RouteID_Conversion!$H$2:$H$999,SoundCast_Data!$P$2:$P$1001)</f>
        <v>0</v>
      </c>
    </row>
    <row r="803" spans="1:17" x14ac:dyDescent="0.25">
      <c r="A803">
        <v>299</v>
      </c>
      <c r="B803">
        <v>110805</v>
      </c>
      <c r="C803">
        <v>1</v>
      </c>
      <c r="D803" t="s">
        <v>793</v>
      </c>
      <c r="E803" t="s">
        <v>327</v>
      </c>
      <c r="F803" t="s">
        <v>790</v>
      </c>
      <c r="G803">
        <v>2</v>
      </c>
      <c r="H803">
        <v>805</v>
      </c>
      <c r="I803" t="s">
        <v>791</v>
      </c>
      <c r="J803">
        <v>2300</v>
      </c>
      <c r="K803" s="8">
        <f>SUMIF(SoundCast_Data!$A$2:$A$1001,RouteID_Conversion!$H$2:$H$999,SoundCast_Data!$C$2:$C$1001)</f>
        <v>15.61228942871093</v>
      </c>
      <c r="Q803" s="8">
        <f>SUMIF(SoundCast_Data!$Q$2:$Q$1001,RouteID_Conversion!$H$2:$H$999,SoundCast_Data!$P$2:$P$1001)</f>
        <v>0</v>
      </c>
    </row>
    <row r="804" spans="1:17" x14ac:dyDescent="0.25">
      <c r="A804">
        <v>300</v>
      </c>
      <c r="B804">
        <v>110806</v>
      </c>
      <c r="C804">
        <v>1</v>
      </c>
      <c r="D804" t="s">
        <v>794</v>
      </c>
      <c r="E804" t="s">
        <v>327</v>
      </c>
      <c r="F804" t="s">
        <v>795</v>
      </c>
      <c r="G804">
        <v>2</v>
      </c>
      <c r="H804">
        <v>806</v>
      </c>
      <c r="I804" t="s">
        <v>796</v>
      </c>
      <c r="J804">
        <v>2003</v>
      </c>
      <c r="K804" s="8">
        <f>SUMIF(SoundCast_Data!$A$2:$A$1001,RouteID_Conversion!$H$2:$H$999,SoundCast_Data!$C$2:$C$1001)</f>
        <v>677.71014404296704</v>
      </c>
      <c r="Q804" s="8">
        <f>SUMIF(SoundCast_Data!$Q$2:$Q$1001,RouteID_Conversion!$H$2:$H$999,SoundCast_Data!$P$2:$P$1001)</f>
        <v>0</v>
      </c>
    </row>
    <row r="805" spans="1:17" x14ac:dyDescent="0.25">
      <c r="A805">
        <v>395</v>
      </c>
      <c r="B805">
        <v>110807</v>
      </c>
      <c r="C805">
        <v>1</v>
      </c>
      <c r="D805" t="s">
        <v>935</v>
      </c>
      <c r="E805" t="s">
        <v>327</v>
      </c>
      <c r="F805" t="s">
        <v>795</v>
      </c>
      <c r="G805">
        <v>2</v>
      </c>
      <c r="H805">
        <v>807</v>
      </c>
      <c r="I805" t="s">
        <v>796</v>
      </c>
      <c r="J805">
        <v>2003</v>
      </c>
      <c r="K805" s="8">
        <f>SUMIF(SoundCast_Data!$A$2:$A$1001,RouteID_Conversion!$H$2:$H$999,SoundCast_Data!$C$2:$C$1001)</f>
        <v>277.07077789306618</v>
      </c>
      <c r="Q805" s="8">
        <f>SUMIF(SoundCast_Data!$Q$2:$Q$1001,RouteID_Conversion!$H$2:$H$999,SoundCast_Data!$P$2:$P$1001)</f>
        <v>0</v>
      </c>
    </row>
    <row r="806" spans="1:17" x14ac:dyDescent="0.25">
      <c r="A806">
        <v>473</v>
      </c>
      <c r="B806">
        <v>110808</v>
      </c>
      <c r="C806">
        <v>1</v>
      </c>
      <c r="D806" t="s">
        <v>1052</v>
      </c>
      <c r="E806" t="s">
        <v>327</v>
      </c>
      <c r="F806" t="s">
        <v>431</v>
      </c>
      <c r="G806">
        <v>2</v>
      </c>
      <c r="H806">
        <v>808</v>
      </c>
      <c r="I806" t="s">
        <v>432</v>
      </c>
      <c r="J806">
        <v>2028</v>
      </c>
      <c r="K806" s="8">
        <f>SUMIF(SoundCast_Data!$A$2:$A$1001,RouteID_Conversion!$H$2:$H$999,SoundCast_Data!$C$2:$C$1001)</f>
        <v>57.601198196411097</v>
      </c>
      <c r="Q806" s="8">
        <f>SUMIF(SoundCast_Data!$Q$2:$Q$1001,RouteID_Conversion!$H$2:$H$999,SoundCast_Data!$P$2:$P$1001)</f>
        <v>0</v>
      </c>
    </row>
    <row r="807" spans="1:17" x14ac:dyDescent="0.25">
      <c r="A807">
        <v>73</v>
      </c>
      <c r="B807">
        <v>110809</v>
      </c>
      <c r="C807">
        <v>1</v>
      </c>
      <c r="D807" t="s">
        <v>430</v>
      </c>
      <c r="E807" t="s">
        <v>327</v>
      </c>
      <c r="F807" t="s">
        <v>431</v>
      </c>
      <c r="G807">
        <v>2</v>
      </c>
      <c r="H807">
        <v>809</v>
      </c>
      <c r="I807" t="s">
        <v>432</v>
      </c>
      <c r="J807">
        <v>2028</v>
      </c>
      <c r="K807" s="8">
        <f>SUMIF(SoundCast_Data!$A$2:$A$1001,RouteID_Conversion!$H$2:$H$999,SoundCast_Data!$C$2:$C$1001)</f>
        <v>19.493702888488752</v>
      </c>
      <c r="Q807" s="8">
        <f>SUMIF(SoundCast_Data!$Q$2:$Q$1001,RouteID_Conversion!$H$2:$H$999,SoundCast_Data!$P$2:$P$1001)</f>
        <v>0</v>
      </c>
    </row>
    <row r="808" spans="1:17" x14ac:dyDescent="0.25">
      <c r="A808">
        <v>430</v>
      </c>
      <c r="B808">
        <v>110810</v>
      </c>
      <c r="C808">
        <v>1</v>
      </c>
      <c r="D808" t="s">
        <v>989</v>
      </c>
      <c r="E808" t="s">
        <v>327</v>
      </c>
      <c r="F808" t="s">
        <v>990</v>
      </c>
      <c r="G808">
        <v>2</v>
      </c>
      <c r="H808">
        <v>810</v>
      </c>
      <c r="I808" t="s">
        <v>991</v>
      </c>
      <c r="J808">
        <v>2026</v>
      </c>
      <c r="K808" s="8">
        <f>SUMIF(SoundCast_Data!$A$2:$A$1001,RouteID_Conversion!$H$2:$H$999,SoundCast_Data!$C$2:$C$1001)</f>
        <v>10.29299688339232</v>
      </c>
      <c r="Q808" s="8">
        <f>SUMIF(SoundCast_Data!$Q$2:$Q$1001,RouteID_Conversion!$H$2:$H$999,SoundCast_Data!$P$2:$P$1001)</f>
        <v>0</v>
      </c>
    </row>
    <row r="809" spans="1:17" x14ac:dyDescent="0.25">
      <c r="A809">
        <v>35</v>
      </c>
      <c r="B809">
        <v>110811</v>
      </c>
      <c r="C809">
        <v>1</v>
      </c>
      <c r="D809" t="s">
        <v>381</v>
      </c>
      <c r="E809" t="s">
        <v>327</v>
      </c>
      <c r="F809" t="s">
        <v>382</v>
      </c>
      <c r="G809">
        <v>2</v>
      </c>
      <c r="H809">
        <v>811</v>
      </c>
      <c r="I809" t="s">
        <v>383</v>
      </c>
      <c r="J809">
        <v>2220</v>
      </c>
      <c r="K809" s="8">
        <f>SUMIF(SoundCast_Data!$A$2:$A$1001,RouteID_Conversion!$H$2:$H$999,SoundCast_Data!$C$2:$C$1001)</f>
        <v>54.849155426025192</v>
      </c>
      <c r="Q809" s="8">
        <f>SUMIF(SoundCast_Data!$Q$2:$Q$1001,RouteID_Conversion!$H$2:$H$999,SoundCast_Data!$P$2:$P$1001)</f>
        <v>0</v>
      </c>
    </row>
    <row r="810" spans="1:17" x14ac:dyDescent="0.25">
      <c r="A810">
        <v>36</v>
      </c>
      <c r="B810">
        <v>110812</v>
      </c>
      <c r="C810">
        <v>1</v>
      </c>
      <c r="D810" t="s">
        <v>384</v>
      </c>
      <c r="E810" t="s">
        <v>327</v>
      </c>
      <c r="F810" t="s">
        <v>382</v>
      </c>
      <c r="G810">
        <v>2</v>
      </c>
      <c r="H810">
        <v>812</v>
      </c>
      <c r="I810" t="s">
        <v>383</v>
      </c>
      <c r="J810">
        <v>2220</v>
      </c>
      <c r="K810" s="8">
        <f>SUMIF(SoundCast_Data!$A$2:$A$1001,RouteID_Conversion!$H$2:$H$999,SoundCast_Data!$C$2:$C$1001)</f>
        <v>46.652176856994501</v>
      </c>
      <c r="Q810" s="8">
        <f>SUMIF(SoundCast_Data!$Q$2:$Q$1001,RouteID_Conversion!$H$2:$H$999,SoundCast_Data!$P$2:$P$1001)</f>
        <v>0</v>
      </c>
    </row>
    <row r="811" spans="1:17" x14ac:dyDescent="0.25">
      <c r="A811">
        <v>439</v>
      </c>
      <c r="B811">
        <v>110813</v>
      </c>
      <c r="C811">
        <v>1</v>
      </c>
      <c r="D811" t="s">
        <v>1007</v>
      </c>
      <c r="E811" t="s">
        <v>327</v>
      </c>
      <c r="F811" t="s">
        <v>1008</v>
      </c>
      <c r="G811">
        <v>2</v>
      </c>
      <c r="H811">
        <v>813</v>
      </c>
      <c r="I811" t="s">
        <v>1009</v>
      </c>
      <c r="J811">
        <v>2214</v>
      </c>
      <c r="K811" s="8">
        <f>SUMIF(SoundCast_Data!$A$2:$A$1001,RouteID_Conversion!$H$2:$H$999,SoundCast_Data!$C$2:$C$1001)</f>
        <v>61</v>
      </c>
      <c r="Q811" s="8">
        <f>SUMIF(SoundCast_Data!$Q$2:$Q$1001,RouteID_Conversion!$H$2:$H$999,SoundCast_Data!$P$2:$P$1001)</f>
        <v>0</v>
      </c>
    </row>
    <row r="812" spans="1:17" x14ac:dyDescent="0.25">
      <c r="A812">
        <v>440</v>
      </c>
      <c r="B812">
        <v>110814</v>
      </c>
      <c r="C812">
        <v>1</v>
      </c>
      <c r="D812" t="s">
        <v>1010</v>
      </c>
      <c r="E812" t="s">
        <v>327</v>
      </c>
      <c r="F812" t="s">
        <v>1008</v>
      </c>
      <c r="G812">
        <v>2</v>
      </c>
      <c r="H812">
        <v>814</v>
      </c>
      <c r="I812" t="s">
        <v>1009</v>
      </c>
      <c r="J812">
        <v>2214</v>
      </c>
      <c r="K812" s="8">
        <f>SUMIF(SoundCast_Data!$A$2:$A$1001,RouteID_Conversion!$H$2:$H$999,SoundCast_Data!$C$2:$C$1001)</f>
        <v>60.5127334594725</v>
      </c>
      <c r="Q812" s="8">
        <f>SUMIF(SoundCast_Data!$Q$2:$Q$1001,RouteID_Conversion!$H$2:$H$999,SoundCast_Data!$P$2:$P$1001)</f>
        <v>0</v>
      </c>
    </row>
    <row r="813" spans="1:17" x14ac:dyDescent="0.25">
      <c r="A813">
        <v>301</v>
      </c>
      <c r="B813">
        <v>110815</v>
      </c>
      <c r="C813">
        <v>1</v>
      </c>
      <c r="D813" t="s">
        <v>797</v>
      </c>
      <c r="E813" t="s">
        <v>327</v>
      </c>
      <c r="F813" t="s">
        <v>798</v>
      </c>
      <c r="G813">
        <v>2</v>
      </c>
      <c r="H813">
        <v>815</v>
      </c>
      <c r="I813" t="s">
        <v>799</v>
      </c>
      <c r="J813">
        <v>2212</v>
      </c>
      <c r="K813" s="8">
        <f>SUMIF(SoundCast_Data!$A$2:$A$1001,RouteID_Conversion!$H$2:$H$999,SoundCast_Data!$C$2:$C$1001)</f>
        <v>41.700000762939297</v>
      </c>
      <c r="Q813" s="8">
        <f>SUMIF(SoundCast_Data!$Q$2:$Q$1001,RouteID_Conversion!$H$2:$H$999,SoundCast_Data!$P$2:$P$1001)</f>
        <v>0</v>
      </c>
    </row>
    <row r="814" spans="1:17" x14ac:dyDescent="0.25">
      <c r="A814">
        <v>302</v>
      </c>
      <c r="B814">
        <v>110816</v>
      </c>
      <c r="C814">
        <v>1</v>
      </c>
      <c r="D814" t="s">
        <v>800</v>
      </c>
      <c r="E814" t="s">
        <v>327</v>
      </c>
      <c r="F814" t="s">
        <v>798</v>
      </c>
      <c r="G814">
        <v>2</v>
      </c>
      <c r="H814">
        <v>816</v>
      </c>
      <c r="I814" t="s">
        <v>799</v>
      </c>
      <c r="J814">
        <v>2212</v>
      </c>
      <c r="K814" s="8">
        <f>SUMIF(SoundCast_Data!$A$2:$A$1001,RouteID_Conversion!$H$2:$H$999,SoundCast_Data!$C$2:$C$1001)</f>
        <v>12.83987355232237</v>
      </c>
      <c r="Q814" s="8">
        <f>SUMIF(SoundCast_Data!$Q$2:$Q$1001,RouteID_Conversion!$H$2:$H$999,SoundCast_Data!$P$2:$P$1001)</f>
        <v>0</v>
      </c>
    </row>
    <row r="815" spans="1:17" x14ac:dyDescent="0.25">
      <c r="A815">
        <v>431</v>
      </c>
      <c r="B815">
        <v>110817</v>
      </c>
      <c r="C815">
        <v>1</v>
      </c>
      <c r="D815" t="s">
        <v>992</v>
      </c>
      <c r="E815" t="s">
        <v>327</v>
      </c>
      <c r="F815" t="s">
        <v>798</v>
      </c>
      <c r="G815">
        <v>2</v>
      </c>
      <c r="H815">
        <v>817</v>
      </c>
      <c r="I815" t="s">
        <v>799</v>
      </c>
      <c r="J815">
        <v>2212</v>
      </c>
      <c r="K815" s="8">
        <f>SUMIF(SoundCast_Data!$A$2:$A$1001,RouteID_Conversion!$H$2:$H$999,SoundCast_Data!$C$2:$C$1001)</f>
        <v>26.999747276306103</v>
      </c>
      <c r="Q815" s="8">
        <f>SUMIF(SoundCast_Data!$Q$2:$Q$1001,RouteID_Conversion!$H$2:$H$999,SoundCast_Data!$P$2:$P$1001)</f>
        <v>0</v>
      </c>
    </row>
    <row r="816" spans="1:17" x14ac:dyDescent="0.25">
      <c r="A816">
        <v>436</v>
      </c>
      <c r="B816">
        <v>110818</v>
      </c>
      <c r="C816">
        <v>1</v>
      </c>
      <c r="D816" t="s">
        <v>1000</v>
      </c>
      <c r="E816" t="s">
        <v>327</v>
      </c>
      <c r="F816" t="s">
        <v>386</v>
      </c>
      <c r="G816">
        <v>2</v>
      </c>
      <c r="H816">
        <v>818</v>
      </c>
      <c r="I816" t="s">
        <v>387</v>
      </c>
      <c r="J816">
        <v>2207</v>
      </c>
      <c r="K816" s="8">
        <f>SUMIF(SoundCast_Data!$A$2:$A$1001,RouteID_Conversion!$H$2:$H$999,SoundCast_Data!$C$2:$C$1001)</f>
        <v>3.9061899185180504</v>
      </c>
      <c r="Q816" s="8">
        <f>SUMIF(SoundCast_Data!$Q$2:$Q$1001,RouteID_Conversion!$H$2:$H$999,SoundCast_Data!$P$2:$P$1001)</f>
        <v>0</v>
      </c>
    </row>
    <row r="817" spans="1:17" x14ac:dyDescent="0.25">
      <c r="A817">
        <v>37</v>
      </c>
      <c r="B817">
        <v>110819</v>
      </c>
      <c r="C817">
        <v>1</v>
      </c>
      <c r="D817" t="s">
        <v>385</v>
      </c>
      <c r="E817" t="s">
        <v>327</v>
      </c>
      <c r="F817" t="s">
        <v>386</v>
      </c>
      <c r="G817">
        <v>2</v>
      </c>
      <c r="H817">
        <v>819</v>
      </c>
      <c r="I817" t="s">
        <v>387</v>
      </c>
      <c r="J817">
        <v>2207</v>
      </c>
      <c r="K817" s="8">
        <f>SUMIF(SoundCast_Data!$A$2:$A$1001,RouteID_Conversion!$H$2:$H$999,SoundCast_Data!$C$2:$C$1001)</f>
        <v>3.9061899185180504</v>
      </c>
      <c r="Q817" s="8">
        <f>SUMIF(SoundCast_Data!$Q$2:$Q$1001,RouteID_Conversion!$H$2:$H$999,SoundCast_Data!$P$2:$P$1001)</f>
        <v>0</v>
      </c>
    </row>
    <row r="818" spans="1:17" x14ac:dyDescent="0.25">
      <c r="A818">
        <v>995</v>
      </c>
      <c r="B818">
        <v>110820</v>
      </c>
      <c r="C818">
        <v>1</v>
      </c>
      <c r="D818" t="s">
        <v>1831</v>
      </c>
      <c r="E818" t="s">
        <v>327</v>
      </c>
      <c r="F818" t="s">
        <v>386</v>
      </c>
      <c r="G818">
        <v>2</v>
      </c>
      <c r="H818">
        <v>820</v>
      </c>
      <c r="I818" t="s">
        <v>387</v>
      </c>
      <c r="J818">
        <v>2207</v>
      </c>
      <c r="K818" s="8">
        <f>SUMIF(SoundCast_Data!$A$2:$A$1001,RouteID_Conversion!$H$2:$H$999,SoundCast_Data!$C$2:$C$1001)</f>
        <v>11.718569755554189</v>
      </c>
      <c r="Q818" s="8">
        <f>SUMIF(SoundCast_Data!$Q$2:$Q$1001,RouteID_Conversion!$H$2:$H$999,SoundCast_Data!$P$2:$P$1001)</f>
        <v>0</v>
      </c>
    </row>
    <row r="819" spans="1:17" x14ac:dyDescent="0.25">
      <c r="A819">
        <v>38</v>
      </c>
      <c r="B819">
        <v>110821</v>
      </c>
      <c r="C819">
        <v>1</v>
      </c>
      <c r="D819" t="s">
        <v>388</v>
      </c>
      <c r="E819" t="s">
        <v>327</v>
      </c>
      <c r="F819" t="s">
        <v>389</v>
      </c>
      <c r="G819">
        <v>2</v>
      </c>
      <c r="H819">
        <v>821</v>
      </c>
      <c r="I819" t="s">
        <v>390</v>
      </c>
      <c r="J819">
        <v>2206</v>
      </c>
      <c r="K819" s="8">
        <f>SUMIF(SoundCast_Data!$A$2:$A$1001,RouteID_Conversion!$H$2:$H$999,SoundCast_Data!$C$2:$C$1001)</f>
        <v>77.133975982665902</v>
      </c>
      <c r="Q819" s="8">
        <f>SUMIF(SoundCast_Data!$Q$2:$Q$1001,RouteID_Conversion!$H$2:$H$999,SoundCast_Data!$P$2:$P$1001)</f>
        <v>0</v>
      </c>
    </row>
    <row r="820" spans="1:17" x14ac:dyDescent="0.25">
      <c r="A820">
        <v>39</v>
      </c>
      <c r="B820">
        <v>110822</v>
      </c>
      <c r="C820">
        <v>1</v>
      </c>
      <c r="D820" t="s">
        <v>391</v>
      </c>
      <c r="E820" t="s">
        <v>327</v>
      </c>
      <c r="F820" t="s">
        <v>389</v>
      </c>
      <c r="G820">
        <v>2</v>
      </c>
      <c r="H820">
        <v>822</v>
      </c>
      <c r="I820" t="s">
        <v>390</v>
      </c>
      <c r="J820">
        <v>2206</v>
      </c>
      <c r="K820" s="8">
        <f>SUMIF(SoundCast_Data!$A$2:$A$1001,RouteID_Conversion!$H$2:$H$999,SoundCast_Data!$C$2:$C$1001)</f>
        <v>77.722934722900192</v>
      </c>
      <c r="Q820" s="8">
        <f>SUMIF(SoundCast_Data!$Q$2:$Q$1001,RouteID_Conversion!$H$2:$H$999,SoundCast_Data!$P$2:$P$1001)</f>
        <v>0</v>
      </c>
    </row>
    <row r="821" spans="1:17" x14ac:dyDescent="0.25">
      <c r="A821">
        <v>303</v>
      </c>
      <c r="B821">
        <v>110823</v>
      </c>
      <c r="C821">
        <v>1</v>
      </c>
      <c r="D821" t="s">
        <v>801</v>
      </c>
      <c r="E821" t="s">
        <v>327</v>
      </c>
      <c r="F821" t="s">
        <v>802</v>
      </c>
      <c r="G821">
        <v>2</v>
      </c>
      <c r="H821">
        <v>823</v>
      </c>
      <c r="I821" t="s">
        <v>803</v>
      </c>
      <c r="J821">
        <v>2204</v>
      </c>
      <c r="K821" s="8">
        <f>SUMIF(SoundCast_Data!$A$2:$A$1001,RouteID_Conversion!$H$2:$H$999,SoundCast_Data!$C$2:$C$1001)</f>
        <v>174.5833740234373</v>
      </c>
      <c r="Q821" s="8">
        <f>SUMIF(SoundCast_Data!$Q$2:$Q$1001,RouteID_Conversion!$H$2:$H$999,SoundCast_Data!$P$2:$P$1001)</f>
        <v>0</v>
      </c>
    </row>
    <row r="822" spans="1:17" x14ac:dyDescent="0.25">
      <c r="A822">
        <v>396</v>
      </c>
      <c r="B822">
        <v>110824</v>
      </c>
      <c r="C822">
        <v>1</v>
      </c>
      <c r="D822" t="s">
        <v>936</v>
      </c>
      <c r="E822" t="s">
        <v>327</v>
      </c>
      <c r="F822" t="s">
        <v>802</v>
      </c>
      <c r="G822">
        <v>2</v>
      </c>
      <c r="H822">
        <v>824</v>
      </c>
      <c r="I822" t="s">
        <v>803</v>
      </c>
      <c r="J822">
        <v>2204</v>
      </c>
      <c r="K822" s="8">
        <f>SUMIF(SoundCast_Data!$A$2:$A$1001,RouteID_Conversion!$H$2:$H$999,SoundCast_Data!$C$2:$C$1001)</f>
        <v>328.99845123290839</v>
      </c>
      <c r="Q822" s="8">
        <f>SUMIF(SoundCast_Data!$Q$2:$Q$1001,RouteID_Conversion!$H$2:$H$999,SoundCast_Data!$P$2:$P$1001)</f>
        <v>0</v>
      </c>
    </row>
    <row r="823" spans="1:17" x14ac:dyDescent="0.25">
      <c r="A823">
        <v>40</v>
      </c>
      <c r="B823">
        <v>110825</v>
      </c>
      <c r="C823">
        <v>1</v>
      </c>
      <c r="D823" t="s">
        <v>392</v>
      </c>
      <c r="E823" t="s">
        <v>327</v>
      </c>
      <c r="F823" t="s">
        <v>393</v>
      </c>
      <c r="G823">
        <v>2</v>
      </c>
      <c r="H823">
        <v>825</v>
      </c>
      <c r="I823" t="s">
        <v>394</v>
      </c>
      <c r="J823">
        <v>2202</v>
      </c>
      <c r="K823" s="8">
        <f>SUMIF(SoundCast_Data!$A$2:$A$1001,RouteID_Conversion!$H$2:$H$999,SoundCast_Data!$C$2:$C$1001)</f>
        <v>103.54883384704569</v>
      </c>
      <c r="Q823" s="8">
        <f>SUMIF(SoundCast_Data!$Q$2:$Q$1001,RouteID_Conversion!$H$2:$H$999,SoundCast_Data!$P$2:$P$1001)</f>
        <v>0</v>
      </c>
    </row>
    <row r="824" spans="1:17" x14ac:dyDescent="0.25">
      <c r="A824">
        <v>41</v>
      </c>
      <c r="B824">
        <v>110826</v>
      </c>
      <c r="C824">
        <v>1</v>
      </c>
      <c r="D824" t="s">
        <v>395</v>
      </c>
      <c r="E824" t="s">
        <v>327</v>
      </c>
      <c r="F824" t="s">
        <v>393</v>
      </c>
      <c r="G824">
        <v>2</v>
      </c>
      <c r="H824">
        <v>826</v>
      </c>
      <c r="I824" t="s">
        <v>394</v>
      </c>
      <c r="J824">
        <v>2202</v>
      </c>
      <c r="K824" s="8">
        <f>SUMIF(SoundCast_Data!$A$2:$A$1001,RouteID_Conversion!$H$2:$H$999,SoundCast_Data!$C$2:$C$1001)</f>
        <v>144.91436004638661</v>
      </c>
      <c r="Q824" s="8">
        <f>SUMIF(SoundCast_Data!$Q$2:$Q$1001,RouteID_Conversion!$H$2:$H$999,SoundCast_Data!$P$2:$P$1001)</f>
        <v>0</v>
      </c>
    </row>
    <row r="825" spans="1:17" x14ac:dyDescent="0.25">
      <c r="A825">
        <v>397</v>
      </c>
      <c r="B825">
        <v>110827</v>
      </c>
      <c r="C825">
        <v>1</v>
      </c>
      <c r="D825" t="s">
        <v>937</v>
      </c>
      <c r="E825" t="s">
        <v>327</v>
      </c>
      <c r="F825" t="s">
        <v>805</v>
      </c>
      <c r="G825">
        <v>2</v>
      </c>
      <c r="H825">
        <v>827</v>
      </c>
      <c r="I825" t="s">
        <v>806</v>
      </c>
      <c r="J825">
        <v>2002</v>
      </c>
      <c r="K825" s="8">
        <f>SUMIF(SoundCast_Data!$A$2:$A$1001,RouteID_Conversion!$H$2:$H$999,SoundCast_Data!$C$2:$C$1001)</f>
        <v>1048.1430664062491</v>
      </c>
      <c r="Q825" s="8">
        <f>SUMIF(SoundCast_Data!$Q$2:$Q$1001,RouteID_Conversion!$H$2:$H$999,SoundCast_Data!$P$2:$P$1001)</f>
        <v>0</v>
      </c>
    </row>
    <row r="826" spans="1:17" x14ac:dyDescent="0.25">
      <c r="A826">
        <v>398</v>
      </c>
      <c r="B826">
        <v>110828</v>
      </c>
      <c r="C826">
        <v>1</v>
      </c>
      <c r="D826" t="s">
        <v>938</v>
      </c>
      <c r="E826" t="s">
        <v>327</v>
      </c>
      <c r="F826" t="s">
        <v>805</v>
      </c>
      <c r="G826">
        <v>2</v>
      </c>
      <c r="H826">
        <v>828</v>
      </c>
      <c r="I826" t="s">
        <v>806</v>
      </c>
      <c r="J826">
        <v>2002</v>
      </c>
      <c r="K826" s="8">
        <f>SUMIF(SoundCast_Data!$A$2:$A$1001,RouteID_Conversion!$H$2:$H$999,SoundCast_Data!$C$2:$C$1001)</f>
        <v>398.09170532226403</v>
      </c>
      <c r="Q826" s="8">
        <f>SUMIF(SoundCast_Data!$Q$2:$Q$1001,RouteID_Conversion!$H$2:$H$999,SoundCast_Data!$P$2:$P$1001)</f>
        <v>0</v>
      </c>
    </row>
    <row r="827" spans="1:17" x14ac:dyDescent="0.25">
      <c r="A827">
        <v>304</v>
      </c>
      <c r="B827">
        <v>110829</v>
      </c>
      <c r="C827">
        <v>1</v>
      </c>
      <c r="D827" t="s">
        <v>804</v>
      </c>
      <c r="E827" t="s">
        <v>327</v>
      </c>
      <c r="F827" t="s">
        <v>805</v>
      </c>
      <c r="G827">
        <v>2</v>
      </c>
      <c r="H827">
        <v>829</v>
      </c>
      <c r="I827" t="s">
        <v>806</v>
      </c>
      <c r="J827">
        <v>2002</v>
      </c>
      <c r="K827" s="8">
        <f>SUMIF(SoundCast_Data!$A$2:$A$1001,RouteID_Conversion!$H$2:$H$999,SoundCast_Data!$C$2:$C$1001)</f>
        <v>16.47822427749632</v>
      </c>
      <c r="Q827" s="8">
        <f>SUMIF(SoundCast_Data!$Q$2:$Q$1001,RouteID_Conversion!$H$2:$H$999,SoundCast_Data!$P$2:$P$1001)</f>
        <v>0</v>
      </c>
    </row>
    <row r="828" spans="1:17" x14ac:dyDescent="0.25">
      <c r="A828">
        <v>399</v>
      </c>
      <c r="B828">
        <v>110830</v>
      </c>
      <c r="C828">
        <v>1</v>
      </c>
      <c r="D828" t="s">
        <v>939</v>
      </c>
      <c r="E828" t="s">
        <v>327</v>
      </c>
      <c r="F828" t="s">
        <v>940</v>
      </c>
      <c r="G828">
        <v>2</v>
      </c>
      <c r="H828">
        <v>830</v>
      </c>
      <c r="I828" t="s">
        <v>941</v>
      </c>
      <c r="J828">
        <v>2016</v>
      </c>
      <c r="K828" s="8">
        <f>SUMIF(SoundCast_Data!$A$2:$A$1001,RouteID_Conversion!$H$2:$H$999,SoundCast_Data!$C$2:$C$1001)</f>
        <v>182.58726882934559</v>
      </c>
      <c r="Q828" s="8">
        <f>SUMIF(SoundCast_Data!$Q$2:$Q$1001,RouteID_Conversion!$H$2:$H$999,SoundCast_Data!$P$2:$P$1001)</f>
        <v>0</v>
      </c>
    </row>
    <row r="829" spans="1:17" x14ac:dyDescent="0.25">
      <c r="A829">
        <v>400</v>
      </c>
      <c r="B829">
        <v>110831</v>
      </c>
      <c r="C829">
        <v>1</v>
      </c>
      <c r="D829" t="s">
        <v>942</v>
      </c>
      <c r="E829" t="s">
        <v>327</v>
      </c>
      <c r="F829" t="s">
        <v>940</v>
      </c>
      <c r="G829">
        <v>2</v>
      </c>
      <c r="H829">
        <v>831</v>
      </c>
      <c r="I829" t="s">
        <v>941</v>
      </c>
      <c r="J829">
        <v>2016</v>
      </c>
      <c r="K829" s="8">
        <f>SUMIF(SoundCast_Data!$A$2:$A$1001,RouteID_Conversion!$H$2:$H$999,SoundCast_Data!$C$2:$C$1001)</f>
        <v>80.746118545532099</v>
      </c>
      <c r="Q829" s="8">
        <f>SUMIF(SoundCast_Data!$Q$2:$Q$1001,RouteID_Conversion!$H$2:$H$999,SoundCast_Data!$P$2:$P$1001)</f>
        <v>0</v>
      </c>
    </row>
    <row r="830" spans="1:17" x14ac:dyDescent="0.25">
      <c r="A830">
        <v>305</v>
      </c>
      <c r="B830">
        <v>110832</v>
      </c>
      <c r="C830">
        <v>1</v>
      </c>
      <c r="D830" t="s">
        <v>807</v>
      </c>
      <c r="E830" t="s">
        <v>327</v>
      </c>
      <c r="F830" t="s">
        <v>808</v>
      </c>
      <c r="G830">
        <v>2</v>
      </c>
      <c r="H830">
        <v>832</v>
      </c>
      <c r="I830" t="s">
        <v>809</v>
      </c>
      <c r="J830">
        <v>2013</v>
      </c>
      <c r="K830" s="8">
        <f>SUMIF(SoundCast_Data!$A$2:$A$1001,RouteID_Conversion!$H$2:$H$999,SoundCast_Data!$C$2:$C$1001)</f>
        <v>76.416854858398295</v>
      </c>
      <c r="Q830" s="8">
        <f>SUMIF(SoundCast_Data!$Q$2:$Q$1001,RouteID_Conversion!$H$2:$H$999,SoundCast_Data!$P$2:$P$1001)</f>
        <v>0</v>
      </c>
    </row>
    <row r="831" spans="1:17" x14ac:dyDescent="0.25">
      <c r="A831">
        <v>401</v>
      </c>
      <c r="B831">
        <v>110833</v>
      </c>
      <c r="C831">
        <v>1</v>
      </c>
      <c r="D831" t="s">
        <v>943</v>
      </c>
      <c r="E831" t="s">
        <v>327</v>
      </c>
      <c r="F831" t="s">
        <v>808</v>
      </c>
      <c r="G831">
        <v>2</v>
      </c>
      <c r="H831">
        <v>833</v>
      </c>
      <c r="I831" t="s">
        <v>809</v>
      </c>
      <c r="J831">
        <v>2013</v>
      </c>
      <c r="K831" s="8">
        <f>SUMIF(SoundCast_Data!$A$2:$A$1001,RouteID_Conversion!$H$2:$H$999,SoundCast_Data!$C$2:$C$1001)</f>
        <v>43.199619293212798</v>
      </c>
      <c r="Q831" s="8">
        <f>SUMIF(SoundCast_Data!$Q$2:$Q$1001,RouteID_Conversion!$H$2:$H$999,SoundCast_Data!$P$2:$P$1001)</f>
        <v>0</v>
      </c>
    </row>
    <row r="832" spans="1:17" x14ac:dyDescent="0.25">
      <c r="A832">
        <v>402</v>
      </c>
      <c r="B832">
        <v>110834</v>
      </c>
      <c r="C832">
        <v>1</v>
      </c>
      <c r="D832" t="s">
        <v>944</v>
      </c>
      <c r="E832" t="s">
        <v>327</v>
      </c>
      <c r="F832" t="s">
        <v>945</v>
      </c>
      <c r="G832">
        <v>2</v>
      </c>
      <c r="H832">
        <v>834</v>
      </c>
      <c r="I832" t="s">
        <v>946</v>
      </c>
      <c r="J832">
        <v>2113</v>
      </c>
      <c r="K832" s="8">
        <f>SUMIF(SoundCast_Data!$A$2:$A$1001,RouteID_Conversion!$H$2:$H$999,SoundCast_Data!$C$2:$C$1001)</f>
        <v>0.42857144773006295</v>
      </c>
      <c r="Q832" s="8">
        <f>SUMIF(SoundCast_Data!$Q$2:$Q$1001,RouteID_Conversion!$H$2:$H$999,SoundCast_Data!$P$2:$P$1001)</f>
        <v>0</v>
      </c>
    </row>
    <row r="833" spans="1:17" x14ac:dyDescent="0.25">
      <c r="A833">
        <v>403</v>
      </c>
      <c r="B833">
        <v>110835</v>
      </c>
      <c r="C833">
        <v>1</v>
      </c>
      <c r="D833" t="s">
        <v>947</v>
      </c>
      <c r="E833" t="s">
        <v>327</v>
      </c>
      <c r="F833" t="s">
        <v>945</v>
      </c>
      <c r="G833">
        <v>2</v>
      </c>
      <c r="H833">
        <v>835</v>
      </c>
      <c r="I833" t="s">
        <v>946</v>
      </c>
      <c r="J833">
        <v>2113</v>
      </c>
      <c r="K833" s="8">
        <f>SUMIF(SoundCast_Data!$A$2:$A$1001,RouteID_Conversion!$H$2:$H$999,SoundCast_Data!$C$2:$C$1001)</f>
        <v>1.9636363536119421</v>
      </c>
      <c r="Q833" s="8">
        <f>SUMIF(SoundCast_Data!$Q$2:$Q$1001,RouteID_Conversion!$H$2:$H$999,SoundCast_Data!$P$2:$P$1001)</f>
        <v>0</v>
      </c>
    </row>
    <row r="834" spans="1:17" x14ac:dyDescent="0.25">
      <c r="A834">
        <v>404</v>
      </c>
      <c r="B834">
        <v>110836</v>
      </c>
      <c r="C834">
        <v>1</v>
      </c>
      <c r="D834" t="s">
        <v>948</v>
      </c>
      <c r="E834" t="s">
        <v>327</v>
      </c>
      <c r="F834" t="s">
        <v>949</v>
      </c>
      <c r="G834">
        <v>2</v>
      </c>
      <c r="H834">
        <v>836</v>
      </c>
      <c r="I834" t="s">
        <v>950</v>
      </c>
      <c r="J834">
        <v>2011</v>
      </c>
      <c r="K834" s="8">
        <f>SUMIF(SoundCast_Data!$A$2:$A$1001,RouteID_Conversion!$H$2:$H$999,SoundCast_Data!$C$2:$C$1001)</f>
        <v>86.969442367553597</v>
      </c>
      <c r="Q834" s="8">
        <f>SUMIF(SoundCast_Data!$Q$2:$Q$1001,RouteID_Conversion!$H$2:$H$999,SoundCast_Data!$P$2:$P$1001)</f>
        <v>0</v>
      </c>
    </row>
    <row r="835" spans="1:17" x14ac:dyDescent="0.25">
      <c r="A835">
        <v>405</v>
      </c>
      <c r="B835">
        <v>110837</v>
      </c>
      <c r="C835">
        <v>1</v>
      </c>
      <c r="D835" t="s">
        <v>951</v>
      </c>
      <c r="E835" t="s">
        <v>327</v>
      </c>
      <c r="F835" t="s">
        <v>949</v>
      </c>
      <c r="G835">
        <v>2</v>
      </c>
      <c r="H835">
        <v>837</v>
      </c>
      <c r="I835" t="s">
        <v>950</v>
      </c>
      <c r="J835">
        <v>2011</v>
      </c>
      <c r="K835" s="8">
        <f>SUMIF(SoundCast_Data!$A$2:$A$1001,RouteID_Conversion!$H$2:$H$999,SoundCast_Data!$C$2:$C$1001)</f>
        <v>202.24127197265619</v>
      </c>
      <c r="Q835" s="8">
        <f>SUMIF(SoundCast_Data!$Q$2:$Q$1001,RouteID_Conversion!$H$2:$H$999,SoundCast_Data!$P$2:$P$1001)</f>
        <v>0</v>
      </c>
    </row>
    <row r="836" spans="1:17" x14ac:dyDescent="0.25">
      <c r="A836">
        <v>719</v>
      </c>
      <c r="B836">
        <v>110838</v>
      </c>
      <c r="C836">
        <v>1</v>
      </c>
      <c r="D836" t="s">
        <v>1403</v>
      </c>
      <c r="E836" t="s">
        <v>327</v>
      </c>
      <c r="F836" t="s">
        <v>1404</v>
      </c>
      <c r="G836">
        <v>2</v>
      </c>
      <c r="H836">
        <v>838</v>
      </c>
      <c r="I836" t="s">
        <v>1405</v>
      </c>
      <c r="J836">
        <v>2102</v>
      </c>
      <c r="K836" s="8">
        <f>SUMIF(SoundCast_Data!$A$2:$A$1001,RouteID_Conversion!$H$2:$H$999,SoundCast_Data!$C$2:$C$1001)</f>
        <v>265.87233734130837</v>
      </c>
      <c r="Q836" s="8">
        <f>SUMIF(SoundCast_Data!$Q$2:$Q$1001,RouteID_Conversion!$H$2:$H$999,SoundCast_Data!$P$2:$P$1001)</f>
        <v>0</v>
      </c>
    </row>
    <row r="837" spans="1:17" x14ac:dyDescent="0.25">
      <c r="A837">
        <v>306</v>
      </c>
      <c r="B837">
        <v>110839</v>
      </c>
      <c r="C837">
        <v>1</v>
      </c>
      <c r="D837" t="s">
        <v>810</v>
      </c>
      <c r="E837" t="s">
        <v>327</v>
      </c>
      <c r="F837" t="s">
        <v>811</v>
      </c>
      <c r="G837">
        <v>2</v>
      </c>
      <c r="H837">
        <v>839</v>
      </c>
      <c r="I837" t="s">
        <v>812</v>
      </c>
      <c r="J837">
        <v>2100</v>
      </c>
      <c r="K837" s="8">
        <f>SUMIF(SoundCast_Data!$A$2:$A$1001,RouteID_Conversion!$H$2:$H$999,SoundCast_Data!$C$2:$C$1001)</f>
        <v>133.28183746337871</v>
      </c>
      <c r="Q837" s="8">
        <f>SUMIF(SoundCast_Data!$Q$2:$Q$1001,RouteID_Conversion!$H$2:$H$999,SoundCast_Data!$P$2:$P$1001)</f>
        <v>0</v>
      </c>
    </row>
    <row r="838" spans="1:17" x14ac:dyDescent="0.25">
      <c r="A838">
        <v>307</v>
      </c>
      <c r="B838">
        <v>110840</v>
      </c>
      <c r="C838">
        <v>1</v>
      </c>
      <c r="D838" t="s">
        <v>813</v>
      </c>
      <c r="E838" t="s">
        <v>327</v>
      </c>
      <c r="F838" t="s">
        <v>811</v>
      </c>
      <c r="G838">
        <v>2</v>
      </c>
      <c r="H838">
        <v>840</v>
      </c>
      <c r="I838" t="s">
        <v>812</v>
      </c>
      <c r="J838">
        <v>2100</v>
      </c>
      <c r="K838" s="8">
        <f>SUMIF(SoundCast_Data!$A$2:$A$1001,RouteID_Conversion!$H$2:$H$999,SoundCast_Data!$C$2:$C$1001)</f>
        <v>115.66457748413072</v>
      </c>
      <c r="Q838" s="8">
        <f>SUMIF(SoundCast_Data!$Q$2:$Q$1001,RouteID_Conversion!$H$2:$H$999,SoundCast_Data!$P$2:$P$1001)</f>
        <v>0</v>
      </c>
    </row>
    <row r="839" spans="1:17" x14ac:dyDescent="0.25">
      <c r="A839">
        <v>308</v>
      </c>
      <c r="B839">
        <v>110841</v>
      </c>
      <c r="C839">
        <v>1</v>
      </c>
      <c r="D839" t="s">
        <v>814</v>
      </c>
      <c r="E839" t="s">
        <v>327</v>
      </c>
      <c r="F839" t="s">
        <v>815</v>
      </c>
      <c r="G839">
        <v>2</v>
      </c>
      <c r="H839">
        <v>841</v>
      </c>
      <c r="I839" t="s">
        <v>816</v>
      </c>
      <c r="J839">
        <v>2010</v>
      </c>
      <c r="K839" s="8">
        <f>SUMIF(SoundCast_Data!$A$2:$A$1001,RouteID_Conversion!$H$2:$H$999,SoundCast_Data!$C$2:$C$1001)</f>
        <v>29.801838874816802</v>
      </c>
      <c r="Q839" s="8">
        <f>SUMIF(SoundCast_Data!$Q$2:$Q$1001,RouteID_Conversion!$H$2:$H$999,SoundCast_Data!$P$2:$P$1001)</f>
        <v>0</v>
      </c>
    </row>
    <row r="840" spans="1:17" x14ac:dyDescent="0.25">
      <c r="A840">
        <v>309</v>
      </c>
      <c r="B840">
        <v>110842</v>
      </c>
      <c r="C840">
        <v>1</v>
      </c>
      <c r="D840" t="s">
        <v>817</v>
      </c>
      <c r="E840" t="s">
        <v>327</v>
      </c>
      <c r="F840" t="s">
        <v>815</v>
      </c>
      <c r="G840">
        <v>2</v>
      </c>
      <c r="H840">
        <v>842</v>
      </c>
      <c r="I840" t="s">
        <v>816</v>
      </c>
      <c r="J840">
        <v>2010</v>
      </c>
      <c r="K840" s="8">
        <f>SUMIF(SoundCast_Data!$A$2:$A$1001,RouteID_Conversion!$H$2:$H$999,SoundCast_Data!$C$2:$C$1001)</f>
        <v>85.038600921630703</v>
      </c>
      <c r="Q840" s="8">
        <f>SUMIF(SoundCast_Data!$Q$2:$Q$1001,RouteID_Conversion!$H$2:$H$999,SoundCast_Data!$P$2:$P$1001)</f>
        <v>0</v>
      </c>
    </row>
    <row r="841" spans="1:17" x14ac:dyDescent="0.25">
      <c r="A841">
        <v>99</v>
      </c>
      <c r="B841">
        <v>110843</v>
      </c>
      <c r="C841">
        <v>1</v>
      </c>
      <c r="D841" t="s">
        <v>478</v>
      </c>
      <c r="E841" t="s">
        <v>327</v>
      </c>
      <c r="F841" t="s">
        <v>479</v>
      </c>
      <c r="G841">
        <v>2</v>
      </c>
      <c r="H841">
        <v>843</v>
      </c>
      <c r="I841" t="s">
        <v>480</v>
      </c>
      <c r="J841">
        <v>2001</v>
      </c>
      <c r="K841" s="8">
        <f>SUMIF(SoundCast_Data!$A$2:$A$1001,RouteID_Conversion!$H$2:$H$999,SoundCast_Data!$C$2:$C$1001)</f>
        <v>935.60832214355298</v>
      </c>
      <c r="Q841" s="8">
        <f>SUMIF(SoundCast_Data!$Q$2:$Q$1001,RouteID_Conversion!$H$2:$H$999,SoundCast_Data!$P$2:$P$1001)</f>
        <v>0</v>
      </c>
    </row>
    <row r="842" spans="1:17" x14ac:dyDescent="0.25">
      <c r="A842">
        <v>100</v>
      </c>
      <c r="B842">
        <v>110844</v>
      </c>
      <c r="C842">
        <v>1</v>
      </c>
      <c r="D842" t="s">
        <v>481</v>
      </c>
      <c r="E842" t="s">
        <v>327</v>
      </c>
      <c r="F842" t="s">
        <v>482</v>
      </c>
      <c r="G842">
        <v>2</v>
      </c>
      <c r="H842">
        <v>844</v>
      </c>
      <c r="I842" t="s">
        <v>480</v>
      </c>
      <c r="J842">
        <v>2001</v>
      </c>
      <c r="K842" s="8">
        <f>SUMIF(SoundCast_Data!$A$2:$A$1001,RouteID_Conversion!$H$2:$H$999,SoundCast_Data!$C$2:$C$1001)</f>
        <v>709.58174133300599</v>
      </c>
      <c r="Q842" s="8">
        <f>SUMIF(SoundCast_Data!$Q$2:$Q$1001,RouteID_Conversion!$H$2:$H$999,SoundCast_Data!$P$2:$P$1001)</f>
        <v>0</v>
      </c>
    </row>
    <row r="843" spans="1:17" x14ac:dyDescent="0.25">
      <c r="A843">
        <v>406</v>
      </c>
      <c r="B843">
        <v>110845</v>
      </c>
      <c r="C843">
        <v>1</v>
      </c>
      <c r="D843" t="s">
        <v>952</v>
      </c>
      <c r="E843" t="s">
        <v>327</v>
      </c>
      <c r="F843" t="s">
        <v>479</v>
      </c>
      <c r="G843">
        <v>2</v>
      </c>
      <c r="H843">
        <v>845</v>
      </c>
      <c r="I843" t="s">
        <v>480</v>
      </c>
      <c r="J843">
        <v>2001</v>
      </c>
      <c r="K843" s="8">
        <f>SUMIF(SoundCast_Data!$A$2:$A$1001,RouteID_Conversion!$H$2:$H$999,SoundCast_Data!$C$2:$C$1001)</f>
        <v>559.800033569334</v>
      </c>
      <c r="Q843" s="8">
        <f>SUMIF(SoundCast_Data!$Q$2:$Q$1001,RouteID_Conversion!$H$2:$H$999,SoundCast_Data!$P$2:$P$1001)</f>
        <v>0</v>
      </c>
    </row>
    <row r="844" spans="1:17" x14ac:dyDescent="0.25">
      <c r="A844">
        <v>510</v>
      </c>
      <c r="B844">
        <v>110846</v>
      </c>
      <c r="C844">
        <v>1</v>
      </c>
      <c r="D844" t="s">
        <v>1115</v>
      </c>
      <c r="E844" t="s">
        <v>327</v>
      </c>
      <c r="F844" t="s">
        <v>482</v>
      </c>
      <c r="G844">
        <v>2</v>
      </c>
      <c r="H844">
        <v>846</v>
      </c>
      <c r="I844" t="s">
        <v>480</v>
      </c>
      <c r="J844">
        <v>2001</v>
      </c>
      <c r="K844" s="8">
        <f>SUMIF(SoundCast_Data!$A$2:$A$1001,RouteID_Conversion!$H$2:$H$999,SoundCast_Data!$C$2:$C$1001)</f>
        <v>568.73693847656091</v>
      </c>
      <c r="Q844" s="8">
        <f>SUMIF(SoundCast_Data!$Q$2:$Q$1001,RouteID_Conversion!$H$2:$H$999,SoundCast_Data!$P$2:$P$1001)</f>
        <v>0</v>
      </c>
    </row>
    <row r="845" spans="1:17" x14ac:dyDescent="0.25">
      <c r="A845">
        <v>715</v>
      </c>
      <c r="B845">
        <v>110847</v>
      </c>
      <c r="C845">
        <v>1</v>
      </c>
      <c r="D845" t="s">
        <v>1398</v>
      </c>
      <c r="E845" t="s">
        <v>327</v>
      </c>
      <c r="F845" t="s">
        <v>1399</v>
      </c>
      <c r="G845">
        <v>6</v>
      </c>
      <c r="H845">
        <v>847</v>
      </c>
      <c r="I845" t="s">
        <v>1397</v>
      </c>
      <c r="J845">
        <v>6578</v>
      </c>
      <c r="K845" s="8">
        <f>SUMIF(SoundCast_Data!$A$2:$A$1001,RouteID_Conversion!$H$2:$H$999,SoundCast_Data!$C$2:$C$1001)</f>
        <v>5.6824439167976326</v>
      </c>
      <c r="Q845" s="8">
        <f>SUMIF(SoundCast_Data!$Q$2:$Q$1001,RouteID_Conversion!$H$2:$H$999,SoundCast_Data!$P$2:$P$1001)</f>
        <v>0</v>
      </c>
    </row>
    <row r="846" spans="1:17" x14ac:dyDescent="0.25">
      <c r="A846">
        <v>437</v>
      </c>
      <c r="B846">
        <v>110848</v>
      </c>
      <c r="C846">
        <v>1</v>
      </c>
      <c r="D846" t="s">
        <v>1001</v>
      </c>
      <c r="E846" t="s">
        <v>327</v>
      </c>
      <c r="F846" t="s">
        <v>1002</v>
      </c>
      <c r="G846">
        <v>6</v>
      </c>
      <c r="H846">
        <v>848</v>
      </c>
      <c r="I846" t="s">
        <v>1003</v>
      </c>
      <c r="J846">
        <v>6592</v>
      </c>
      <c r="K846" s="8">
        <f>SUMIF(SoundCast_Data!$A$2:$A$1001,RouteID_Conversion!$H$2:$H$999,SoundCast_Data!$C$2:$C$1001)</f>
        <v>34.766998291015554</v>
      </c>
      <c r="Q846" s="8">
        <f>SUMIF(SoundCast_Data!$Q$2:$Q$1001,RouteID_Conversion!$H$2:$H$999,SoundCast_Data!$P$2:$P$1001)</f>
        <v>0</v>
      </c>
    </row>
    <row r="847" spans="1:17" x14ac:dyDescent="0.25">
      <c r="A847">
        <v>407</v>
      </c>
      <c r="B847">
        <v>110849</v>
      </c>
      <c r="C847">
        <v>1</v>
      </c>
      <c r="D847" t="s">
        <v>953</v>
      </c>
      <c r="E847" t="s">
        <v>327</v>
      </c>
      <c r="F847" t="s">
        <v>795</v>
      </c>
      <c r="G847">
        <v>2</v>
      </c>
      <c r="H847">
        <v>849</v>
      </c>
      <c r="I847" t="s">
        <v>796</v>
      </c>
      <c r="J847">
        <v>2003</v>
      </c>
      <c r="K847" s="8">
        <f>SUMIF(SoundCast_Data!$A$2:$A$1001,RouteID_Conversion!$H$2:$H$999,SoundCast_Data!$C$2:$C$1001)</f>
        <v>16.86258649826048</v>
      </c>
      <c r="Q847" s="8">
        <f>SUMIF(SoundCast_Data!$Q$2:$Q$1001,RouteID_Conversion!$H$2:$H$999,SoundCast_Data!$P$2:$P$1001)</f>
        <v>0</v>
      </c>
    </row>
    <row r="848" spans="1:17" x14ac:dyDescent="0.25">
      <c r="A848">
        <v>80</v>
      </c>
      <c r="B848">
        <v>110852</v>
      </c>
      <c r="C848">
        <v>1</v>
      </c>
      <c r="D848" t="s">
        <v>442</v>
      </c>
      <c r="E848" t="s">
        <v>443</v>
      </c>
      <c r="F848" t="s">
        <v>444</v>
      </c>
      <c r="G848">
        <v>5</v>
      </c>
      <c r="H848">
        <v>852</v>
      </c>
      <c r="I848" t="s">
        <v>445</v>
      </c>
      <c r="J848">
        <v>5001</v>
      </c>
      <c r="K848" s="8">
        <f>SUMIF(SoundCast_Data!$A$2:$A$1001,RouteID_Conversion!$H$2:$H$999,SoundCast_Data!$C$2:$C$1001)</f>
        <v>27.402880191802911</v>
      </c>
      <c r="Q848" s="8">
        <f>SUMIF(SoundCast_Data!$Q$2:$Q$1001,RouteID_Conversion!$H$2:$H$999,SoundCast_Data!$P$2:$P$1001)</f>
        <v>0</v>
      </c>
    </row>
    <row r="849" spans="1:17" x14ac:dyDescent="0.25">
      <c r="A849">
        <v>81</v>
      </c>
      <c r="B849">
        <v>110853</v>
      </c>
      <c r="C849">
        <v>1</v>
      </c>
      <c r="D849" t="s">
        <v>446</v>
      </c>
      <c r="E849" t="s">
        <v>443</v>
      </c>
      <c r="F849" t="s">
        <v>444</v>
      </c>
      <c r="G849">
        <v>5</v>
      </c>
      <c r="H849">
        <v>853</v>
      </c>
      <c r="I849" t="s">
        <v>445</v>
      </c>
      <c r="J849">
        <v>5001</v>
      </c>
      <c r="K849" s="8">
        <f>SUMIF(SoundCast_Data!$A$2:$A$1001,RouteID_Conversion!$H$2:$H$999,SoundCast_Data!$C$2:$C$1001)</f>
        <v>1</v>
      </c>
      <c r="Q849" s="8">
        <f>SUMIF(SoundCast_Data!$Q$2:$Q$1001,RouteID_Conversion!$H$2:$H$999,SoundCast_Data!$P$2:$P$1001)</f>
        <v>0</v>
      </c>
    </row>
    <row r="850" spans="1:17" x14ac:dyDescent="0.25">
      <c r="A850">
        <v>82</v>
      </c>
      <c r="B850">
        <v>110854</v>
      </c>
      <c r="C850">
        <v>1</v>
      </c>
      <c r="D850" t="s">
        <v>447</v>
      </c>
      <c r="E850" t="s">
        <v>443</v>
      </c>
      <c r="F850" t="s">
        <v>448</v>
      </c>
      <c r="G850">
        <v>5</v>
      </c>
      <c r="H850">
        <v>854</v>
      </c>
      <c r="I850" t="s">
        <v>449</v>
      </c>
      <c r="J850">
        <v>5003</v>
      </c>
      <c r="K850" s="8">
        <f>SUMIF(SoundCast_Data!$A$2:$A$1001,RouteID_Conversion!$H$2:$H$999,SoundCast_Data!$C$2:$C$1001)</f>
        <v>9.9393941462039795E-2</v>
      </c>
      <c r="Q850" s="8">
        <f>SUMIF(SoundCast_Data!$Q$2:$Q$1001,RouteID_Conversion!$H$2:$H$999,SoundCast_Data!$P$2:$P$1001)</f>
        <v>0</v>
      </c>
    </row>
    <row r="851" spans="1:17" x14ac:dyDescent="0.25">
      <c r="A851">
        <v>85</v>
      </c>
      <c r="B851">
        <v>110855</v>
      </c>
      <c r="C851">
        <v>1</v>
      </c>
      <c r="D851" t="s">
        <v>454</v>
      </c>
      <c r="E851" t="s">
        <v>443</v>
      </c>
      <c r="F851" t="s">
        <v>455</v>
      </c>
      <c r="G851">
        <v>5</v>
      </c>
      <c r="H851">
        <v>855</v>
      </c>
      <c r="I851" t="s">
        <v>456</v>
      </c>
      <c r="J851">
        <v>5004</v>
      </c>
      <c r="K851" s="8">
        <f>SUMIF(SoundCast_Data!$A$2:$A$1001,RouteID_Conversion!$H$2:$H$999,SoundCast_Data!$C$2:$C$1001)</f>
        <v>0</v>
      </c>
      <c r="Q851" s="8">
        <f>SUMIF(SoundCast_Data!$Q$2:$Q$1001,RouteID_Conversion!$H$2:$H$999,SoundCast_Data!$P$2:$P$1001)</f>
        <v>0</v>
      </c>
    </row>
    <row r="852" spans="1:17" x14ac:dyDescent="0.25">
      <c r="A852">
        <v>86</v>
      </c>
      <c r="B852">
        <v>110856</v>
      </c>
      <c r="C852">
        <v>1</v>
      </c>
      <c r="D852" t="s">
        <v>457</v>
      </c>
      <c r="E852" t="s">
        <v>443</v>
      </c>
      <c r="F852" t="s">
        <v>455</v>
      </c>
      <c r="G852">
        <v>5</v>
      </c>
      <c r="H852">
        <v>856</v>
      </c>
      <c r="I852" t="s">
        <v>456</v>
      </c>
      <c r="J852">
        <v>5004</v>
      </c>
      <c r="K852" s="8">
        <f>SUMIF(SoundCast_Data!$A$2:$A$1001,RouteID_Conversion!$H$2:$H$999,SoundCast_Data!$C$2:$C$1001)</f>
        <v>1</v>
      </c>
      <c r="Q852" s="8">
        <f>SUMIF(SoundCast_Data!$Q$2:$Q$1001,RouteID_Conversion!$H$2:$H$999,SoundCast_Data!$P$2:$P$1001)</f>
        <v>0</v>
      </c>
    </row>
    <row r="853" spans="1:17" x14ac:dyDescent="0.25">
      <c r="A853">
        <v>562</v>
      </c>
      <c r="B853">
        <v>110857</v>
      </c>
      <c r="C853">
        <v>1</v>
      </c>
      <c r="D853" t="s">
        <v>1191</v>
      </c>
      <c r="E853" t="s">
        <v>443</v>
      </c>
      <c r="F853" t="s">
        <v>1192</v>
      </c>
      <c r="G853">
        <v>5</v>
      </c>
      <c r="H853">
        <v>857</v>
      </c>
      <c r="I853" t="s">
        <v>1193</v>
      </c>
      <c r="J853">
        <v>5005</v>
      </c>
      <c r="K853" s="8">
        <f>SUMIF(SoundCast_Data!$A$2:$A$1001,RouteID_Conversion!$H$2:$H$999,SoundCast_Data!$C$2:$C$1001)</f>
        <v>462.89246368408141</v>
      </c>
      <c r="Q853" s="8">
        <f>SUMIF(SoundCast_Data!$Q$2:$Q$1001,RouteID_Conversion!$H$2:$H$999,SoundCast_Data!$P$2:$P$1001)</f>
        <v>0</v>
      </c>
    </row>
    <row r="854" spans="1:17" x14ac:dyDescent="0.25">
      <c r="A854">
        <v>563</v>
      </c>
      <c r="B854">
        <v>110858</v>
      </c>
      <c r="C854">
        <v>1</v>
      </c>
      <c r="D854" t="s">
        <v>1194</v>
      </c>
      <c r="E854" t="s">
        <v>443</v>
      </c>
      <c r="F854" t="s">
        <v>1192</v>
      </c>
      <c r="G854">
        <v>5</v>
      </c>
      <c r="H854">
        <v>858</v>
      </c>
      <c r="I854" t="s">
        <v>1193</v>
      </c>
      <c r="J854">
        <v>5005</v>
      </c>
      <c r="K854" s="8">
        <f>SUMIF(SoundCast_Data!$A$2:$A$1001,RouteID_Conversion!$H$2:$H$999,SoundCast_Data!$C$2:$C$1001)</f>
        <v>21.300000190734849</v>
      </c>
      <c r="Q854" s="8">
        <f>SUMIF(SoundCast_Data!$Q$2:$Q$1001,RouteID_Conversion!$H$2:$H$999,SoundCast_Data!$P$2:$P$1001)</f>
        <v>0</v>
      </c>
    </row>
    <row r="855" spans="1:17" x14ac:dyDescent="0.25">
      <c r="A855">
        <v>693</v>
      </c>
      <c r="B855">
        <v>110859</v>
      </c>
      <c r="C855">
        <v>1</v>
      </c>
      <c r="D855" t="s">
        <v>1359</v>
      </c>
      <c r="E855" t="s">
        <v>443</v>
      </c>
      <c r="F855" t="s">
        <v>1360</v>
      </c>
      <c r="G855">
        <v>5</v>
      </c>
      <c r="H855">
        <v>859</v>
      </c>
      <c r="I855" t="s">
        <v>1361</v>
      </c>
      <c r="J855">
        <v>5006</v>
      </c>
      <c r="K855" s="8">
        <f>SUMIF(SoundCast_Data!$A$2:$A$1001,RouteID_Conversion!$H$2:$H$999,SoundCast_Data!$C$2:$C$1001)</f>
        <v>93.358070373534986</v>
      </c>
      <c r="Q855" s="8">
        <f>SUMIF(SoundCast_Data!$Q$2:$Q$1001,RouteID_Conversion!$H$2:$H$999,SoundCast_Data!$P$2:$P$1001)</f>
        <v>0</v>
      </c>
    </row>
    <row r="856" spans="1:17" x14ac:dyDescent="0.25">
      <c r="A856">
        <v>694</v>
      </c>
      <c r="B856">
        <v>110860</v>
      </c>
      <c r="C856">
        <v>1</v>
      </c>
      <c r="D856" t="s">
        <v>1362</v>
      </c>
      <c r="E856" t="s">
        <v>443</v>
      </c>
      <c r="F856" t="s">
        <v>1360</v>
      </c>
      <c r="G856">
        <v>5</v>
      </c>
      <c r="H856">
        <v>860</v>
      </c>
      <c r="I856" t="s">
        <v>1361</v>
      </c>
      <c r="J856">
        <v>5006</v>
      </c>
      <c r="K856" s="8">
        <f>SUMIF(SoundCast_Data!$A$2:$A$1001,RouteID_Conversion!$H$2:$H$999,SoundCast_Data!$C$2:$C$1001)</f>
        <v>9.0843296051025302</v>
      </c>
      <c r="Q856" s="8">
        <f>SUMIF(SoundCast_Data!$Q$2:$Q$1001,RouteID_Conversion!$H$2:$H$999,SoundCast_Data!$P$2:$P$1001)</f>
        <v>0</v>
      </c>
    </row>
    <row r="857" spans="1:17" x14ac:dyDescent="0.25">
      <c r="A857">
        <v>612</v>
      </c>
      <c r="B857">
        <v>110863</v>
      </c>
      <c r="C857">
        <v>1</v>
      </c>
      <c r="D857" t="s">
        <v>1265</v>
      </c>
      <c r="E857" t="s">
        <v>443</v>
      </c>
      <c r="F857" t="s">
        <v>1266</v>
      </c>
      <c r="G857">
        <v>5</v>
      </c>
      <c r="H857">
        <v>863</v>
      </c>
      <c r="I857" t="s">
        <v>1267</v>
      </c>
      <c r="J857">
        <v>5007</v>
      </c>
      <c r="K857" s="8">
        <f>SUMIF(SoundCast_Data!$A$2:$A$1001,RouteID_Conversion!$H$2:$H$999,SoundCast_Data!$C$2:$C$1001)</f>
        <v>35.63147640228263</v>
      </c>
      <c r="Q857" s="8">
        <f>SUMIF(SoundCast_Data!$Q$2:$Q$1001,RouteID_Conversion!$H$2:$H$999,SoundCast_Data!$P$2:$P$1001)</f>
        <v>0</v>
      </c>
    </row>
    <row r="858" spans="1:17" x14ac:dyDescent="0.25">
      <c r="A858">
        <v>613</v>
      </c>
      <c r="B858">
        <v>110864</v>
      </c>
      <c r="C858">
        <v>1</v>
      </c>
      <c r="D858" t="s">
        <v>1268</v>
      </c>
      <c r="E858" t="s">
        <v>443</v>
      </c>
      <c r="F858" t="s">
        <v>1266</v>
      </c>
      <c r="G858">
        <v>5</v>
      </c>
      <c r="H858">
        <v>864</v>
      </c>
      <c r="I858" t="s">
        <v>1267</v>
      </c>
      <c r="J858">
        <v>5007</v>
      </c>
      <c r="K858" s="8">
        <f>SUMIF(SoundCast_Data!$A$2:$A$1001,RouteID_Conversion!$H$2:$H$999,SoundCast_Data!$C$2:$C$1001)</f>
        <v>0.26495360583066901</v>
      </c>
      <c r="Q858" s="8">
        <f>SUMIF(SoundCast_Data!$Q$2:$Q$1001,RouteID_Conversion!$H$2:$H$999,SoundCast_Data!$P$2:$P$1001)</f>
        <v>0</v>
      </c>
    </row>
    <row r="859" spans="1:17" x14ac:dyDescent="0.25">
      <c r="A859">
        <v>83</v>
      </c>
      <c r="B859">
        <v>110865</v>
      </c>
      <c r="C859">
        <v>1</v>
      </c>
      <c r="D859" t="s">
        <v>450</v>
      </c>
      <c r="E859" t="s">
        <v>443</v>
      </c>
      <c r="F859" t="s">
        <v>451</v>
      </c>
      <c r="G859">
        <v>5</v>
      </c>
      <c r="H859">
        <v>865</v>
      </c>
      <c r="I859" t="s">
        <v>452</v>
      </c>
      <c r="J859">
        <v>5002</v>
      </c>
      <c r="K859" s="8">
        <f>SUMIF(SoundCast_Data!$A$2:$A$1001,RouteID_Conversion!$H$2:$H$999,SoundCast_Data!$C$2:$C$1001)</f>
        <v>108.20788574218729</v>
      </c>
      <c r="Q859" s="8">
        <f>SUMIF(SoundCast_Data!$Q$2:$Q$1001,RouteID_Conversion!$H$2:$H$999,SoundCast_Data!$P$2:$P$1001)</f>
        <v>0</v>
      </c>
    </row>
    <row r="860" spans="1:17" x14ac:dyDescent="0.25">
      <c r="A860">
        <v>84</v>
      </c>
      <c r="B860">
        <v>110866</v>
      </c>
      <c r="C860">
        <v>1</v>
      </c>
      <c r="D860" t="s">
        <v>453</v>
      </c>
      <c r="E860" t="s">
        <v>443</v>
      </c>
      <c r="F860" t="s">
        <v>451</v>
      </c>
      <c r="G860">
        <v>5</v>
      </c>
      <c r="H860">
        <v>866</v>
      </c>
      <c r="I860" t="s">
        <v>452</v>
      </c>
      <c r="J860">
        <v>5002</v>
      </c>
      <c r="K860" s="8">
        <f>SUMIF(SoundCast_Data!$A$2:$A$1001,RouteID_Conversion!$H$2:$H$999,SoundCast_Data!$C$2:$C$1001)</f>
        <v>3.2083797007799029</v>
      </c>
      <c r="Q860" s="8">
        <f>SUMIF(SoundCast_Data!$Q$2:$Q$1001,RouteID_Conversion!$H$2:$H$999,SoundCast_Data!$P$2:$P$1001)</f>
        <v>0</v>
      </c>
    </row>
    <row r="861" spans="1:17" x14ac:dyDescent="0.25">
      <c r="A861">
        <v>109</v>
      </c>
      <c r="B861">
        <v>110867</v>
      </c>
      <c r="C861">
        <v>1</v>
      </c>
      <c r="D861" t="s">
        <v>496</v>
      </c>
      <c r="E861" t="s">
        <v>443</v>
      </c>
      <c r="F861" t="s">
        <v>497</v>
      </c>
      <c r="G861">
        <v>5</v>
      </c>
      <c r="H861">
        <v>867</v>
      </c>
      <c r="I861" t="s">
        <v>498</v>
      </c>
      <c r="J861">
        <v>5008</v>
      </c>
      <c r="K861" s="8">
        <f>SUMIF(SoundCast_Data!$A$2:$A$1001,RouteID_Conversion!$H$2:$H$999,SoundCast_Data!$C$2:$C$1001)</f>
        <v>22.42535972595212</v>
      </c>
      <c r="Q861" s="8">
        <f>SUMIF(SoundCast_Data!$Q$2:$Q$1001,RouteID_Conversion!$H$2:$H$999,SoundCast_Data!$P$2:$P$1001)</f>
        <v>0</v>
      </c>
    </row>
    <row r="862" spans="1:17" x14ac:dyDescent="0.25">
      <c r="A862">
        <v>110</v>
      </c>
      <c r="B862">
        <v>110868</v>
      </c>
      <c r="C862">
        <v>1</v>
      </c>
      <c r="D862" t="s">
        <v>499</v>
      </c>
      <c r="E862" t="s">
        <v>443</v>
      </c>
      <c r="F862" t="s">
        <v>497</v>
      </c>
      <c r="G862">
        <v>5</v>
      </c>
      <c r="H862">
        <v>868</v>
      </c>
      <c r="I862" t="s">
        <v>498</v>
      </c>
      <c r="J862">
        <v>5008</v>
      </c>
      <c r="K862" s="8">
        <f>SUMIF(SoundCast_Data!$A$2:$A$1001,RouteID_Conversion!$H$2:$H$999,SoundCast_Data!$C$2:$C$1001)</f>
        <v>0.27333334833383499</v>
      </c>
      <c r="Q862" s="8">
        <f>SUMIF(SoundCast_Data!$Q$2:$Q$1001,RouteID_Conversion!$H$2:$H$999,SoundCast_Data!$P$2:$P$1001)</f>
        <v>0</v>
      </c>
    </row>
    <row r="863" spans="1:17" x14ac:dyDescent="0.25">
      <c r="A863">
        <v>695</v>
      </c>
      <c r="B863">
        <v>110888</v>
      </c>
      <c r="C863">
        <v>1</v>
      </c>
      <c r="D863" t="s">
        <v>1363</v>
      </c>
      <c r="E863" t="s">
        <v>819</v>
      </c>
      <c r="F863" t="s">
        <v>1364</v>
      </c>
      <c r="G863">
        <v>6</v>
      </c>
      <c r="H863">
        <v>888</v>
      </c>
      <c r="I863" t="s">
        <v>1314</v>
      </c>
      <c r="J863">
        <v>6003</v>
      </c>
      <c r="K863" s="8">
        <f>SUMIF(SoundCast_Data!$A$2:$A$1001,RouteID_Conversion!$H$2:$H$999,SoundCast_Data!$C$2:$C$1001)</f>
        <v>22.210668563842752</v>
      </c>
      <c r="Q863" s="8">
        <f>SUMIF(SoundCast_Data!$Q$2:$Q$1001,RouteID_Conversion!$H$2:$H$999,SoundCast_Data!$P$2:$P$1001)</f>
        <v>0</v>
      </c>
    </row>
    <row r="864" spans="1:17" x14ac:dyDescent="0.25">
      <c r="A864">
        <v>696</v>
      </c>
      <c r="B864">
        <v>110889</v>
      </c>
      <c r="C864">
        <v>1</v>
      </c>
      <c r="D864" t="s">
        <v>1365</v>
      </c>
      <c r="E864" t="s">
        <v>819</v>
      </c>
      <c r="F864" t="s">
        <v>1366</v>
      </c>
      <c r="G864">
        <v>6</v>
      </c>
      <c r="H864">
        <v>889</v>
      </c>
      <c r="I864" t="s">
        <v>1314</v>
      </c>
      <c r="J864">
        <v>6003</v>
      </c>
      <c r="K864" s="8">
        <f>SUMIF(SoundCast_Data!$A$2:$A$1001,RouteID_Conversion!$H$2:$H$999,SoundCast_Data!$C$2:$C$1001)</f>
        <v>1</v>
      </c>
      <c r="Q864" s="8">
        <f>SUMIF(SoundCast_Data!$Q$2:$Q$1001,RouteID_Conversion!$H$2:$H$999,SoundCast_Data!$P$2:$P$1001)</f>
        <v>0</v>
      </c>
    </row>
    <row r="865" spans="1:17" x14ac:dyDescent="0.25">
      <c r="A865">
        <v>656</v>
      </c>
      <c r="B865">
        <v>110890</v>
      </c>
      <c r="C865">
        <v>1</v>
      </c>
      <c r="D865" t="s">
        <v>1315</v>
      </c>
      <c r="E865" t="s">
        <v>819</v>
      </c>
      <c r="F865" t="s">
        <v>1316</v>
      </c>
      <c r="G865">
        <v>6</v>
      </c>
      <c r="H865">
        <v>890</v>
      </c>
      <c r="I865" t="s">
        <v>1315</v>
      </c>
      <c r="J865">
        <v>6011</v>
      </c>
      <c r="K865" s="8">
        <f>SUMIF(SoundCast_Data!$A$2:$A$1001,RouteID_Conversion!$H$2:$H$999,SoundCast_Data!$C$2:$C$1001)</f>
        <v>3130.839721679687</v>
      </c>
      <c r="Q865" s="8">
        <f>SUMIF(SoundCast_Data!$Q$2:$Q$1001,RouteID_Conversion!$H$2:$H$999,SoundCast_Data!$P$2:$P$1001)</f>
        <v>0</v>
      </c>
    </row>
    <row r="866" spans="1:17" x14ac:dyDescent="0.25">
      <c r="A866">
        <v>657</v>
      </c>
      <c r="B866">
        <v>110891</v>
      </c>
      <c r="C866">
        <v>1</v>
      </c>
      <c r="D866" t="s">
        <v>1317</v>
      </c>
      <c r="E866" t="s">
        <v>819</v>
      </c>
      <c r="F866" t="s">
        <v>1318</v>
      </c>
      <c r="G866">
        <v>6</v>
      </c>
      <c r="H866">
        <v>891</v>
      </c>
      <c r="I866" t="s">
        <v>1317</v>
      </c>
      <c r="J866">
        <v>6011</v>
      </c>
      <c r="K866" s="8">
        <f>SUMIF(SoundCast_Data!$A$2:$A$1001,RouteID_Conversion!$H$2:$H$999,SoundCast_Data!$C$2:$C$1001)</f>
        <v>652.65605163574003</v>
      </c>
      <c r="Q866" s="8">
        <f>SUMIF(SoundCast_Data!$Q$2:$Q$1001,RouteID_Conversion!$H$2:$H$999,SoundCast_Data!$P$2:$P$1001)</f>
        <v>0</v>
      </c>
    </row>
    <row r="867" spans="1:17" x14ac:dyDescent="0.25">
      <c r="A867">
        <v>655</v>
      </c>
      <c r="B867">
        <v>110892</v>
      </c>
      <c r="C867">
        <v>1</v>
      </c>
      <c r="D867" t="s">
        <v>1312</v>
      </c>
      <c r="E867" t="s">
        <v>819</v>
      </c>
      <c r="F867" t="s">
        <v>1313</v>
      </c>
      <c r="G867">
        <v>6</v>
      </c>
      <c r="H867">
        <v>892</v>
      </c>
      <c r="I867" t="s">
        <v>1314</v>
      </c>
      <c r="J867">
        <v>6001</v>
      </c>
      <c r="K867" s="8">
        <f>SUMIF(SoundCast_Data!$A$2:$A$1001,RouteID_Conversion!$H$2:$H$999,SoundCast_Data!$C$2:$C$1001)</f>
        <v>3136.3695068359248</v>
      </c>
      <c r="Q867" s="8">
        <f>SUMIF(SoundCast_Data!$Q$2:$Q$1001,RouteID_Conversion!$H$2:$H$999,SoundCast_Data!$P$2:$P$1001)</f>
        <v>0</v>
      </c>
    </row>
    <row r="868" spans="1:17" x14ac:dyDescent="0.25">
      <c r="A868">
        <v>408</v>
      </c>
      <c r="B868">
        <v>110893</v>
      </c>
      <c r="C868">
        <v>1</v>
      </c>
      <c r="D868" t="s">
        <v>954</v>
      </c>
      <c r="E868" t="s">
        <v>819</v>
      </c>
      <c r="F868" t="s">
        <v>955</v>
      </c>
      <c r="G868">
        <v>6</v>
      </c>
      <c r="H868">
        <v>893</v>
      </c>
      <c r="I868" t="s">
        <v>956</v>
      </c>
      <c r="J868">
        <v>6010</v>
      </c>
      <c r="K868" s="8">
        <f>SUMIF(SoundCast_Data!$A$2:$A$1001,RouteID_Conversion!$H$2:$H$999,SoundCast_Data!$C$2:$C$1001)</f>
        <v>1196.5708312988281</v>
      </c>
      <c r="Q868" s="8">
        <f>SUMIF(SoundCast_Data!$Q$2:$Q$1001,RouteID_Conversion!$H$2:$H$999,SoundCast_Data!$P$2:$P$1001)</f>
        <v>0</v>
      </c>
    </row>
    <row r="869" spans="1:17" x14ac:dyDescent="0.25">
      <c r="A869">
        <v>409</v>
      </c>
      <c r="B869">
        <v>110894</v>
      </c>
      <c r="C869">
        <v>1</v>
      </c>
      <c r="D869" t="s">
        <v>957</v>
      </c>
      <c r="E869" t="s">
        <v>819</v>
      </c>
      <c r="F869" t="s">
        <v>955</v>
      </c>
      <c r="G869">
        <v>6</v>
      </c>
      <c r="H869">
        <v>894</v>
      </c>
      <c r="I869" t="s">
        <v>956</v>
      </c>
      <c r="J869">
        <v>6010</v>
      </c>
      <c r="K869" s="8">
        <f>SUMIF(SoundCast_Data!$A$2:$A$1001,RouteID_Conversion!$H$2:$H$999,SoundCast_Data!$C$2:$C$1001)</f>
        <v>40.096845626831048</v>
      </c>
      <c r="Q869" s="8">
        <f>SUMIF(SoundCast_Data!$Q$2:$Q$1001,RouteID_Conversion!$H$2:$H$999,SoundCast_Data!$P$2:$P$1001)</f>
        <v>0</v>
      </c>
    </row>
    <row r="870" spans="1:17" x14ac:dyDescent="0.25">
      <c r="A870">
        <v>310</v>
      </c>
      <c r="B870">
        <v>110895</v>
      </c>
      <c r="C870">
        <v>1</v>
      </c>
      <c r="D870" t="s">
        <v>818</v>
      </c>
      <c r="E870" t="s">
        <v>819</v>
      </c>
      <c r="F870" t="s">
        <v>818</v>
      </c>
      <c r="G870">
        <v>1</v>
      </c>
      <c r="H870">
        <v>895</v>
      </c>
      <c r="I870" t="s">
        <v>820</v>
      </c>
      <c r="J870">
        <v>8001</v>
      </c>
      <c r="K870" s="8">
        <f>SUMIF(SoundCast_Data!$A$2:$A$1001,RouteID_Conversion!$H$2:$H$999,SoundCast_Data!$C$2:$C$1001)</f>
        <v>0</v>
      </c>
      <c r="Q870" s="8">
        <f>SUMIF(SoundCast_Data!$Q$2:$Q$1001,RouteID_Conversion!$H$2:$H$999,SoundCast_Data!$P$2:$P$1001)</f>
        <v>0</v>
      </c>
    </row>
    <row r="871" spans="1:17" x14ac:dyDescent="0.25">
      <c r="A871">
        <v>311</v>
      </c>
      <c r="B871">
        <v>110896</v>
      </c>
      <c r="C871">
        <v>1</v>
      </c>
      <c r="D871" t="s">
        <v>821</v>
      </c>
      <c r="E871" t="s">
        <v>819</v>
      </c>
      <c r="F871" t="s">
        <v>821</v>
      </c>
      <c r="G871">
        <v>1</v>
      </c>
      <c r="H871">
        <v>896</v>
      </c>
      <c r="I871" t="s">
        <v>820</v>
      </c>
      <c r="J871">
        <v>8001</v>
      </c>
      <c r="K871" s="8">
        <f>SUMIF(SoundCast_Data!$A$2:$A$1001,RouteID_Conversion!$H$2:$H$999,SoundCast_Data!$C$2:$C$1001)</f>
        <v>0</v>
      </c>
      <c r="Q871" s="8">
        <f>SUMIF(SoundCast_Data!$Q$2:$Q$1001,RouteID_Conversion!$H$2:$H$999,SoundCast_Data!$P$2:$P$1001)</f>
        <v>0</v>
      </c>
    </row>
    <row r="872" spans="1:17" x14ac:dyDescent="0.25">
      <c r="A872">
        <v>658</v>
      </c>
      <c r="B872">
        <v>110897</v>
      </c>
      <c r="C872">
        <v>1</v>
      </c>
      <c r="D872" t="s">
        <v>1319</v>
      </c>
      <c r="E872" t="s">
        <v>819</v>
      </c>
      <c r="F872" t="s">
        <v>1320</v>
      </c>
      <c r="G872">
        <v>6</v>
      </c>
      <c r="H872">
        <v>897</v>
      </c>
      <c r="I872" t="s">
        <v>1314</v>
      </c>
      <c r="J872">
        <v>6001</v>
      </c>
      <c r="K872" s="8">
        <f>SUMIF(SoundCast_Data!$A$2:$A$1001,RouteID_Conversion!$H$2:$H$999,SoundCast_Data!$C$2:$C$1001)</f>
        <v>672.58280944824196</v>
      </c>
      <c r="Q872" s="8">
        <f>SUMIF(SoundCast_Data!$Q$2:$Q$1001,RouteID_Conversion!$H$2:$H$999,SoundCast_Data!$P$2:$P$1001)</f>
        <v>0</v>
      </c>
    </row>
    <row r="873" spans="1:17" x14ac:dyDescent="0.25">
      <c r="A873">
        <v>312</v>
      </c>
      <c r="B873">
        <v>110898</v>
      </c>
      <c r="C873">
        <v>1</v>
      </c>
      <c r="D873" t="s">
        <v>822</v>
      </c>
      <c r="E873" t="s">
        <v>327</v>
      </c>
      <c r="F873" t="s">
        <v>823</v>
      </c>
      <c r="G873">
        <v>2</v>
      </c>
      <c r="H873">
        <v>898</v>
      </c>
      <c r="I873" t="s">
        <v>824</v>
      </c>
      <c r="J873">
        <v>2603</v>
      </c>
      <c r="K873" s="8">
        <f>SUMIF(SoundCast_Data!$A$2:$A$1001,RouteID_Conversion!$H$2:$H$999,SoundCast_Data!$C$2:$C$1001)</f>
        <v>2.6388146281242273</v>
      </c>
      <c r="Q873" s="8">
        <f>SUMIF(SoundCast_Data!$Q$2:$Q$1001,RouteID_Conversion!$H$2:$H$999,SoundCast_Data!$P$2:$P$1001)</f>
        <v>0</v>
      </c>
    </row>
    <row r="874" spans="1:17" x14ac:dyDescent="0.25">
      <c r="A874">
        <v>313</v>
      </c>
      <c r="B874">
        <v>110899</v>
      </c>
      <c r="C874">
        <v>1</v>
      </c>
      <c r="D874" t="s">
        <v>825</v>
      </c>
      <c r="E874" t="s">
        <v>327</v>
      </c>
      <c r="F874" t="s">
        <v>823</v>
      </c>
      <c r="G874">
        <v>2</v>
      </c>
      <c r="H874">
        <v>899</v>
      </c>
      <c r="I874" t="s">
        <v>824</v>
      </c>
      <c r="J874">
        <v>2603</v>
      </c>
      <c r="K874" s="8">
        <f>SUMIF(SoundCast_Data!$A$2:$A$1001,RouteID_Conversion!$H$2:$H$999,SoundCast_Data!$C$2:$C$1001)</f>
        <v>31.877686500549231</v>
      </c>
      <c r="Q874" s="8">
        <f>SUMIF(SoundCast_Data!$Q$2:$Q$1001,RouteID_Conversion!$H$2:$H$999,SoundCast_Data!$P$2:$P$1001)</f>
        <v>0</v>
      </c>
    </row>
    <row r="875" spans="1:17" x14ac:dyDescent="0.25">
      <c r="A875">
        <v>504</v>
      </c>
      <c r="B875">
        <v>110900</v>
      </c>
      <c r="C875">
        <v>1</v>
      </c>
      <c r="D875" t="s">
        <v>1107</v>
      </c>
      <c r="E875" t="s">
        <v>327</v>
      </c>
      <c r="F875" t="s">
        <v>1107</v>
      </c>
      <c r="G875">
        <v>3</v>
      </c>
      <c r="H875">
        <v>900</v>
      </c>
      <c r="I875" t="s">
        <v>1108</v>
      </c>
      <c r="J875">
        <v>7012</v>
      </c>
      <c r="K875" s="8">
        <f>SUMIF(SoundCast_Data!$A$2:$A$1001,RouteID_Conversion!$H$2:$H$999,SoundCast_Data!$C$2:$C$1001)</f>
        <v>44.133047103881722</v>
      </c>
      <c r="Q875" s="8">
        <f>SUMIF(SoundCast_Data!$Q$2:$Q$1001,RouteID_Conversion!$H$2:$H$999,SoundCast_Data!$P$2:$P$1001)</f>
        <v>0</v>
      </c>
    </row>
    <row r="876" spans="1:17" x14ac:dyDescent="0.25">
      <c r="A876">
        <v>864</v>
      </c>
      <c r="B876">
        <v>110901</v>
      </c>
      <c r="C876">
        <v>1</v>
      </c>
      <c r="D876" t="s">
        <v>1629</v>
      </c>
      <c r="E876" t="s">
        <v>327</v>
      </c>
      <c r="F876" t="s">
        <v>1629</v>
      </c>
      <c r="G876">
        <v>3</v>
      </c>
      <c r="H876">
        <v>901</v>
      </c>
      <c r="I876" t="s">
        <v>1630</v>
      </c>
      <c r="J876">
        <v>7017</v>
      </c>
      <c r="K876" s="8">
        <f>SUMIF(SoundCast_Data!$A$2:$A$1001,RouteID_Conversion!$H$2:$H$999,SoundCast_Data!$C$2:$C$1001)</f>
        <v>169.07468414306629</v>
      </c>
      <c r="Q876" s="8">
        <f>SUMIF(SoundCast_Data!$Q$2:$Q$1001,RouteID_Conversion!$H$2:$H$999,SoundCast_Data!$P$2:$P$1001)</f>
        <v>0</v>
      </c>
    </row>
    <row r="877" spans="1:17" x14ac:dyDescent="0.25">
      <c r="A877">
        <v>865</v>
      </c>
      <c r="B877">
        <v>110902</v>
      </c>
      <c r="C877">
        <v>1</v>
      </c>
      <c r="D877" t="s">
        <v>1631</v>
      </c>
      <c r="E877" t="s">
        <v>327</v>
      </c>
      <c r="F877" t="s">
        <v>1631</v>
      </c>
      <c r="G877">
        <v>3</v>
      </c>
      <c r="H877">
        <v>902</v>
      </c>
      <c r="I877" t="s">
        <v>1630</v>
      </c>
      <c r="J877">
        <v>7017</v>
      </c>
      <c r="K877" s="8">
        <f>SUMIF(SoundCast_Data!$A$2:$A$1001,RouteID_Conversion!$H$2:$H$999,SoundCast_Data!$C$2:$C$1001)</f>
        <v>93.802469253539812</v>
      </c>
      <c r="Q877" s="8">
        <f>SUMIF(SoundCast_Data!$Q$2:$Q$1001,RouteID_Conversion!$H$2:$H$999,SoundCast_Data!$P$2:$P$1001)</f>
        <v>0</v>
      </c>
    </row>
    <row r="878" spans="1:17" x14ac:dyDescent="0.25">
      <c r="A878">
        <v>524</v>
      </c>
      <c r="B878">
        <v>110903</v>
      </c>
      <c r="C878">
        <v>1</v>
      </c>
      <c r="D878" t="s">
        <v>1133</v>
      </c>
      <c r="E878" t="s">
        <v>327</v>
      </c>
      <c r="F878" t="s">
        <v>1133</v>
      </c>
      <c r="G878">
        <v>3</v>
      </c>
      <c r="H878">
        <v>903</v>
      </c>
      <c r="I878" t="s">
        <v>1134</v>
      </c>
      <c r="J878">
        <v>7018</v>
      </c>
      <c r="K878" s="8">
        <f>SUMIF(SoundCast_Data!$A$2:$A$1001,RouteID_Conversion!$H$2:$H$999,SoundCast_Data!$C$2:$C$1001)</f>
        <v>130.31023406982411</v>
      </c>
      <c r="Q878" s="8">
        <f>SUMIF(SoundCast_Data!$Q$2:$Q$1001,RouteID_Conversion!$H$2:$H$999,SoundCast_Data!$P$2:$P$1001)</f>
        <v>0</v>
      </c>
    </row>
    <row r="879" spans="1:17" x14ac:dyDescent="0.25">
      <c r="A879">
        <v>525</v>
      </c>
      <c r="B879">
        <v>110904</v>
      </c>
      <c r="C879">
        <v>1</v>
      </c>
      <c r="D879" t="s">
        <v>1135</v>
      </c>
      <c r="E879" t="s">
        <v>327</v>
      </c>
      <c r="F879" t="s">
        <v>1135</v>
      </c>
      <c r="G879">
        <v>3</v>
      </c>
      <c r="H879">
        <v>904</v>
      </c>
      <c r="I879" t="s">
        <v>1134</v>
      </c>
      <c r="J879">
        <v>7018</v>
      </c>
      <c r="K879" s="8">
        <f>SUMIF(SoundCast_Data!$A$2:$A$1001,RouteID_Conversion!$H$2:$H$999,SoundCast_Data!$C$2:$C$1001)</f>
        <v>0</v>
      </c>
      <c r="Q879" s="8">
        <f>SUMIF(SoundCast_Data!$Q$2:$Q$1001,RouteID_Conversion!$H$2:$H$999,SoundCast_Data!$P$2:$P$1001)</f>
        <v>0</v>
      </c>
    </row>
    <row r="880" spans="1:17" x14ac:dyDescent="0.25">
      <c r="A880">
        <v>205</v>
      </c>
      <c r="B880">
        <v>110905</v>
      </c>
      <c r="C880">
        <v>1</v>
      </c>
      <c r="D880" t="s">
        <v>638</v>
      </c>
      <c r="E880" t="s">
        <v>327</v>
      </c>
      <c r="F880" t="s">
        <v>638</v>
      </c>
      <c r="G880">
        <v>3</v>
      </c>
      <c r="H880">
        <v>905</v>
      </c>
      <c r="I880" t="s">
        <v>639</v>
      </c>
      <c r="J880">
        <v>7002</v>
      </c>
      <c r="K880" s="8">
        <f>SUMIF(SoundCast_Data!$A$2:$A$1001,RouteID_Conversion!$H$2:$H$999,SoundCast_Data!$C$2:$C$1001)</f>
        <v>135.35621643066389</v>
      </c>
      <c r="Q880" s="8">
        <f>SUMIF(SoundCast_Data!$Q$2:$Q$1001,RouteID_Conversion!$H$2:$H$999,SoundCast_Data!$P$2:$P$1001)</f>
        <v>0</v>
      </c>
    </row>
    <row r="881" spans="1:17" x14ac:dyDescent="0.25">
      <c r="A881">
        <v>77</v>
      </c>
      <c r="B881">
        <v>110906</v>
      </c>
      <c r="C881">
        <v>1</v>
      </c>
      <c r="D881" t="s">
        <v>436</v>
      </c>
      <c r="E881" t="s">
        <v>327</v>
      </c>
      <c r="F881" t="s">
        <v>436</v>
      </c>
      <c r="G881">
        <v>3</v>
      </c>
      <c r="H881">
        <v>906</v>
      </c>
      <c r="I881" t="s">
        <v>437</v>
      </c>
      <c r="J881">
        <v>7027</v>
      </c>
      <c r="K881" s="8">
        <f>SUMIF(SoundCast_Data!$A$2:$A$1001,RouteID_Conversion!$H$2:$H$999,SoundCast_Data!$C$2:$C$1001)</f>
        <v>75.039638519286996</v>
      </c>
      <c r="Q881" s="8">
        <f>SUMIF(SoundCast_Data!$Q$2:$Q$1001,RouteID_Conversion!$H$2:$H$999,SoundCast_Data!$P$2:$P$1001)</f>
        <v>0</v>
      </c>
    </row>
    <row r="882" spans="1:17" x14ac:dyDescent="0.25">
      <c r="A882">
        <v>78</v>
      </c>
      <c r="B882">
        <v>110907</v>
      </c>
      <c r="C882">
        <v>1</v>
      </c>
      <c r="D882" t="s">
        <v>438</v>
      </c>
      <c r="E882" t="s">
        <v>327</v>
      </c>
      <c r="F882" t="s">
        <v>438</v>
      </c>
      <c r="G882">
        <v>3</v>
      </c>
      <c r="H882">
        <v>907</v>
      </c>
      <c r="I882" t="s">
        <v>437</v>
      </c>
      <c r="J882">
        <v>7027</v>
      </c>
      <c r="K882" s="8">
        <f>SUMIF(SoundCast_Data!$A$2:$A$1001,RouteID_Conversion!$H$2:$H$999,SoundCast_Data!$C$2:$C$1001)</f>
        <v>30.752493858337331</v>
      </c>
      <c r="Q882" s="8">
        <f>SUMIF(SoundCast_Data!$Q$2:$Q$1001,RouteID_Conversion!$H$2:$H$999,SoundCast_Data!$P$2:$P$1001)</f>
        <v>0</v>
      </c>
    </row>
    <row r="883" spans="1:17" x14ac:dyDescent="0.25">
      <c r="A883">
        <v>866</v>
      </c>
      <c r="B883">
        <v>110908</v>
      </c>
      <c r="C883">
        <v>1</v>
      </c>
      <c r="D883" t="s">
        <v>1632</v>
      </c>
      <c r="E883" t="s">
        <v>327</v>
      </c>
      <c r="F883" t="s">
        <v>1632</v>
      </c>
      <c r="G883">
        <v>3</v>
      </c>
      <c r="H883">
        <v>908</v>
      </c>
      <c r="I883" t="s">
        <v>1633</v>
      </c>
      <c r="J883">
        <v>7029</v>
      </c>
      <c r="K883" s="8">
        <f>SUMIF(SoundCast_Data!$A$2:$A$1001,RouteID_Conversion!$H$2:$H$999,SoundCast_Data!$C$2:$C$1001)</f>
        <v>8.8837394714355291</v>
      </c>
      <c r="Q883" s="8">
        <f>SUMIF(SoundCast_Data!$Q$2:$Q$1001,RouteID_Conversion!$H$2:$H$999,SoundCast_Data!$P$2:$P$1001)</f>
        <v>0</v>
      </c>
    </row>
    <row r="884" spans="1:17" x14ac:dyDescent="0.25">
      <c r="A884">
        <v>867</v>
      </c>
      <c r="B884">
        <v>110909</v>
      </c>
      <c r="C884">
        <v>1</v>
      </c>
      <c r="D884" t="s">
        <v>1634</v>
      </c>
      <c r="E884" t="s">
        <v>327</v>
      </c>
      <c r="F884" t="s">
        <v>1634</v>
      </c>
      <c r="G884">
        <v>3</v>
      </c>
      <c r="H884">
        <v>909</v>
      </c>
      <c r="I884" t="s">
        <v>1633</v>
      </c>
      <c r="J884">
        <v>7029</v>
      </c>
      <c r="K884" s="8">
        <f>SUMIF(SoundCast_Data!$A$2:$A$1001,RouteID_Conversion!$H$2:$H$999,SoundCast_Data!$C$2:$C$1001)</f>
        <v>143.2933273315428</v>
      </c>
      <c r="Q884" s="8">
        <f>SUMIF(SoundCast_Data!$Q$2:$Q$1001,RouteID_Conversion!$H$2:$H$999,SoundCast_Data!$P$2:$P$1001)</f>
        <v>0</v>
      </c>
    </row>
    <row r="885" spans="1:17" x14ac:dyDescent="0.25">
      <c r="A885">
        <v>526</v>
      </c>
      <c r="B885">
        <v>110910</v>
      </c>
      <c r="C885">
        <v>1</v>
      </c>
      <c r="D885" t="s">
        <v>1136</v>
      </c>
      <c r="E885" t="s">
        <v>327</v>
      </c>
      <c r="F885" t="s">
        <v>1136</v>
      </c>
      <c r="G885">
        <v>3</v>
      </c>
      <c r="H885">
        <v>910</v>
      </c>
      <c r="I885" t="s">
        <v>1137</v>
      </c>
      <c r="J885">
        <v>7003</v>
      </c>
      <c r="K885" s="8">
        <f>SUMIF(SoundCast_Data!$A$2:$A$1001,RouteID_Conversion!$H$2:$H$999,SoundCast_Data!$C$2:$C$1001)</f>
        <v>172.10631942749009</v>
      </c>
      <c r="Q885" s="8">
        <f>SUMIF(SoundCast_Data!$Q$2:$Q$1001,RouteID_Conversion!$H$2:$H$999,SoundCast_Data!$P$2:$P$1001)</f>
        <v>0</v>
      </c>
    </row>
    <row r="886" spans="1:17" x14ac:dyDescent="0.25">
      <c r="A886">
        <v>754</v>
      </c>
      <c r="B886">
        <v>110911</v>
      </c>
      <c r="C886">
        <v>1</v>
      </c>
      <c r="D886" t="s">
        <v>1470</v>
      </c>
      <c r="E886" t="s">
        <v>327</v>
      </c>
      <c r="F886" t="s">
        <v>1470</v>
      </c>
      <c r="G886">
        <v>3</v>
      </c>
      <c r="H886">
        <v>911</v>
      </c>
      <c r="I886" t="s">
        <v>1137</v>
      </c>
      <c r="J886">
        <v>7003</v>
      </c>
      <c r="K886" s="8">
        <f>SUMIF(SoundCast_Data!$A$2:$A$1001,RouteID_Conversion!$H$2:$H$999,SoundCast_Data!$C$2:$C$1001)</f>
        <v>272.45952606201132</v>
      </c>
      <c r="Q886" s="8">
        <f>SUMIF(SoundCast_Data!$Q$2:$Q$1001,RouteID_Conversion!$H$2:$H$999,SoundCast_Data!$P$2:$P$1001)</f>
        <v>0</v>
      </c>
    </row>
    <row r="887" spans="1:17" x14ac:dyDescent="0.25">
      <c r="A887">
        <v>206</v>
      </c>
      <c r="B887">
        <v>110912</v>
      </c>
      <c r="C887">
        <v>1</v>
      </c>
      <c r="D887" t="s">
        <v>640</v>
      </c>
      <c r="E887" t="s">
        <v>327</v>
      </c>
      <c r="F887" t="s">
        <v>640</v>
      </c>
      <c r="G887">
        <v>3</v>
      </c>
      <c r="H887">
        <v>912</v>
      </c>
      <c r="I887" t="s">
        <v>641</v>
      </c>
      <c r="J887">
        <v>7004</v>
      </c>
      <c r="K887" s="8">
        <f>SUMIF(SoundCast_Data!$A$2:$A$1001,RouteID_Conversion!$H$2:$H$999,SoundCast_Data!$C$2:$C$1001)</f>
        <v>241.13842010498041</v>
      </c>
      <c r="Q887" s="8">
        <f>SUMIF(SoundCast_Data!$Q$2:$Q$1001,RouteID_Conversion!$H$2:$H$999,SoundCast_Data!$P$2:$P$1001)</f>
        <v>0</v>
      </c>
    </row>
    <row r="888" spans="1:17" x14ac:dyDescent="0.25">
      <c r="A888">
        <v>90</v>
      </c>
      <c r="B888">
        <v>110913</v>
      </c>
      <c r="C888">
        <v>1</v>
      </c>
      <c r="D888" t="s">
        <v>462</v>
      </c>
      <c r="E888" t="s">
        <v>327</v>
      </c>
      <c r="F888" t="s">
        <v>462</v>
      </c>
      <c r="G888">
        <v>3</v>
      </c>
      <c r="H888">
        <v>913</v>
      </c>
      <c r="I888" t="s">
        <v>463</v>
      </c>
      <c r="J888">
        <v>7005</v>
      </c>
      <c r="K888" s="8">
        <f>SUMIF(SoundCast_Data!$A$2:$A$1001,RouteID_Conversion!$H$2:$H$999,SoundCast_Data!$C$2:$C$1001)</f>
        <v>1.579740226268767</v>
      </c>
      <c r="Q888" s="8">
        <f>SUMIF(SoundCast_Data!$Q$2:$Q$1001,RouteID_Conversion!$H$2:$H$999,SoundCast_Data!$P$2:$P$1001)</f>
        <v>0</v>
      </c>
    </row>
    <row r="889" spans="1:17" x14ac:dyDescent="0.25">
      <c r="A889">
        <v>91</v>
      </c>
      <c r="B889">
        <v>110914</v>
      </c>
      <c r="C889">
        <v>1</v>
      </c>
      <c r="D889" t="s">
        <v>464</v>
      </c>
      <c r="E889" t="s">
        <v>327</v>
      </c>
      <c r="F889" t="s">
        <v>464</v>
      </c>
      <c r="G889">
        <v>3</v>
      </c>
      <c r="H889">
        <v>914</v>
      </c>
      <c r="I889" t="s">
        <v>463</v>
      </c>
      <c r="J889">
        <v>7005</v>
      </c>
      <c r="K889" s="8">
        <f>SUMIF(SoundCast_Data!$A$2:$A$1001,RouteID_Conversion!$H$2:$H$999,SoundCast_Data!$C$2:$C$1001)</f>
        <v>0</v>
      </c>
      <c r="Q889" s="8">
        <f>SUMIF(SoundCast_Data!$Q$2:$Q$1001,RouteID_Conversion!$H$2:$H$999,SoundCast_Data!$P$2:$P$1001)</f>
        <v>0</v>
      </c>
    </row>
    <row r="890" spans="1:17" x14ac:dyDescent="0.25">
      <c r="A890">
        <v>207</v>
      </c>
      <c r="B890">
        <v>110915</v>
      </c>
      <c r="C890">
        <v>1</v>
      </c>
      <c r="D890" t="s">
        <v>642</v>
      </c>
      <c r="E890" t="s">
        <v>327</v>
      </c>
      <c r="F890" t="s">
        <v>642</v>
      </c>
      <c r="G890">
        <v>3</v>
      </c>
      <c r="H890">
        <v>915</v>
      </c>
      <c r="I890" t="s">
        <v>466</v>
      </c>
      <c r="J890">
        <v>7007</v>
      </c>
      <c r="K890" s="8">
        <f>SUMIF(SoundCast_Data!$A$2:$A$1001,RouteID_Conversion!$H$2:$H$999,SoundCast_Data!$C$2:$C$1001)</f>
        <v>6.9829239845275692</v>
      </c>
      <c r="Q890" s="8">
        <f>SUMIF(SoundCast_Data!$Q$2:$Q$1001,RouteID_Conversion!$H$2:$H$999,SoundCast_Data!$P$2:$P$1001)</f>
        <v>0</v>
      </c>
    </row>
    <row r="891" spans="1:17" x14ac:dyDescent="0.25">
      <c r="A891">
        <v>92</v>
      </c>
      <c r="B891">
        <v>110916</v>
      </c>
      <c r="C891">
        <v>1</v>
      </c>
      <c r="D891" t="s">
        <v>465</v>
      </c>
      <c r="E891" t="s">
        <v>327</v>
      </c>
      <c r="F891" t="s">
        <v>465</v>
      </c>
      <c r="G891">
        <v>3</v>
      </c>
      <c r="H891">
        <v>916</v>
      </c>
      <c r="I891" t="s">
        <v>466</v>
      </c>
      <c r="J891">
        <v>7007</v>
      </c>
      <c r="K891" s="8">
        <f>SUMIF(SoundCast_Data!$A$2:$A$1001,RouteID_Conversion!$H$2:$H$999,SoundCast_Data!$C$2:$C$1001)</f>
        <v>223.0722732543943</v>
      </c>
      <c r="Q891" s="8">
        <f>SUMIF(SoundCast_Data!$Q$2:$Q$1001,RouteID_Conversion!$H$2:$H$999,SoundCast_Data!$P$2:$P$1001)</f>
        <v>0</v>
      </c>
    </row>
    <row r="892" spans="1:17" x14ac:dyDescent="0.25">
      <c r="A892">
        <v>804</v>
      </c>
      <c r="B892">
        <v>110917</v>
      </c>
      <c r="C892">
        <v>1</v>
      </c>
      <c r="D892" t="s">
        <v>1526</v>
      </c>
      <c r="E892" t="s">
        <v>327</v>
      </c>
      <c r="F892" t="s">
        <v>1526</v>
      </c>
      <c r="G892">
        <v>3</v>
      </c>
      <c r="H892">
        <v>917</v>
      </c>
      <c r="I892" t="s">
        <v>1527</v>
      </c>
      <c r="J892">
        <v>7070</v>
      </c>
      <c r="K892" s="8">
        <f>SUMIF(SoundCast_Data!$A$2:$A$1001,RouteID_Conversion!$H$2:$H$999,SoundCast_Data!$C$2:$C$1001)</f>
        <v>18.93119001388548</v>
      </c>
      <c r="Q892" s="8">
        <f>SUMIF(SoundCast_Data!$Q$2:$Q$1001,RouteID_Conversion!$H$2:$H$999,SoundCast_Data!$P$2:$P$1001)</f>
        <v>0</v>
      </c>
    </row>
    <row r="893" spans="1:17" x14ac:dyDescent="0.25">
      <c r="A893">
        <v>505</v>
      </c>
      <c r="B893">
        <v>110918</v>
      </c>
      <c r="C893">
        <v>1</v>
      </c>
      <c r="D893" t="s">
        <v>1109</v>
      </c>
      <c r="E893" t="s">
        <v>327</v>
      </c>
      <c r="F893" t="s">
        <v>1109</v>
      </c>
      <c r="G893">
        <v>3</v>
      </c>
      <c r="H893">
        <v>918</v>
      </c>
      <c r="I893" t="s">
        <v>1110</v>
      </c>
      <c r="J893">
        <v>7701</v>
      </c>
      <c r="K893" s="8">
        <f>SUMIF(SoundCast_Data!$A$2:$A$1001,RouteID_Conversion!$H$2:$H$999,SoundCast_Data!$C$2:$C$1001)</f>
        <v>18.149614334106431</v>
      </c>
      <c r="Q893" s="8">
        <f>SUMIF(SoundCast_Data!$Q$2:$Q$1001,RouteID_Conversion!$H$2:$H$999,SoundCast_Data!$P$2:$P$1001)</f>
        <v>0</v>
      </c>
    </row>
    <row r="894" spans="1:17" x14ac:dyDescent="0.25">
      <c r="A894">
        <v>506</v>
      </c>
      <c r="B894">
        <v>110919</v>
      </c>
      <c r="C894">
        <v>1</v>
      </c>
      <c r="D894" t="s">
        <v>1111</v>
      </c>
      <c r="E894" t="s">
        <v>327</v>
      </c>
      <c r="F894" t="s">
        <v>1111</v>
      </c>
      <c r="G894">
        <v>3</v>
      </c>
      <c r="H894">
        <v>919</v>
      </c>
      <c r="I894" t="s">
        <v>1110</v>
      </c>
      <c r="J894">
        <v>7701</v>
      </c>
      <c r="K894" s="8">
        <f>SUMIF(SoundCast_Data!$A$2:$A$1001,RouteID_Conversion!$H$2:$H$999,SoundCast_Data!$C$2:$C$1001)</f>
        <v>15.53084945678709</v>
      </c>
      <c r="Q894" s="8">
        <f>SUMIF(SoundCast_Data!$Q$2:$Q$1001,RouteID_Conversion!$H$2:$H$999,SoundCast_Data!$P$2:$P$1001)</f>
        <v>0</v>
      </c>
    </row>
    <row r="895" spans="1:17" x14ac:dyDescent="0.25">
      <c r="A895">
        <v>614</v>
      </c>
      <c r="B895">
        <v>110920</v>
      </c>
      <c r="C895">
        <v>1</v>
      </c>
      <c r="D895" t="s">
        <v>1269</v>
      </c>
      <c r="E895" t="s">
        <v>327</v>
      </c>
      <c r="F895" t="s">
        <v>1269</v>
      </c>
      <c r="G895">
        <v>3</v>
      </c>
      <c r="H895">
        <v>920</v>
      </c>
      <c r="I895" t="s">
        <v>1270</v>
      </c>
      <c r="J895">
        <v>7072</v>
      </c>
      <c r="K895" s="8">
        <f>SUMIF(SoundCast_Data!$A$2:$A$1001,RouteID_Conversion!$H$2:$H$999,SoundCast_Data!$C$2:$C$1001)</f>
        <v>139.8484001159666</v>
      </c>
      <c r="Q895" s="8">
        <f>SUMIF(SoundCast_Data!$Q$2:$Q$1001,RouteID_Conversion!$H$2:$H$999,SoundCast_Data!$P$2:$P$1001)</f>
        <v>0</v>
      </c>
    </row>
    <row r="896" spans="1:17" x14ac:dyDescent="0.25">
      <c r="A896">
        <v>755</v>
      </c>
      <c r="B896">
        <v>110921</v>
      </c>
      <c r="C896">
        <v>1</v>
      </c>
      <c r="D896" t="s">
        <v>1471</v>
      </c>
      <c r="E896" t="s">
        <v>327</v>
      </c>
      <c r="F896" t="s">
        <v>1471</v>
      </c>
      <c r="G896">
        <v>3</v>
      </c>
      <c r="H896">
        <v>921</v>
      </c>
      <c r="I896" t="s">
        <v>1472</v>
      </c>
      <c r="J896">
        <v>7008</v>
      </c>
      <c r="K896" s="8">
        <f>SUMIF(SoundCast_Data!$A$2:$A$1001,RouteID_Conversion!$H$2:$H$999,SoundCast_Data!$C$2:$C$1001)</f>
        <v>159.72167968749989</v>
      </c>
      <c r="Q896" s="8">
        <f>SUMIF(SoundCast_Data!$Q$2:$Q$1001,RouteID_Conversion!$H$2:$H$999,SoundCast_Data!$P$2:$P$1001)</f>
        <v>0</v>
      </c>
    </row>
    <row r="897" spans="1:17" x14ac:dyDescent="0.25">
      <c r="A897">
        <v>756</v>
      </c>
      <c r="B897">
        <v>110922</v>
      </c>
      <c r="C897">
        <v>1</v>
      </c>
      <c r="D897" t="s">
        <v>1473</v>
      </c>
      <c r="E897" t="s">
        <v>327</v>
      </c>
      <c r="F897" t="s">
        <v>1473</v>
      </c>
      <c r="G897">
        <v>3</v>
      </c>
      <c r="H897">
        <v>922</v>
      </c>
      <c r="I897" t="s">
        <v>1472</v>
      </c>
      <c r="J897">
        <v>7008</v>
      </c>
      <c r="K897" s="8">
        <f>SUMIF(SoundCast_Data!$A$2:$A$1001,RouteID_Conversion!$H$2:$H$999,SoundCast_Data!$C$2:$C$1001)</f>
        <v>238.3838844299315</v>
      </c>
      <c r="Q897" s="8">
        <f>SUMIF(SoundCast_Data!$Q$2:$Q$1001,RouteID_Conversion!$H$2:$H$999,SoundCast_Data!$P$2:$P$1001)</f>
        <v>0</v>
      </c>
    </row>
    <row r="898" spans="1:17" x14ac:dyDescent="0.25">
      <c r="A898">
        <v>93</v>
      </c>
      <c r="B898">
        <v>110923</v>
      </c>
      <c r="C898">
        <v>1</v>
      </c>
      <c r="D898" t="s">
        <v>467</v>
      </c>
      <c r="E898" t="s">
        <v>327</v>
      </c>
      <c r="F898" t="s">
        <v>467</v>
      </c>
      <c r="G898">
        <v>3</v>
      </c>
      <c r="H898">
        <v>923</v>
      </c>
      <c r="I898" t="s">
        <v>468</v>
      </c>
      <c r="J898">
        <v>7009</v>
      </c>
      <c r="K898" s="8">
        <f>SUMIF(SoundCast_Data!$A$2:$A$1001,RouteID_Conversion!$H$2:$H$999,SoundCast_Data!$C$2:$C$1001)</f>
        <v>3.8666667342185939</v>
      </c>
      <c r="Q898" s="8">
        <f>SUMIF(SoundCast_Data!$Q$2:$Q$1001,RouteID_Conversion!$H$2:$H$999,SoundCast_Data!$P$2:$P$1001)</f>
        <v>0</v>
      </c>
    </row>
    <row r="899" spans="1:17" x14ac:dyDescent="0.25">
      <c r="A899">
        <v>94</v>
      </c>
      <c r="B899">
        <v>110924</v>
      </c>
      <c r="C899">
        <v>1</v>
      </c>
      <c r="D899" t="s">
        <v>469</v>
      </c>
      <c r="E899" t="s">
        <v>327</v>
      </c>
      <c r="F899" t="s">
        <v>469</v>
      </c>
      <c r="G899">
        <v>3</v>
      </c>
      <c r="H899">
        <v>924</v>
      </c>
      <c r="I899" t="s">
        <v>468</v>
      </c>
      <c r="J899">
        <v>7009</v>
      </c>
      <c r="K899" s="8">
        <f>SUMIF(SoundCast_Data!$A$2:$A$1001,RouteID_Conversion!$H$2:$H$999,SoundCast_Data!$C$2:$C$1001)</f>
        <v>276.70057678222577</v>
      </c>
      <c r="Q899" s="8">
        <f>SUMIF(SoundCast_Data!$Q$2:$Q$1001,RouteID_Conversion!$H$2:$H$999,SoundCast_Data!$P$2:$P$1001)</f>
        <v>0</v>
      </c>
    </row>
    <row r="900" spans="1:17" x14ac:dyDescent="0.25">
      <c r="A900">
        <v>480</v>
      </c>
      <c r="B900">
        <v>110925</v>
      </c>
      <c r="C900">
        <v>1</v>
      </c>
      <c r="D900" t="s">
        <v>1061</v>
      </c>
      <c r="E900" t="s">
        <v>327</v>
      </c>
      <c r="F900" t="s">
        <v>1061</v>
      </c>
      <c r="G900">
        <v>3</v>
      </c>
      <c r="H900">
        <v>925</v>
      </c>
      <c r="I900" t="s">
        <v>1062</v>
      </c>
      <c r="J900">
        <v>7025</v>
      </c>
      <c r="K900" s="8">
        <f>SUMIF(SoundCast_Data!$A$2:$A$1001,RouteID_Conversion!$H$2:$H$999,SoundCast_Data!$C$2:$C$1001)</f>
        <v>86.403608322143398</v>
      </c>
      <c r="Q900" s="8">
        <f>SUMIF(SoundCast_Data!$Q$2:$Q$1001,RouteID_Conversion!$H$2:$H$999,SoundCast_Data!$P$2:$P$1001)</f>
        <v>0</v>
      </c>
    </row>
    <row r="901" spans="1:17" x14ac:dyDescent="0.25">
      <c r="A901">
        <v>737</v>
      </c>
      <c r="B901">
        <v>110926</v>
      </c>
      <c r="C901">
        <v>1</v>
      </c>
      <c r="D901" t="s">
        <v>1433</v>
      </c>
      <c r="E901" t="s">
        <v>327</v>
      </c>
      <c r="F901" t="s">
        <v>1433</v>
      </c>
      <c r="G901">
        <v>3</v>
      </c>
      <c r="H901">
        <v>926</v>
      </c>
      <c r="I901" t="s">
        <v>1434</v>
      </c>
      <c r="J901">
        <v>7014</v>
      </c>
      <c r="K901" s="8">
        <f>SUMIF(SoundCast_Data!$A$2:$A$1001,RouteID_Conversion!$H$2:$H$999,SoundCast_Data!$C$2:$C$1001)</f>
        <v>112.26157379150371</v>
      </c>
      <c r="Q901" s="8">
        <f>SUMIF(SoundCast_Data!$Q$2:$Q$1001,RouteID_Conversion!$H$2:$H$999,SoundCast_Data!$P$2:$P$1001)</f>
        <v>0</v>
      </c>
    </row>
    <row r="902" spans="1:17" x14ac:dyDescent="0.25">
      <c r="A902">
        <v>105</v>
      </c>
      <c r="B902">
        <v>110927</v>
      </c>
      <c r="C902">
        <v>1</v>
      </c>
      <c r="D902" t="s">
        <v>489</v>
      </c>
      <c r="E902" t="s">
        <v>327</v>
      </c>
      <c r="F902" t="s">
        <v>490</v>
      </c>
      <c r="G902">
        <v>4</v>
      </c>
      <c r="H902">
        <v>927</v>
      </c>
      <c r="I902" t="s">
        <v>491</v>
      </c>
      <c r="J902">
        <v>4005</v>
      </c>
      <c r="K902" s="8">
        <f>SUMIF(SoundCast_Data!$A$2:$A$1001,RouteID_Conversion!$H$2:$H$999,SoundCast_Data!$C$2:$C$1001)</f>
        <v>1.7077117711305612</v>
      </c>
      <c r="Q902" s="8">
        <f>SUMIF(SoundCast_Data!$Q$2:$Q$1001,RouteID_Conversion!$H$2:$H$999,SoundCast_Data!$P$2:$P$1001)</f>
        <v>0</v>
      </c>
    </row>
    <row r="903" spans="1:17" x14ac:dyDescent="0.25">
      <c r="A903">
        <v>106</v>
      </c>
      <c r="B903">
        <v>110928</v>
      </c>
      <c r="C903">
        <v>1</v>
      </c>
      <c r="D903" t="s">
        <v>492</v>
      </c>
      <c r="E903" t="s">
        <v>327</v>
      </c>
      <c r="F903" t="s">
        <v>490</v>
      </c>
      <c r="G903">
        <v>4</v>
      </c>
      <c r="H903">
        <v>928</v>
      </c>
      <c r="I903" t="s">
        <v>491</v>
      </c>
      <c r="J903">
        <v>4005</v>
      </c>
      <c r="K903" s="8">
        <f>SUMIF(SoundCast_Data!$A$2:$A$1001,RouteID_Conversion!$H$2:$H$999,SoundCast_Data!$C$2:$C$1001)</f>
        <v>4.2750001549720729</v>
      </c>
      <c r="Q903" s="8">
        <f>SUMIF(SoundCast_Data!$Q$2:$Q$1001,RouteID_Conversion!$H$2:$H$999,SoundCast_Data!$P$2:$P$1001)</f>
        <v>0</v>
      </c>
    </row>
    <row r="904" spans="1:17" x14ac:dyDescent="0.25">
      <c r="A904">
        <v>411</v>
      </c>
      <c r="B904">
        <v>110929</v>
      </c>
      <c r="C904">
        <v>1</v>
      </c>
      <c r="D904" t="s">
        <v>959</v>
      </c>
      <c r="E904" t="s">
        <v>327</v>
      </c>
      <c r="F904" t="s">
        <v>845</v>
      </c>
      <c r="G904">
        <v>4</v>
      </c>
      <c r="H904">
        <v>929</v>
      </c>
      <c r="I904" t="s">
        <v>846</v>
      </c>
      <c r="J904">
        <v>4011</v>
      </c>
      <c r="K904" s="8">
        <f>SUMIF(SoundCast_Data!$A$2:$A$1001,RouteID_Conversion!$H$2:$H$999,SoundCast_Data!$C$2:$C$1001)</f>
        <v>16.45903539657591</v>
      </c>
      <c r="Q904" s="8">
        <f>SUMIF(SoundCast_Data!$Q$2:$Q$1001,RouteID_Conversion!$H$2:$H$999,SoundCast_Data!$P$2:$P$1001)</f>
        <v>0</v>
      </c>
    </row>
    <row r="905" spans="1:17" x14ac:dyDescent="0.25">
      <c r="A905">
        <v>412</v>
      </c>
      <c r="B905">
        <v>110930</v>
      </c>
      <c r="C905">
        <v>1</v>
      </c>
      <c r="D905" t="s">
        <v>960</v>
      </c>
      <c r="E905" t="s">
        <v>327</v>
      </c>
      <c r="F905" t="s">
        <v>845</v>
      </c>
      <c r="G905">
        <v>4</v>
      </c>
      <c r="H905">
        <v>930</v>
      </c>
      <c r="I905" t="s">
        <v>846</v>
      </c>
      <c r="J905">
        <v>4011</v>
      </c>
      <c r="K905" s="8">
        <f>SUMIF(SoundCast_Data!$A$2:$A$1001,RouteID_Conversion!$H$2:$H$999,SoundCast_Data!$C$2:$C$1001)</f>
        <v>10.9923424720764</v>
      </c>
      <c r="Q905" s="8">
        <f>SUMIF(SoundCast_Data!$Q$2:$Q$1001,RouteID_Conversion!$H$2:$H$999,SoundCast_Data!$P$2:$P$1001)</f>
        <v>0</v>
      </c>
    </row>
    <row r="906" spans="1:17" x14ac:dyDescent="0.25">
      <c r="A906">
        <v>413</v>
      </c>
      <c r="B906">
        <v>110931</v>
      </c>
      <c r="C906">
        <v>1</v>
      </c>
      <c r="D906" t="s">
        <v>961</v>
      </c>
      <c r="E906" t="s">
        <v>327</v>
      </c>
      <c r="F906" t="s">
        <v>845</v>
      </c>
      <c r="G906">
        <v>4</v>
      </c>
      <c r="H906">
        <v>931</v>
      </c>
      <c r="I906" t="s">
        <v>846</v>
      </c>
      <c r="J906">
        <v>4011</v>
      </c>
      <c r="K906" s="8">
        <f>SUMIF(SoundCast_Data!$A$2:$A$1001,RouteID_Conversion!$H$2:$H$999,SoundCast_Data!$C$2:$C$1001)</f>
        <v>38.427356719970597</v>
      </c>
      <c r="Q906" s="8">
        <f>SUMIF(SoundCast_Data!$Q$2:$Q$1001,RouteID_Conversion!$H$2:$H$999,SoundCast_Data!$P$2:$P$1001)</f>
        <v>0</v>
      </c>
    </row>
    <row r="907" spans="1:17" x14ac:dyDescent="0.25">
      <c r="A907">
        <v>740</v>
      </c>
      <c r="B907">
        <v>110932</v>
      </c>
      <c r="C907">
        <v>1</v>
      </c>
      <c r="D907" t="s">
        <v>1440</v>
      </c>
      <c r="E907" t="s">
        <v>327</v>
      </c>
      <c r="F907" t="s">
        <v>1441</v>
      </c>
      <c r="G907">
        <v>4</v>
      </c>
      <c r="H907">
        <v>932</v>
      </c>
      <c r="I907" t="s">
        <v>1442</v>
      </c>
      <c r="J907">
        <v>4013</v>
      </c>
      <c r="K907" s="8">
        <f>SUMIF(SoundCast_Data!$A$2:$A$1001,RouteID_Conversion!$H$2:$H$999,SoundCast_Data!$C$2:$C$1001)</f>
        <v>71.599546432495004</v>
      </c>
      <c r="Q907" s="8">
        <f>SUMIF(SoundCast_Data!$Q$2:$Q$1001,RouteID_Conversion!$H$2:$H$999,SoundCast_Data!$P$2:$P$1001)</f>
        <v>0</v>
      </c>
    </row>
    <row r="908" spans="1:17" x14ac:dyDescent="0.25">
      <c r="A908">
        <v>741</v>
      </c>
      <c r="B908">
        <v>110933</v>
      </c>
      <c r="C908">
        <v>1</v>
      </c>
      <c r="D908" t="s">
        <v>1443</v>
      </c>
      <c r="E908" t="s">
        <v>327</v>
      </c>
      <c r="F908" t="s">
        <v>1441</v>
      </c>
      <c r="G908">
        <v>4</v>
      </c>
      <c r="H908">
        <v>933</v>
      </c>
      <c r="I908" t="s">
        <v>1442</v>
      </c>
      <c r="J908">
        <v>4013</v>
      </c>
      <c r="K908" s="8">
        <f>SUMIF(SoundCast_Data!$A$2:$A$1001,RouteID_Conversion!$H$2:$H$999,SoundCast_Data!$C$2:$C$1001)</f>
        <v>71.419412612914897</v>
      </c>
      <c r="Q908" s="8">
        <f>SUMIF(SoundCast_Data!$Q$2:$Q$1001,RouteID_Conversion!$H$2:$H$999,SoundCast_Data!$P$2:$P$1001)</f>
        <v>0</v>
      </c>
    </row>
    <row r="909" spans="1:17" x14ac:dyDescent="0.25">
      <c r="A909">
        <v>742</v>
      </c>
      <c r="B909">
        <v>110934</v>
      </c>
      <c r="C909">
        <v>1</v>
      </c>
      <c r="D909" t="s">
        <v>1444</v>
      </c>
      <c r="E909" t="s">
        <v>327</v>
      </c>
      <c r="F909" t="s">
        <v>1445</v>
      </c>
      <c r="G909">
        <v>4</v>
      </c>
      <c r="H909">
        <v>934</v>
      </c>
      <c r="I909" t="s">
        <v>1446</v>
      </c>
      <c r="J909">
        <v>4015</v>
      </c>
      <c r="K909" s="8">
        <f>SUMIF(SoundCast_Data!$A$2:$A$1001,RouteID_Conversion!$H$2:$H$999,SoundCast_Data!$C$2:$C$1001)</f>
        <v>161.7333602905272</v>
      </c>
      <c r="Q909" s="8">
        <f>SUMIF(SoundCast_Data!$Q$2:$Q$1001,RouteID_Conversion!$H$2:$H$999,SoundCast_Data!$P$2:$P$1001)</f>
        <v>0</v>
      </c>
    </row>
    <row r="910" spans="1:17" x14ac:dyDescent="0.25">
      <c r="A910">
        <v>208</v>
      </c>
      <c r="B910">
        <v>110935</v>
      </c>
      <c r="C910">
        <v>1</v>
      </c>
      <c r="D910" t="s">
        <v>643</v>
      </c>
      <c r="E910" t="s">
        <v>327</v>
      </c>
      <c r="F910" t="s">
        <v>644</v>
      </c>
      <c r="G910">
        <v>4</v>
      </c>
      <c r="H910">
        <v>935</v>
      </c>
      <c r="I910" t="s">
        <v>645</v>
      </c>
      <c r="J910">
        <v>4017</v>
      </c>
      <c r="K910" s="8">
        <f>SUMIF(SoundCast_Data!$A$2:$A$1001,RouteID_Conversion!$H$2:$H$999,SoundCast_Data!$C$2:$C$1001)</f>
        <v>18.799773216247551</v>
      </c>
      <c r="Q910" s="8">
        <f>SUMIF(SoundCast_Data!$Q$2:$Q$1001,RouteID_Conversion!$H$2:$H$999,SoundCast_Data!$P$2:$P$1001)</f>
        <v>0</v>
      </c>
    </row>
    <row r="911" spans="1:17" x14ac:dyDescent="0.25">
      <c r="A911">
        <v>209</v>
      </c>
      <c r="B911">
        <v>110936</v>
      </c>
      <c r="C911">
        <v>1</v>
      </c>
      <c r="D911" t="s">
        <v>646</v>
      </c>
      <c r="E911" t="s">
        <v>327</v>
      </c>
      <c r="F911" t="s">
        <v>644</v>
      </c>
      <c r="G911">
        <v>4</v>
      </c>
      <c r="H911">
        <v>936</v>
      </c>
      <c r="I911" t="s">
        <v>645</v>
      </c>
      <c r="J911">
        <v>4017</v>
      </c>
      <c r="K911" s="8">
        <f>SUMIF(SoundCast_Data!$A$2:$A$1001,RouteID_Conversion!$H$2:$H$999,SoundCast_Data!$C$2:$C$1001)</f>
        <v>9.7074315547942991</v>
      </c>
      <c r="Q911" s="8">
        <f>SUMIF(SoundCast_Data!$Q$2:$Q$1001,RouteID_Conversion!$H$2:$H$999,SoundCast_Data!$P$2:$P$1001)</f>
        <v>0</v>
      </c>
    </row>
    <row r="912" spans="1:17" x14ac:dyDescent="0.25">
      <c r="A912">
        <v>743</v>
      </c>
      <c r="B912">
        <v>110937</v>
      </c>
      <c r="C912">
        <v>1</v>
      </c>
      <c r="D912" t="s">
        <v>1447</v>
      </c>
      <c r="E912" t="s">
        <v>327</v>
      </c>
      <c r="F912" t="s">
        <v>1448</v>
      </c>
      <c r="G912">
        <v>4</v>
      </c>
      <c r="H912">
        <v>937</v>
      </c>
      <c r="I912" t="s">
        <v>1449</v>
      </c>
      <c r="J912">
        <v>4019</v>
      </c>
      <c r="K912" s="8">
        <f>SUMIF(SoundCast_Data!$A$2:$A$1001,RouteID_Conversion!$H$2:$H$999,SoundCast_Data!$C$2:$C$1001)</f>
        <v>59.972920417785502</v>
      </c>
      <c r="Q912" s="8">
        <f>SUMIF(SoundCast_Data!$Q$2:$Q$1001,RouteID_Conversion!$H$2:$H$999,SoundCast_Data!$P$2:$P$1001)</f>
        <v>0</v>
      </c>
    </row>
    <row r="913" spans="1:17" x14ac:dyDescent="0.25">
      <c r="A913">
        <v>414</v>
      </c>
      <c r="B913">
        <v>110938</v>
      </c>
      <c r="C913">
        <v>1</v>
      </c>
      <c r="D913" t="s">
        <v>962</v>
      </c>
      <c r="E913" t="s">
        <v>327</v>
      </c>
      <c r="F913" t="s">
        <v>963</v>
      </c>
      <c r="G913">
        <v>4</v>
      </c>
      <c r="H913">
        <v>938</v>
      </c>
      <c r="I913" t="s">
        <v>964</v>
      </c>
      <c r="J913">
        <v>4020</v>
      </c>
      <c r="K913" s="8">
        <f>SUMIF(SoundCast_Data!$A$2:$A$1001,RouteID_Conversion!$H$2:$H$999,SoundCast_Data!$C$2:$C$1001)</f>
        <v>52.523689270019304</v>
      </c>
      <c r="Q913" s="8">
        <f>SUMIF(SoundCast_Data!$Q$2:$Q$1001,RouteID_Conversion!$H$2:$H$999,SoundCast_Data!$P$2:$P$1001)</f>
        <v>0</v>
      </c>
    </row>
    <row r="914" spans="1:17" x14ac:dyDescent="0.25">
      <c r="A914">
        <v>415</v>
      </c>
      <c r="B914">
        <v>110939</v>
      </c>
      <c r="C914">
        <v>1</v>
      </c>
      <c r="D914" t="s">
        <v>965</v>
      </c>
      <c r="E914" t="s">
        <v>327</v>
      </c>
      <c r="F914" t="s">
        <v>963</v>
      </c>
      <c r="G914">
        <v>4</v>
      </c>
      <c r="H914">
        <v>939</v>
      </c>
      <c r="I914" t="s">
        <v>964</v>
      </c>
      <c r="J914">
        <v>4020</v>
      </c>
      <c r="K914" s="8">
        <f>SUMIF(SoundCast_Data!$A$2:$A$1001,RouteID_Conversion!$H$2:$H$999,SoundCast_Data!$C$2:$C$1001)</f>
        <v>40.487223625182899</v>
      </c>
      <c r="Q914" s="8">
        <f>SUMIF(SoundCast_Data!$Q$2:$Q$1001,RouteID_Conversion!$H$2:$H$999,SoundCast_Data!$P$2:$P$1001)</f>
        <v>0</v>
      </c>
    </row>
    <row r="915" spans="1:17" x14ac:dyDescent="0.25">
      <c r="A915">
        <v>744</v>
      </c>
      <c r="B915">
        <v>110940</v>
      </c>
      <c r="C915">
        <v>1</v>
      </c>
      <c r="D915" t="s">
        <v>1450</v>
      </c>
      <c r="E915" t="s">
        <v>327</v>
      </c>
      <c r="F915" t="s">
        <v>1451</v>
      </c>
      <c r="G915">
        <v>4</v>
      </c>
      <c r="H915">
        <v>940</v>
      </c>
      <c r="I915" t="s">
        <v>1452</v>
      </c>
      <c r="J915">
        <v>4021</v>
      </c>
      <c r="K915" s="8">
        <f>SUMIF(SoundCast_Data!$A$2:$A$1001,RouteID_Conversion!$H$2:$H$999,SoundCast_Data!$C$2:$C$1001)</f>
        <v>11.384783744812001</v>
      </c>
      <c r="Q915" s="8">
        <f>SUMIF(SoundCast_Data!$Q$2:$Q$1001,RouteID_Conversion!$H$2:$H$999,SoundCast_Data!$P$2:$P$1001)</f>
        <v>0</v>
      </c>
    </row>
    <row r="916" spans="1:17" x14ac:dyDescent="0.25">
      <c r="A916">
        <v>745</v>
      </c>
      <c r="B916">
        <v>110941</v>
      </c>
      <c r="C916">
        <v>1</v>
      </c>
      <c r="D916" t="s">
        <v>1453</v>
      </c>
      <c r="E916" t="s">
        <v>327</v>
      </c>
      <c r="F916" t="s">
        <v>1451</v>
      </c>
      <c r="G916">
        <v>4</v>
      </c>
      <c r="H916">
        <v>941</v>
      </c>
      <c r="I916" t="s">
        <v>1452</v>
      </c>
      <c r="J916">
        <v>4021</v>
      </c>
      <c r="K916" s="8">
        <f>SUMIF(SoundCast_Data!$A$2:$A$1001,RouteID_Conversion!$H$2:$H$999,SoundCast_Data!$C$2:$C$1001)</f>
        <v>47.068750381469499</v>
      </c>
      <c r="Q916" s="8">
        <f>SUMIF(SoundCast_Data!$Q$2:$Q$1001,RouteID_Conversion!$H$2:$H$999,SoundCast_Data!$P$2:$P$1001)</f>
        <v>0</v>
      </c>
    </row>
    <row r="917" spans="1:17" x14ac:dyDescent="0.25">
      <c r="A917">
        <v>416</v>
      </c>
      <c r="B917">
        <v>110942</v>
      </c>
      <c r="C917">
        <v>1</v>
      </c>
      <c r="D917" t="s">
        <v>966</v>
      </c>
      <c r="E917" t="s">
        <v>327</v>
      </c>
      <c r="F917" t="s">
        <v>967</v>
      </c>
      <c r="G917">
        <v>4</v>
      </c>
      <c r="H917">
        <v>942</v>
      </c>
      <c r="I917" t="s">
        <v>968</v>
      </c>
      <c r="J917">
        <v>4022</v>
      </c>
      <c r="K917" s="8">
        <f>SUMIF(SoundCast_Data!$A$2:$A$1001,RouteID_Conversion!$H$2:$H$999,SoundCast_Data!$C$2:$C$1001)</f>
        <v>5.3344460278749404</v>
      </c>
      <c r="Q917" s="8">
        <f>SUMIF(SoundCast_Data!$Q$2:$Q$1001,RouteID_Conversion!$H$2:$H$999,SoundCast_Data!$P$2:$P$1001)</f>
        <v>0</v>
      </c>
    </row>
    <row r="918" spans="1:17" x14ac:dyDescent="0.25">
      <c r="A918">
        <v>417</v>
      </c>
      <c r="B918">
        <v>110943</v>
      </c>
      <c r="C918">
        <v>1</v>
      </c>
      <c r="D918" t="s">
        <v>969</v>
      </c>
      <c r="E918" t="s">
        <v>327</v>
      </c>
      <c r="F918" t="s">
        <v>849</v>
      </c>
      <c r="G918">
        <v>4</v>
      </c>
      <c r="H918">
        <v>943</v>
      </c>
      <c r="I918" t="s">
        <v>850</v>
      </c>
      <c r="J918">
        <v>4023</v>
      </c>
      <c r="K918" s="8">
        <f>SUMIF(SoundCast_Data!$A$2:$A$1001,RouteID_Conversion!$H$2:$H$999,SoundCast_Data!$C$2:$C$1001)</f>
        <v>8.6336272954940707</v>
      </c>
      <c r="Q918" s="8">
        <f>SUMIF(SoundCast_Data!$Q$2:$Q$1001,RouteID_Conversion!$H$2:$H$999,SoundCast_Data!$P$2:$P$1001)</f>
        <v>0</v>
      </c>
    </row>
    <row r="919" spans="1:17" x14ac:dyDescent="0.25">
      <c r="A919">
        <v>447</v>
      </c>
      <c r="B919">
        <v>110944</v>
      </c>
      <c r="C919">
        <v>1</v>
      </c>
      <c r="D919" t="s">
        <v>1021</v>
      </c>
      <c r="E919" t="s">
        <v>327</v>
      </c>
      <c r="F919" t="s">
        <v>1022</v>
      </c>
      <c r="G919">
        <v>4</v>
      </c>
      <c r="H919">
        <v>944</v>
      </c>
      <c r="I919" t="s">
        <v>1023</v>
      </c>
      <c r="J919">
        <v>4025</v>
      </c>
      <c r="K919" s="8">
        <f>SUMIF(SoundCast_Data!$A$2:$A$1001,RouteID_Conversion!$H$2:$H$999,SoundCast_Data!$C$2:$C$1001)</f>
        <v>19.47921514511107</v>
      </c>
      <c r="Q919" s="8">
        <f>SUMIF(SoundCast_Data!$Q$2:$Q$1001,RouteID_Conversion!$H$2:$H$999,SoundCast_Data!$P$2:$P$1001)</f>
        <v>0</v>
      </c>
    </row>
    <row r="920" spans="1:17" x14ac:dyDescent="0.25">
      <c r="A920">
        <v>448</v>
      </c>
      <c r="B920">
        <v>110945</v>
      </c>
      <c r="C920">
        <v>1</v>
      </c>
      <c r="D920" t="s">
        <v>1024</v>
      </c>
      <c r="E920" t="s">
        <v>327</v>
      </c>
      <c r="F920" t="s">
        <v>1022</v>
      </c>
      <c r="G920">
        <v>4</v>
      </c>
      <c r="H920">
        <v>945</v>
      </c>
      <c r="I920" t="s">
        <v>1023</v>
      </c>
      <c r="J920">
        <v>4025</v>
      </c>
      <c r="K920" s="8">
        <f>SUMIF(SoundCast_Data!$A$2:$A$1001,RouteID_Conversion!$H$2:$H$999,SoundCast_Data!$C$2:$C$1001)</f>
        <v>36.462073326110698</v>
      </c>
      <c r="Q920" s="8">
        <f>SUMIF(SoundCast_Data!$Q$2:$Q$1001,RouteID_Conversion!$H$2:$H$999,SoundCast_Data!$P$2:$P$1001)</f>
        <v>0</v>
      </c>
    </row>
    <row r="921" spans="1:17" x14ac:dyDescent="0.25">
      <c r="A921">
        <v>315</v>
      </c>
      <c r="B921">
        <v>110946</v>
      </c>
      <c r="C921">
        <v>1</v>
      </c>
      <c r="D921" t="s">
        <v>829</v>
      </c>
      <c r="E921" t="s">
        <v>327</v>
      </c>
      <c r="F921" t="s">
        <v>830</v>
      </c>
      <c r="G921">
        <v>4</v>
      </c>
      <c r="H921">
        <v>946</v>
      </c>
      <c r="I921" t="s">
        <v>831</v>
      </c>
      <c r="J921">
        <v>4026</v>
      </c>
      <c r="K921" s="8">
        <f>SUMIF(SoundCast_Data!$A$2:$A$1001,RouteID_Conversion!$H$2:$H$999,SoundCast_Data!$C$2:$C$1001)</f>
        <v>23.228559017181379</v>
      </c>
      <c r="Q921" s="8">
        <f>SUMIF(SoundCast_Data!$Q$2:$Q$1001,RouteID_Conversion!$H$2:$H$999,SoundCast_Data!$P$2:$P$1001)</f>
        <v>0</v>
      </c>
    </row>
    <row r="922" spans="1:17" x14ac:dyDescent="0.25">
      <c r="A922">
        <v>316</v>
      </c>
      <c r="B922">
        <v>110947</v>
      </c>
      <c r="C922">
        <v>1</v>
      </c>
      <c r="D922" t="s">
        <v>832</v>
      </c>
      <c r="E922" t="s">
        <v>327</v>
      </c>
      <c r="F922" t="s">
        <v>830</v>
      </c>
      <c r="G922">
        <v>4</v>
      </c>
      <c r="H922">
        <v>947</v>
      </c>
      <c r="I922" t="s">
        <v>831</v>
      </c>
      <c r="J922">
        <v>4026</v>
      </c>
      <c r="K922" s="8">
        <f>SUMIF(SoundCast_Data!$A$2:$A$1001,RouteID_Conversion!$H$2:$H$999,SoundCast_Data!$C$2:$C$1001)</f>
        <v>39.288229942321721</v>
      </c>
      <c r="Q922" s="8">
        <f>SUMIF(SoundCast_Data!$Q$2:$Q$1001,RouteID_Conversion!$H$2:$H$999,SoundCast_Data!$P$2:$P$1001)</f>
        <v>0</v>
      </c>
    </row>
    <row r="923" spans="1:17" x14ac:dyDescent="0.25">
      <c r="A923">
        <v>746</v>
      </c>
      <c r="B923">
        <v>110948</v>
      </c>
      <c r="C923">
        <v>1</v>
      </c>
      <c r="D923" t="s">
        <v>1454</v>
      </c>
      <c r="E923" t="s">
        <v>327</v>
      </c>
      <c r="F923" t="s">
        <v>1455</v>
      </c>
      <c r="G923">
        <v>4</v>
      </c>
      <c r="H923">
        <v>948</v>
      </c>
      <c r="I923" t="s">
        <v>1456</v>
      </c>
      <c r="J923">
        <v>4029</v>
      </c>
      <c r="K923" s="8">
        <f>SUMIF(SoundCast_Data!$A$2:$A$1001,RouteID_Conversion!$H$2:$H$999,SoundCast_Data!$C$2:$C$1001)</f>
        <v>12.548452854156482</v>
      </c>
      <c r="Q923" s="8">
        <f>SUMIF(SoundCast_Data!$Q$2:$Q$1001,RouteID_Conversion!$H$2:$H$999,SoundCast_Data!$P$2:$P$1001)</f>
        <v>0</v>
      </c>
    </row>
    <row r="924" spans="1:17" x14ac:dyDescent="0.25">
      <c r="A924">
        <v>747</v>
      </c>
      <c r="B924">
        <v>110949</v>
      </c>
      <c r="C924">
        <v>1</v>
      </c>
      <c r="D924" t="s">
        <v>1457</v>
      </c>
      <c r="E924" t="s">
        <v>327</v>
      </c>
      <c r="F924" t="s">
        <v>1455</v>
      </c>
      <c r="G924">
        <v>4</v>
      </c>
      <c r="H924">
        <v>949</v>
      </c>
      <c r="I924" t="s">
        <v>1456</v>
      </c>
      <c r="J924">
        <v>4029</v>
      </c>
      <c r="K924" s="8">
        <f>SUMIF(SoundCast_Data!$A$2:$A$1001,RouteID_Conversion!$H$2:$H$999,SoundCast_Data!$C$2:$C$1001)</f>
        <v>27.075922012329002</v>
      </c>
      <c r="Q924" s="8">
        <f>SUMIF(SoundCast_Data!$Q$2:$Q$1001,RouteID_Conversion!$H$2:$H$999,SoundCast_Data!$P$2:$P$1001)</f>
        <v>0</v>
      </c>
    </row>
    <row r="925" spans="1:17" x14ac:dyDescent="0.25">
      <c r="A925">
        <v>210</v>
      </c>
      <c r="B925">
        <v>110950</v>
      </c>
      <c r="C925">
        <v>1</v>
      </c>
      <c r="D925" t="s">
        <v>647</v>
      </c>
      <c r="E925" t="s">
        <v>327</v>
      </c>
      <c r="F925" t="s">
        <v>648</v>
      </c>
      <c r="G925">
        <v>4</v>
      </c>
      <c r="H925">
        <v>950</v>
      </c>
      <c r="I925" t="s">
        <v>649</v>
      </c>
      <c r="J925">
        <v>4034</v>
      </c>
      <c r="K925" s="8">
        <f>SUMIF(SoundCast_Data!$A$2:$A$1001,RouteID_Conversion!$H$2:$H$999,SoundCast_Data!$C$2:$C$1001)</f>
        <v>0</v>
      </c>
      <c r="Q925" s="8">
        <f>SUMIF(SoundCast_Data!$Q$2:$Q$1001,RouteID_Conversion!$H$2:$H$999,SoundCast_Data!$P$2:$P$1001)</f>
        <v>0</v>
      </c>
    </row>
    <row r="926" spans="1:17" x14ac:dyDescent="0.25">
      <c r="A926">
        <v>317</v>
      </c>
      <c r="B926">
        <v>110951</v>
      </c>
      <c r="C926">
        <v>1</v>
      </c>
      <c r="D926" t="s">
        <v>833</v>
      </c>
      <c r="E926" t="s">
        <v>327</v>
      </c>
      <c r="F926" t="s">
        <v>834</v>
      </c>
      <c r="G926">
        <v>4</v>
      </c>
      <c r="H926">
        <v>951</v>
      </c>
      <c r="I926" t="s">
        <v>833</v>
      </c>
      <c r="J926">
        <v>4085</v>
      </c>
      <c r="K926" s="8">
        <f>SUMIF(SoundCast_Data!$A$2:$A$1001,RouteID_Conversion!$H$2:$H$999,SoundCast_Data!$C$2:$C$1001)</f>
        <v>1.25</v>
      </c>
      <c r="Q926" s="8">
        <f>SUMIF(SoundCast_Data!$Q$2:$Q$1001,RouteID_Conversion!$H$2:$H$999,SoundCast_Data!$P$2:$P$1001)</f>
        <v>0</v>
      </c>
    </row>
    <row r="927" spans="1:17" x14ac:dyDescent="0.25">
      <c r="A927">
        <v>111</v>
      </c>
      <c r="B927">
        <v>110952</v>
      </c>
      <c r="C927">
        <v>1</v>
      </c>
      <c r="D927" t="s">
        <v>500</v>
      </c>
      <c r="E927" t="s">
        <v>327</v>
      </c>
      <c r="F927" t="s">
        <v>501</v>
      </c>
      <c r="G927">
        <v>4</v>
      </c>
      <c r="H927">
        <v>952</v>
      </c>
      <c r="I927" t="s">
        <v>502</v>
      </c>
      <c r="J927">
        <v>4091</v>
      </c>
      <c r="K927" s="8">
        <f>SUMIF(SoundCast_Data!$A$2:$A$1001,RouteID_Conversion!$H$2:$H$999,SoundCast_Data!$C$2:$C$1001)</f>
        <v>3.5981200188398268</v>
      </c>
      <c r="Q927" s="8">
        <f>SUMIF(SoundCast_Data!$Q$2:$Q$1001,RouteID_Conversion!$H$2:$H$999,SoundCast_Data!$P$2:$P$1001)</f>
        <v>0</v>
      </c>
    </row>
    <row r="928" spans="1:17" x14ac:dyDescent="0.25">
      <c r="A928">
        <v>211</v>
      </c>
      <c r="B928">
        <v>110953</v>
      </c>
      <c r="C928">
        <v>1</v>
      </c>
      <c r="D928" t="s">
        <v>650</v>
      </c>
      <c r="E928" t="s">
        <v>327</v>
      </c>
      <c r="F928" t="s">
        <v>651</v>
      </c>
      <c r="G928">
        <v>4</v>
      </c>
      <c r="H928">
        <v>953</v>
      </c>
      <c r="I928" t="s">
        <v>650</v>
      </c>
      <c r="J928">
        <v>4094</v>
      </c>
      <c r="K928" s="8">
        <f>SUMIF(SoundCast_Data!$A$2:$A$1001,RouteID_Conversion!$H$2:$H$999,SoundCast_Data!$C$2:$C$1001)</f>
        <v>14.282547235488879</v>
      </c>
      <c r="Q928" s="8">
        <f>SUMIF(SoundCast_Data!$Q$2:$Q$1001,RouteID_Conversion!$H$2:$H$999,SoundCast_Data!$P$2:$P$1001)</f>
        <v>0</v>
      </c>
    </row>
    <row r="929" spans="1:17" x14ac:dyDescent="0.25">
      <c r="A929">
        <v>212</v>
      </c>
      <c r="B929">
        <v>110954</v>
      </c>
      <c r="C929">
        <v>1</v>
      </c>
      <c r="D929" t="s">
        <v>652</v>
      </c>
      <c r="E929" t="s">
        <v>327</v>
      </c>
      <c r="F929" t="s">
        <v>653</v>
      </c>
      <c r="G929">
        <v>4</v>
      </c>
      <c r="H929">
        <v>954</v>
      </c>
      <c r="I929" t="s">
        <v>654</v>
      </c>
      <c r="J929">
        <v>4095</v>
      </c>
      <c r="K929" s="8">
        <f>SUMIF(SoundCast_Data!$A$2:$A$1001,RouteID_Conversion!$H$2:$H$999,SoundCast_Data!$C$2:$C$1001)</f>
        <v>18.548366785049428</v>
      </c>
      <c r="Q929" s="8">
        <f>SUMIF(SoundCast_Data!$Q$2:$Q$1001,RouteID_Conversion!$H$2:$H$999,SoundCast_Data!$P$2:$P$1001)</f>
        <v>0</v>
      </c>
    </row>
    <row r="930" spans="1:17" x14ac:dyDescent="0.25">
      <c r="A930">
        <v>318</v>
      </c>
      <c r="B930">
        <v>110955</v>
      </c>
      <c r="C930">
        <v>1</v>
      </c>
      <c r="D930" t="s">
        <v>835</v>
      </c>
      <c r="E930" t="s">
        <v>327</v>
      </c>
      <c r="F930" t="s">
        <v>836</v>
      </c>
      <c r="G930">
        <v>4</v>
      </c>
      <c r="H930">
        <v>955</v>
      </c>
      <c r="I930" t="s">
        <v>837</v>
      </c>
      <c r="J930">
        <v>4097</v>
      </c>
      <c r="K930" s="8">
        <f>SUMIF(SoundCast_Data!$A$2:$A$1001,RouteID_Conversion!$H$2:$H$999,SoundCast_Data!$C$2:$C$1001)</f>
        <v>15.52499985694884</v>
      </c>
      <c r="Q930" s="8">
        <f>SUMIF(SoundCast_Data!$Q$2:$Q$1001,RouteID_Conversion!$H$2:$H$999,SoundCast_Data!$P$2:$P$1001)</f>
        <v>0</v>
      </c>
    </row>
    <row r="931" spans="1:17" x14ac:dyDescent="0.25">
      <c r="A931">
        <v>319</v>
      </c>
      <c r="B931">
        <v>110956</v>
      </c>
      <c r="C931">
        <v>1</v>
      </c>
      <c r="D931" t="s">
        <v>838</v>
      </c>
      <c r="E931" t="s">
        <v>327</v>
      </c>
      <c r="F931" t="s">
        <v>839</v>
      </c>
      <c r="G931">
        <v>4</v>
      </c>
      <c r="H931">
        <v>956</v>
      </c>
      <c r="I931" t="s">
        <v>840</v>
      </c>
      <c r="J931">
        <v>4098</v>
      </c>
      <c r="K931" s="8">
        <f>SUMIF(SoundCast_Data!$A$2:$A$1001,RouteID_Conversion!$H$2:$H$999,SoundCast_Data!$C$2:$C$1001)</f>
        <v>5.2999999523162824</v>
      </c>
      <c r="Q931" s="8">
        <f>SUMIF(SoundCast_Data!$Q$2:$Q$1001,RouteID_Conversion!$H$2:$H$999,SoundCast_Data!$P$2:$P$1001)</f>
        <v>0</v>
      </c>
    </row>
    <row r="932" spans="1:17" x14ac:dyDescent="0.25">
      <c r="A932">
        <v>320</v>
      </c>
      <c r="B932">
        <v>110957</v>
      </c>
      <c r="C932">
        <v>1</v>
      </c>
      <c r="D932" t="s">
        <v>841</v>
      </c>
      <c r="E932" t="s">
        <v>327</v>
      </c>
      <c r="F932" t="s">
        <v>842</v>
      </c>
      <c r="G932">
        <v>4</v>
      </c>
      <c r="H932">
        <v>957</v>
      </c>
      <c r="I932" t="s">
        <v>843</v>
      </c>
      <c r="J932">
        <v>4099</v>
      </c>
      <c r="K932" s="8">
        <f>SUMIF(SoundCast_Data!$A$2:$A$1001,RouteID_Conversion!$H$2:$H$999,SoundCast_Data!$C$2:$C$1001)</f>
        <v>9.375</v>
      </c>
      <c r="Q932" s="8">
        <f>SUMIF(SoundCast_Data!$Q$2:$Q$1001,RouteID_Conversion!$H$2:$H$999,SoundCast_Data!$P$2:$P$1001)</f>
        <v>0</v>
      </c>
    </row>
    <row r="933" spans="1:17" x14ac:dyDescent="0.25">
      <c r="A933">
        <v>115</v>
      </c>
      <c r="B933">
        <v>110958</v>
      </c>
      <c r="C933">
        <v>1</v>
      </c>
      <c r="D933" t="s">
        <v>509</v>
      </c>
      <c r="E933" t="s">
        <v>443</v>
      </c>
      <c r="F933" t="s">
        <v>510</v>
      </c>
      <c r="G933">
        <v>4</v>
      </c>
      <c r="H933">
        <v>958</v>
      </c>
      <c r="I933" t="s">
        <v>511</v>
      </c>
      <c r="J933">
        <v>4501</v>
      </c>
      <c r="K933" s="8">
        <f>SUMIF(SoundCast_Data!$A$2:$A$1001,RouteID_Conversion!$H$2:$H$999,SoundCast_Data!$C$2:$C$1001)</f>
        <v>26.414286136627151</v>
      </c>
      <c r="Q933" s="8">
        <f>SUMIF(SoundCast_Data!$Q$2:$Q$1001,RouteID_Conversion!$H$2:$H$999,SoundCast_Data!$P$2:$P$1001)</f>
        <v>0</v>
      </c>
    </row>
    <row r="934" spans="1:17" x14ac:dyDescent="0.25">
      <c r="A934">
        <v>116</v>
      </c>
      <c r="B934">
        <v>110959</v>
      </c>
      <c r="C934">
        <v>1</v>
      </c>
      <c r="D934" t="s">
        <v>512</v>
      </c>
      <c r="E934" t="s">
        <v>443</v>
      </c>
      <c r="F934" t="s">
        <v>510</v>
      </c>
      <c r="G934">
        <v>4</v>
      </c>
      <c r="H934">
        <v>959</v>
      </c>
      <c r="I934" t="s">
        <v>511</v>
      </c>
      <c r="J934">
        <v>4501</v>
      </c>
      <c r="K934" s="8">
        <f>SUMIF(SoundCast_Data!$A$2:$A$1001,RouteID_Conversion!$H$2:$H$999,SoundCast_Data!$C$2:$C$1001)</f>
        <v>29.435801267623791</v>
      </c>
      <c r="Q934" s="8">
        <f>SUMIF(SoundCast_Data!$Q$2:$Q$1001,RouteID_Conversion!$H$2:$H$999,SoundCast_Data!$P$2:$P$1001)</f>
        <v>0</v>
      </c>
    </row>
    <row r="935" spans="1:17" x14ac:dyDescent="0.25">
      <c r="A935">
        <v>418</v>
      </c>
      <c r="B935">
        <v>110960</v>
      </c>
      <c r="C935">
        <v>1</v>
      </c>
      <c r="D935" t="s">
        <v>970</v>
      </c>
      <c r="E935" t="s">
        <v>327</v>
      </c>
      <c r="F935" t="s">
        <v>971</v>
      </c>
      <c r="G935">
        <v>4</v>
      </c>
      <c r="H935">
        <v>960</v>
      </c>
      <c r="I935" t="s">
        <v>972</v>
      </c>
      <c r="J935">
        <v>4301</v>
      </c>
      <c r="K935" s="8">
        <f>SUMIF(SoundCast_Data!$A$2:$A$1001,RouteID_Conversion!$H$2:$H$999,SoundCast_Data!$C$2:$C$1001)</f>
        <v>8.398859143257134</v>
      </c>
      <c r="Q935" s="8">
        <f>SUMIF(SoundCast_Data!$Q$2:$Q$1001,RouteID_Conversion!$H$2:$H$999,SoundCast_Data!$P$2:$P$1001)</f>
        <v>0</v>
      </c>
    </row>
    <row r="936" spans="1:17" x14ac:dyDescent="0.25">
      <c r="A936">
        <v>419</v>
      </c>
      <c r="B936">
        <v>110961</v>
      </c>
      <c r="C936">
        <v>1</v>
      </c>
      <c r="D936" t="s">
        <v>973</v>
      </c>
      <c r="E936" t="s">
        <v>327</v>
      </c>
      <c r="F936" t="s">
        <v>971</v>
      </c>
      <c r="G936">
        <v>4</v>
      </c>
      <c r="H936">
        <v>961</v>
      </c>
      <c r="I936" t="s">
        <v>972</v>
      </c>
      <c r="J936">
        <v>4301</v>
      </c>
      <c r="K936" s="8">
        <f>SUMIF(SoundCast_Data!$A$2:$A$1001,RouteID_Conversion!$H$2:$H$999,SoundCast_Data!$C$2:$C$1001)</f>
        <v>7.5141022205352597</v>
      </c>
      <c r="Q936" s="8">
        <f>SUMIF(SoundCast_Data!$Q$2:$Q$1001,RouteID_Conversion!$H$2:$H$999,SoundCast_Data!$P$2:$P$1001)</f>
        <v>0</v>
      </c>
    </row>
    <row r="937" spans="1:17" x14ac:dyDescent="0.25">
      <c r="A937">
        <v>321</v>
      </c>
      <c r="B937">
        <v>110962</v>
      </c>
      <c r="C937">
        <v>1</v>
      </c>
      <c r="D937" t="s">
        <v>844</v>
      </c>
      <c r="E937" t="s">
        <v>327</v>
      </c>
      <c r="F937" t="s">
        <v>845</v>
      </c>
      <c r="G937">
        <v>4</v>
      </c>
      <c r="H937">
        <v>962</v>
      </c>
      <c r="I937" t="s">
        <v>846</v>
      </c>
      <c r="J937">
        <v>4011</v>
      </c>
      <c r="K937" s="8">
        <f>SUMIF(SoundCast_Data!$A$2:$A$1001,RouteID_Conversion!$H$2:$H$999,SoundCast_Data!$C$2:$C$1001)</f>
        <v>21.64105463027952</v>
      </c>
      <c r="Q937" s="8">
        <f>SUMIF(SoundCast_Data!$Q$2:$Q$1001,RouteID_Conversion!$H$2:$H$999,SoundCast_Data!$P$2:$P$1001)</f>
        <v>0</v>
      </c>
    </row>
    <row r="938" spans="1:17" x14ac:dyDescent="0.25">
      <c r="A938">
        <v>322</v>
      </c>
      <c r="B938">
        <v>110963</v>
      </c>
      <c r="C938">
        <v>1</v>
      </c>
      <c r="D938" t="s">
        <v>847</v>
      </c>
      <c r="E938" t="s">
        <v>327</v>
      </c>
      <c r="F938" t="s">
        <v>845</v>
      </c>
      <c r="G938">
        <v>4</v>
      </c>
      <c r="H938">
        <v>963</v>
      </c>
      <c r="I938" t="s">
        <v>846</v>
      </c>
      <c r="J938">
        <v>4011</v>
      </c>
      <c r="K938" s="8">
        <f>SUMIF(SoundCast_Data!$A$2:$A$1001,RouteID_Conversion!$H$2:$H$999,SoundCast_Data!$C$2:$C$1001)</f>
        <v>17.573921203613271</v>
      </c>
      <c r="Q938" s="8">
        <f>SUMIF(SoundCast_Data!$Q$2:$Q$1001,RouteID_Conversion!$H$2:$H$999,SoundCast_Data!$P$2:$P$1001)</f>
        <v>0</v>
      </c>
    </row>
    <row r="939" spans="1:17" x14ac:dyDescent="0.25">
      <c r="A939">
        <v>323</v>
      </c>
      <c r="B939">
        <v>110964</v>
      </c>
      <c r="C939">
        <v>1</v>
      </c>
      <c r="D939" t="s">
        <v>848</v>
      </c>
      <c r="E939" t="s">
        <v>327</v>
      </c>
      <c r="F939" t="s">
        <v>849</v>
      </c>
      <c r="G939">
        <v>4</v>
      </c>
      <c r="H939">
        <v>964</v>
      </c>
      <c r="I939" t="s">
        <v>850</v>
      </c>
      <c r="J939">
        <v>4023</v>
      </c>
      <c r="K939" s="8">
        <f>SUMIF(SoundCast_Data!$A$2:$A$1001,RouteID_Conversion!$H$2:$H$999,SoundCast_Data!$C$2:$C$1001)</f>
        <v>19.820000648498521</v>
      </c>
      <c r="Q939" s="8">
        <f>SUMIF(SoundCast_Data!$Q$2:$Q$1001,RouteID_Conversion!$H$2:$H$999,SoundCast_Data!$P$2:$P$1001)</f>
        <v>0</v>
      </c>
    </row>
    <row r="940" spans="1:17" x14ac:dyDescent="0.25">
      <c r="A940">
        <v>213</v>
      </c>
      <c r="B940">
        <v>110965</v>
      </c>
      <c r="C940">
        <v>1</v>
      </c>
      <c r="D940" t="s">
        <v>655</v>
      </c>
      <c r="E940" t="s">
        <v>327</v>
      </c>
      <c r="F940" t="s">
        <v>656</v>
      </c>
      <c r="G940">
        <v>4</v>
      </c>
      <c r="H940">
        <v>965</v>
      </c>
      <c r="I940" t="s">
        <v>657</v>
      </c>
      <c r="J940">
        <v>4033</v>
      </c>
      <c r="K940" s="8">
        <f>SUMIF(SoundCast_Data!$A$2:$A$1001,RouteID_Conversion!$H$2:$H$999,SoundCast_Data!$C$2:$C$1001)</f>
        <v>41.777904510497976</v>
      </c>
      <c r="Q940" s="8">
        <f>SUMIF(SoundCast_Data!$Q$2:$Q$1001,RouteID_Conversion!$H$2:$H$999,SoundCast_Data!$P$2:$P$1001)</f>
        <v>0</v>
      </c>
    </row>
    <row r="941" spans="1:17" x14ac:dyDescent="0.25">
      <c r="A941">
        <v>214</v>
      </c>
      <c r="B941">
        <v>110966</v>
      </c>
      <c r="C941">
        <v>1</v>
      </c>
      <c r="D941" t="s">
        <v>658</v>
      </c>
      <c r="E941" t="s">
        <v>327</v>
      </c>
      <c r="F941" t="s">
        <v>648</v>
      </c>
      <c r="G941">
        <v>4</v>
      </c>
      <c r="H941">
        <v>966</v>
      </c>
      <c r="I941" t="s">
        <v>649</v>
      </c>
      <c r="J941">
        <v>4034</v>
      </c>
      <c r="K941" s="8">
        <f>SUMIF(SoundCast_Data!$A$2:$A$1001,RouteID_Conversion!$H$2:$H$999,SoundCast_Data!$C$2:$C$1001)</f>
        <v>2.5714287459850276</v>
      </c>
      <c r="Q941" s="8">
        <f>SUMIF(SoundCast_Data!$Q$2:$Q$1001,RouteID_Conversion!$H$2:$H$999,SoundCast_Data!$P$2:$P$1001)</f>
        <v>0</v>
      </c>
    </row>
    <row r="942" spans="1:17" x14ac:dyDescent="0.25">
      <c r="A942">
        <v>215</v>
      </c>
      <c r="B942">
        <v>110967</v>
      </c>
      <c r="C942">
        <v>1</v>
      </c>
      <c r="D942" t="s">
        <v>659</v>
      </c>
      <c r="E942" t="s">
        <v>327</v>
      </c>
      <c r="F942" t="s">
        <v>660</v>
      </c>
      <c r="G942">
        <v>4</v>
      </c>
      <c r="H942">
        <v>967</v>
      </c>
      <c r="I942" t="s">
        <v>502</v>
      </c>
      <c r="J942">
        <v>4091</v>
      </c>
      <c r="K942" s="8">
        <f>SUMIF(SoundCast_Data!$A$2:$A$1001,RouteID_Conversion!$H$2:$H$999,SoundCast_Data!$C$2:$C$1001)</f>
        <v>16.460731267929059</v>
      </c>
      <c r="Q942" s="8">
        <f>SUMIF(SoundCast_Data!$Q$2:$Q$1001,RouteID_Conversion!$H$2:$H$999,SoundCast_Data!$P$2:$P$1001)</f>
        <v>0</v>
      </c>
    </row>
    <row r="943" spans="1:17" x14ac:dyDescent="0.25">
      <c r="A943">
        <v>216</v>
      </c>
      <c r="B943">
        <v>110968</v>
      </c>
      <c r="C943">
        <v>1</v>
      </c>
      <c r="D943" t="s">
        <v>661</v>
      </c>
      <c r="E943" t="s">
        <v>327</v>
      </c>
      <c r="F943" t="s">
        <v>660</v>
      </c>
      <c r="G943">
        <v>4</v>
      </c>
      <c r="H943">
        <v>968</v>
      </c>
      <c r="I943" t="s">
        <v>502</v>
      </c>
      <c r="J943">
        <v>4091</v>
      </c>
      <c r="K943" s="8">
        <f>SUMIF(SoundCast_Data!$A$2:$A$1001,RouteID_Conversion!$H$2:$H$999,SoundCast_Data!$C$2:$C$1001)</f>
        <v>12.609957218170161</v>
      </c>
      <c r="Q943" s="8">
        <f>SUMIF(SoundCast_Data!$Q$2:$Q$1001,RouteID_Conversion!$H$2:$H$999,SoundCast_Data!$P$2:$P$1001)</f>
        <v>0</v>
      </c>
    </row>
    <row r="944" spans="1:17" x14ac:dyDescent="0.25">
      <c r="A944">
        <v>217</v>
      </c>
      <c r="B944">
        <v>110969</v>
      </c>
      <c r="C944">
        <v>1</v>
      </c>
      <c r="D944" t="s">
        <v>662</v>
      </c>
      <c r="E944" t="s">
        <v>327</v>
      </c>
      <c r="F944" t="s">
        <v>663</v>
      </c>
      <c r="G944">
        <v>4</v>
      </c>
      <c r="H944">
        <v>969</v>
      </c>
      <c r="I944" t="s">
        <v>664</v>
      </c>
      <c r="J944">
        <v>4092</v>
      </c>
      <c r="K944" s="8">
        <f>SUMIF(SoundCast_Data!$A$2:$A$1001,RouteID_Conversion!$H$2:$H$999,SoundCast_Data!$C$2:$C$1001)</f>
        <v>16.652381896972642</v>
      </c>
      <c r="Q944" s="8">
        <f>SUMIF(SoundCast_Data!$Q$2:$Q$1001,RouteID_Conversion!$H$2:$H$999,SoundCast_Data!$P$2:$P$1001)</f>
        <v>0</v>
      </c>
    </row>
    <row r="945" spans="1:17" x14ac:dyDescent="0.25">
      <c r="A945">
        <v>324</v>
      </c>
      <c r="B945">
        <v>110970</v>
      </c>
      <c r="C945">
        <v>1</v>
      </c>
      <c r="D945" t="s">
        <v>851</v>
      </c>
      <c r="E945" t="s">
        <v>327</v>
      </c>
      <c r="F945" t="s">
        <v>852</v>
      </c>
      <c r="G945">
        <v>4</v>
      </c>
      <c r="H945">
        <v>970</v>
      </c>
      <c r="I945" t="s">
        <v>853</v>
      </c>
      <c r="J945">
        <v>4086</v>
      </c>
      <c r="K945" s="8">
        <f>SUMIF(SoundCast_Data!$A$2:$A$1001,RouteID_Conversion!$H$2:$H$999,SoundCast_Data!$C$2:$C$1001)</f>
        <v>5.9226332902908201</v>
      </c>
      <c r="Q945" s="8">
        <f>SUMIF(SoundCast_Data!$Q$2:$Q$1001,RouteID_Conversion!$H$2:$H$999,SoundCast_Data!$P$2:$P$1001)</f>
        <v>0</v>
      </c>
    </row>
    <row r="946" spans="1:17" x14ac:dyDescent="0.25">
      <c r="A946">
        <v>420</v>
      </c>
      <c r="B946">
        <v>110971</v>
      </c>
      <c r="C946">
        <v>1</v>
      </c>
      <c r="D946" t="s">
        <v>974</v>
      </c>
      <c r="E946" t="s">
        <v>327</v>
      </c>
      <c r="F946" t="s">
        <v>852</v>
      </c>
      <c r="G946">
        <v>4</v>
      </c>
      <c r="H946">
        <v>971</v>
      </c>
      <c r="I946" t="s">
        <v>853</v>
      </c>
      <c r="J946">
        <v>4086</v>
      </c>
      <c r="K946" s="8">
        <f>SUMIF(SoundCast_Data!$A$2:$A$1001,RouteID_Conversion!$H$2:$H$999,SoundCast_Data!$C$2:$C$1001)</f>
        <v>21.54925060272215</v>
      </c>
      <c r="Q946" s="8">
        <f>SUMIF(SoundCast_Data!$Q$2:$Q$1001,RouteID_Conversion!$H$2:$H$999,SoundCast_Data!$P$2:$P$1001)</f>
        <v>0</v>
      </c>
    </row>
    <row r="947" spans="1:17" x14ac:dyDescent="0.25">
      <c r="A947">
        <v>117</v>
      </c>
      <c r="B947">
        <v>110972</v>
      </c>
      <c r="C947">
        <v>1</v>
      </c>
      <c r="D947" t="s">
        <v>513</v>
      </c>
      <c r="E947" t="s">
        <v>443</v>
      </c>
      <c r="F947" t="s">
        <v>514</v>
      </c>
      <c r="G947">
        <v>4</v>
      </c>
      <c r="H947">
        <v>972</v>
      </c>
      <c r="I947" t="s">
        <v>515</v>
      </c>
      <c r="J947">
        <v>4502</v>
      </c>
      <c r="K947" s="8">
        <f>SUMIF(SoundCast_Data!$A$2:$A$1001,RouteID_Conversion!$H$2:$H$999,SoundCast_Data!$C$2:$C$1001)</f>
        <v>67.525458335876294</v>
      </c>
      <c r="Q947" s="8">
        <f>SUMIF(SoundCast_Data!$Q$2:$Q$1001,RouteID_Conversion!$H$2:$H$999,SoundCast_Data!$P$2:$P$1001)</f>
        <v>0</v>
      </c>
    </row>
    <row r="948" spans="1:17" x14ac:dyDescent="0.25">
      <c r="A948">
        <v>118</v>
      </c>
      <c r="B948">
        <v>110973</v>
      </c>
      <c r="C948">
        <v>1</v>
      </c>
      <c r="D948" t="s">
        <v>516</v>
      </c>
      <c r="E948" t="s">
        <v>443</v>
      </c>
      <c r="F948" t="s">
        <v>514</v>
      </c>
      <c r="G948">
        <v>4</v>
      </c>
      <c r="H948">
        <v>973</v>
      </c>
      <c r="I948" t="s">
        <v>515</v>
      </c>
      <c r="J948">
        <v>4502</v>
      </c>
      <c r="K948" s="8">
        <f>SUMIF(SoundCast_Data!$A$2:$A$1001,RouteID_Conversion!$H$2:$H$999,SoundCast_Data!$C$2:$C$1001)</f>
        <v>22.59850025176997</v>
      </c>
      <c r="Q948" s="8">
        <f>SUMIF(SoundCast_Data!$Q$2:$Q$1001,RouteID_Conversion!$H$2:$H$999,SoundCast_Data!$P$2:$P$1001)</f>
        <v>0</v>
      </c>
    </row>
    <row r="949" spans="1:17" x14ac:dyDescent="0.25">
      <c r="A949">
        <v>218</v>
      </c>
      <c r="B949">
        <v>110974</v>
      </c>
      <c r="C949">
        <v>1</v>
      </c>
      <c r="D949" t="s">
        <v>665</v>
      </c>
      <c r="E949" t="s">
        <v>327</v>
      </c>
      <c r="F949" t="s">
        <v>666</v>
      </c>
      <c r="G949">
        <v>4</v>
      </c>
      <c r="H949">
        <v>974</v>
      </c>
      <c r="I949" t="s">
        <v>665</v>
      </c>
      <c r="J949">
        <v>4093</v>
      </c>
      <c r="K949" s="8">
        <f>SUMIF(SoundCast_Data!$A$2:$A$1001,RouteID_Conversion!$H$2:$H$999,SoundCast_Data!$C$2:$C$1001)</f>
        <v>23.810487508773711</v>
      </c>
      <c r="Q949" s="8">
        <f>SUMIF(SoundCast_Data!$Q$2:$Q$1001,RouteID_Conversion!$H$2:$H$999,SoundCast_Data!$P$2:$P$1001)</f>
        <v>0</v>
      </c>
    </row>
    <row r="950" spans="1:17" x14ac:dyDescent="0.25">
      <c r="A950">
        <v>219</v>
      </c>
      <c r="B950">
        <v>110975</v>
      </c>
      <c r="C950">
        <v>1</v>
      </c>
      <c r="D950" t="s">
        <v>667</v>
      </c>
      <c r="E950" t="s">
        <v>327</v>
      </c>
      <c r="F950" t="s">
        <v>668</v>
      </c>
      <c r="G950">
        <v>4</v>
      </c>
      <c r="H950">
        <v>975</v>
      </c>
      <c r="I950" t="s">
        <v>669</v>
      </c>
      <c r="J950">
        <v>4106</v>
      </c>
      <c r="K950" s="8">
        <f>SUMIF(SoundCast_Data!$A$2:$A$1001,RouteID_Conversion!$H$2:$H$999,SoundCast_Data!$C$2:$C$1001)</f>
        <v>18.548366785049428</v>
      </c>
      <c r="Q950" s="8">
        <f>SUMIF(SoundCast_Data!$Q$2:$Q$1001,RouteID_Conversion!$H$2:$H$999,SoundCast_Data!$P$2:$P$1001)</f>
        <v>0</v>
      </c>
    </row>
    <row r="951" spans="1:17" x14ac:dyDescent="0.25">
      <c r="A951">
        <v>220</v>
      </c>
      <c r="B951">
        <v>110976</v>
      </c>
      <c r="C951">
        <v>1</v>
      </c>
      <c r="D951" t="s">
        <v>670</v>
      </c>
      <c r="E951" t="s">
        <v>327</v>
      </c>
      <c r="F951" t="s">
        <v>671</v>
      </c>
      <c r="G951">
        <v>4</v>
      </c>
      <c r="H951">
        <v>976</v>
      </c>
      <c r="I951" t="s">
        <v>672</v>
      </c>
      <c r="J951">
        <v>4096</v>
      </c>
      <c r="K951" s="8">
        <f>SUMIF(SoundCast_Data!$A$2:$A$1001,RouteID_Conversion!$H$2:$H$999,SoundCast_Data!$C$2:$C$1001)</f>
        <v>1.3799999952316215</v>
      </c>
      <c r="Q951" s="8">
        <f>SUMIF(SoundCast_Data!$Q$2:$Q$1001,RouteID_Conversion!$H$2:$H$999,SoundCast_Data!$P$2:$P$1001)</f>
        <v>0</v>
      </c>
    </row>
    <row r="952" spans="1:17" x14ac:dyDescent="0.25">
      <c r="A952">
        <v>797</v>
      </c>
      <c r="B952">
        <v>110977</v>
      </c>
      <c r="C952">
        <v>1</v>
      </c>
      <c r="D952" t="s">
        <v>1514</v>
      </c>
      <c r="E952" t="s">
        <v>327</v>
      </c>
      <c r="F952" t="s">
        <v>1515</v>
      </c>
      <c r="G952">
        <v>4</v>
      </c>
      <c r="H952">
        <v>977</v>
      </c>
      <c r="I952" t="s">
        <v>1516</v>
      </c>
      <c r="J952">
        <v>4036</v>
      </c>
      <c r="K952" s="8">
        <f>SUMIF(SoundCast_Data!$A$2:$A$1001,RouteID_Conversion!$H$2:$H$999,SoundCast_Data!$C$2:$C$1001)</f>
        <v>2.3214285969734183</v>
      </c>
      <c r="Q952" s="8">
        <f>SUMIF(SoundCast_Data!$Q$2:$Q$1001,RouteID_Conversion!$H$2:$H$999,SoundCast_Data!$P$2:$P$1001)</f>
        <v>0</v>
      </c>
    </row>
    <row r="953" spans="1:17" x14ac:dyDescent="0.25">
      <c r="A953">
        <v>325</v>
      </c>
      <c r="B953">
        <v>110978</v>
      </c>
      <c r="C953">
        <v>1</v>
      </c>
      <c r="D953" t="s">
        <v>854</v>
      </c>
      <c r="E953" t="s">
        <v>327</v>
      </c>
      <c r="F953" t="s">
        <v>855</v>
      </c>
      <c r="G953">
        <v>4</v>
      </c>
      <c r="H953">
        <v>978</v>
      </c>
      <c r="I953" t="s">
        <v>856</v>
      </c>
      <c r="J953">
        <v>4024</v>
      </c>
      <c r="K953" s="8">
        <f>SUMIF(SoundCast_Data!$A$2:$A$1001,RouteID_Conversion!$H$2:$H$999,SoundCast_Data!$C$2:$C$1001)</f>
        <v>20.62369680404662</v>
      </c>
      <c r="Q953" s="8">
        <f>SUMIF(SoundCast_Data!$Q$2:$Q$1001,RouteID_Conversion!$H$2:$H$999,SoundCast_Data!$P$2:$P$1001)</f>
        <v>0</v>
      </c>
    </row>
    <row r="954" spans="1:17" x14ac:dyDescent="0.25">
      <c r="A954">
        <v>421</v>
      </c>
      <c r="B954">
        <v>110979</v>
      </c>
      <c r="C954">
        <v>1</v>
      </c>
      <c r="D954" t="s">
        <v>975</v>
      </c>
      <c r="E954" t="s">
        <v>327</v>
      </c>
      <c r="F954" t="s">
        <v>855</v>
      </c>
      <c r="G954">
        <v>4</v>
      </c>
      <c r="H954">
        <v>979</v>
      </c>
      <c r="I954" t="s">
        <v>856</v>
      </c>
      <c r="J954">
        <v>4024</v>
      </c>
      <c r="K954" s="8">
        <f>SUMIF(SoundCast_Data!$A$2:$A$1001,RouteID_Conversion!$H$2:$H$999,SoundCast_Data!$C$2:$C$1001)</f>
        <v>35.267469406127802</v>
      </c>
      <c r="Q954" s="8">
        <f>SUMIF(SoundCast_Data!$Q$2:$Q$1001,RouteID_Conversion!$H$2:$H$999,SoundCast_Data!$P$2:$P$1001)</f>
        <v>0</v>
      </c>
    </row>
    <row r="955" spans="1:17" x14ac:dyDescent="0.25">
      <c r="A955">
        <v>221</v>
      </c>
      <c r="B955">
        <v>110980</v>
      </c>
      <c r="C955">
        <v>1</v>
      </c>
      <c r="D955" t="s">
        <v>673</v>
      </c>
      <c r="E955" t="s">
        <v>327</v>
      </c>
      <c r="F955" t="s">
        <v>674</v>
      </c>
      <c r="G955">
        <v>4</v>
      </c>
      <c r="H955">
        <v>980</v>
      </c>
      <c r="I955" t="s">
        <v>675</v>
      </c>
      <c r="J955">
        <v>4012</v>
      </c>
      <c r="K955" s="8">
        <f>SUMIF(SoundCast_Data!$A$2:$A$1001,RouteID_Conversion!$H$2:$H$999,SoundCast_Data!$C$2:$C$1001)</f>
        <v>6.4785891175269992</v>
      </c>
      <c r="Q955" s="8">
        <f>SUMIF(SoundCast_Data!$Q$2:$Q$1001,RouteID_Conversion!$H$2:$H$999,SoundCast_Data!$P$2:$P$1001)</f>
        <v>0</v>
      </c>
    </row>
    <row r="956" spans="1:17" x14ac:dyDescent="0.25">
      <c r="A956">
        <v>222</v>
      </c>
      <c r="B956">
        <v>110981</v>
      </c>
      <c r="C956">
        <v>1</v>
      </c>
      <c r="D956" t="s">
        <v>676</v>
      </c>
      <c r="E956" t="s">
        <v>327</v>
      </c>
      <c r="F956" t="s">
        <v>674</v>
      </c>
      <c r="G956">
        <v>4</v>
      </c>
      <c r="H956">
        <v>981</v>
      </c>
      <c r="I956" t="s">
        <v>675</v>
      </c>
      <c r="J956">
        <v>4012</v>
      </c>
      <c r="K956" s="8">
        <f>SUMIF(SoundCast_Data!$A$2:$A$1001,RouteID_Conversion!$H$2:$H$999,SoundCast_Data!$C$2:$C$1001)</f>
        <v>6.7892805337905697</v>
      </c>
      <c r="Q956" s="8">
        <f>SUMIF(SoundCast_Data!$Q$2:$Q$1001,RouteID_Conversion!$H$2:$H$999,SoundCast_Data!$P$2:$P$1001)</f>
        <v>0</v>
      </c>
    </row>
    <row r="957" spans="1:17" x14ac:dyDescent="0.25">
      <c r="A957">
        <v>223</v>
      </c>
      <c r="B957">
        <v>110982</v>
      </c>
      <c r="C957">
        <v>1</v>
      </c>
      <c r="D957" t="s">
        <v>677</v>
      </c>
      <c r="E957" t="s">
        <v>327</v>
      </c>
      <c r="F957" t="s">
        <v>674</v>
      </c>
      <c r="G957">
        <v>4</v>
      </c>
      <c r="H957">
        <v>982</v>
      </c>
      <c r="I957" t="s">
        <v>675</v>
      </c>
      <c r="J957">
        <v>4012</v>
      </c>
      <c r="K957" s="8">
        <f>SUMIF(SoundCast_Data!$A$2:$A$1001,RouteID_Conversion!$H$2:$H$999,SoundCast_Data!$C$2:$C$1001)</f>
        <v>6.7892805337905697</v>
      </c>
      <c r="Q957" s="8">
        <f>SUMIF(SoundCast_Data!$Q$2:$Q$1001,RouteID_Conversion!$H$2:$H$999,SoundCast_Data!$P$2:$P$1001)</f>
        <v>0</v>
      </c>
    </row>
    <row r="958" spans="1:17" x14ac:dyDescent="0.25">
      <c r="A958">
        <v>224</v>
      </c>
      <c r="B958">
        <v>110983</v>
      </c>
      <c r="C958">
        <v>1</v>
      </c>
      <c r="D958" t="s">
        <v>678</v>
      </c>
      <c r="E958" t="s">
        <v>327</v>
      </c>
      <c r="F958" t="s">
        <v>674</v>
      </c>
      <c r="G958">
        <v>4</v>
      </c>
      <c r="H958">
        <v>983</v>
      </c>
      <c r="I958" t="s">
        <v>675</v>
      </c>
      <c r="J958">
        <v>4012</v>
      </c>
      <c r="K958" s="8">
        <f>SUMIF(SoundCast_Data!$A$2:$A$1001,RouteID_Conversion!$H$2:$H$999,SoundCast_Data!$C$2:$C$1001)</f>
        <v>12.957178235054002</v>
      </c>
      <c r="Q958" s="8">
        <f>SUMIF(SoundCast_Data!$Q$2:$Q$1001,RouteID_Conversion!$H$2:$H$999,SoundCast_Data!$P$2:$P$1001)</f>
        <v>0</v>
      </c>
    </row>
    <row r="959" spans="1:17" x14ac:dyDescent="0.25">
      <c r="A959">
        <v>738</v>
      </c>
      <c r="B959">
        <v>110984</v>
      </c>
      <c r="C959">
        <v>1</v>
      </c>
      <c r="D959" t="s">
        <v>1435</v>
      </c>
      <c r="E959" t="s">
        <v>327</v>
      </c>
      <c r="F959" t="s">
        <v>1436</v>
      </c>
      <c r="G959">
        <v>4</v>
      </c>
      <c r="H959">
        <v>984</v>
      </c>
      <c r="I959" t="s">
        <v>1437</v>
      </c>
      <c r="J959">
        <v>4009</v>
      </c>
      <c r="K959" s="8">
        <f>SUMIF(SoundCast_Data!$A$2:$A$1001,RouteID_Conversion!$H$2:$H$999,SoundCast_Data!$C$2:$C$1001)</f>
        <v>15.594526290893551</v>
      </c>
      <c r="Q959" s="8">
        <f>SUMIF(SoundCast_Data!$Q$2:$Q$1001,RouteID_Conversion!$H$2:$H$999,SoundCast_Data!$P$2:$P$1001)</f>
        <v>0</v>
      </c>
    </row>
    <row r="960" spans="1:17" x14ac:dyDescent="0.25">
      <c r="A960">
        <v>225</v>
      </c>
      <c r="B960">
        <v>110985</v>
      </c>
      <c r="C960">
        <v>1</v>
      </c>
      <c r="D960" t="s">
        <v>679</v>
      </c>
      <c r="E960" t="s">
        <v>327</v>
      </c>
      <c r="F960" t="s">
        <v>680</v>
      </c>
      <c r="G960">
        <v>4</v>
      </c>
      <c r="H960">
        <v>985</v>
      </c>
      <c r="I960" t="s">
        <v>681</v>
      </c>
      <c r="J960">
        <v>4032</v>
      </c>
      <c r="K960" s="8">
        <f>SUMIF(SoundCast_Data!$A$2:$A$1001,RouteID_Conversion!$H$2:$H$999,SoundCast_Data!$C$2:$C$1001)</f>
        <v>2.5412699878215679</v>
      </c>
      <c r="Q960" s="8">
        <f>SUMIF(SoundCast_Data!$Q$2:$Q$1001,RouteID_Conversion!$H$2:$H$999,SoundCast_Data!$P$2:$P$1001)</f>
        <v>0</v>
      </c>
    </row>
    <row r="961" spans="1:17" x14ac:dyDescent="0.25">
      <c r="A961">
        <v>226</v>
      </c>
      <c r="B961">
        <v>110986</v>
      </c>
      <c r="C961">
        <v>1</v>
      </c>
      <c r="D961" t="s">
        <v>682</v>
      </c>
      <c r="E961" t="s">
        <v>327</v>
      </c>
      <c r="F961" t="s">
        <v>682</v>
      </c>
      <c r="G961">
        <v>4</v>
      </c>
      <c r="H961">
        <v>986</v>
      </c>
      <c r="I961" t="s">
        <v>681</v>
      </c>
      <c r="J961">
        <v>4032</v>
      </c>
      <c r="K961" s="8">
        <f>SUMIF(SoundCast_Data!$A$2:$A$1001,RouteID_Conversion!$H$2:$H$999,SoundCast_Data!$C$2:$C$1001)</f>
        <v>12.20000004768371</v>
      </c>
      <c r="Q961" s="8">
        <f>SUMIF(SoundCast_Data!$Q$2:$Q$1001,RouteID_Conversion!$H$2:$H$999,SoundCast_Data!$P$2:$P$1001)</f>
        <v>0</v>
      </c>
    </row>
    <row r="962" spans="1:17" x14ac:dyDescent="0.25">
      <c r="A962">
        <v>238</v>
      </c>
      <c r="B962">
        <v>110987</v>
      </c>
      <c r="C962">
        <v>1</v>
      </c>
      <c r="D962" t="s">
        <v>708</v>
      </c>
      <c r="E962" t="s">
        <v>327</v>
      </c>
      <c r="F962" t="s">
        <v>709</v>
      </c>
      <c r="G962">
        <v>4</v>
      </c>
      <c r="H962">
        <v>987</v>
      </c>
      <c r="I962" t="s">
        <v>710</v>
      </c>
      <c r="J962">
        <v>4035</v>
      </c>
      <c r="K962" s="8">
        <f>SUMIF(SoundCast_Data!$A$2:$A$1001,RouteID_Conversion!$H$2:$H$999,SoundCast_Data!$C$2:$C$1001)</f>
        <v>0</v>
      </c>
      <c r="Q962" s="8">
        <f>SUMIF(SoundCast_Data!$Q$2:$Q$1001,RouteID_Conversion!$H$2:$H$999,SoundCast_Data!$P$2:$P$1001)</f>
        <v>0</v>
      </c>
    </row>
    <row r="963" spans="1:17" x14ac:dyDescent="0.25">
      <c r="A963">
        <v>799</v>
      </c>
      <c r="B963">
        <v>110988</v>
      </c>
      <c r="C963">
        <v>1</v>
      </c>
      <c r="D963" t="s">
        <v>1519</v>
      </c>
      <c r="E963" t="s">
        <v>327</v>
      </c>
      <c r="F963" t="s">
        <v>1520</v>
      </c>
      <c r="G963">
        <v>4</v>
      </c>
      <c r="H963">
        <v>988</v>
      </c>
      <c r="I963" t="s">
        <v>1521</v>
      </c>
      <c r="J963">
        <v>4037</v>
      </c>
      <c r="K963" s="8">
        <f>SUMIF(SoundCast_Data!$A$2:$A$1001,RouteID_Conversion!$H$2:$H$999,SoundCast_Data!$C$2:$C$1001)</f>
        <v>3.065844058990467</v>
      </c>
      <c r="Q963" s="8">
        <f>SUMIF(SoundCast_Data!$Q$2:$Q$1001,RouteID_Conversion!$H$2:$H$999,SoundCast_Data!$P$2:$P$1001)</f>
        <v>0</v>
      </c>
    </row>
    <row r="964" spans="1:17" x14ac:dyDescent="0.25">
      <c r="A964">
        <v>227</v>
      </c>
      <c r="B964">
        <v>110989</v>
      </c>
      <c r="C964">
        <v>1</v>
      </c>
      <c r="D964" t="s">
        <v>683</v>
      </c>
      <c r="E964" t="s">
        <v>327</v>
      </c>
      <c r="F964" t="s">
        <v>684</v>
      </c>
      <c r="G964">
        <v>4</v>
      </c>
      <c r="H964">
        <v>989</v>
      </c>
      <c r="I964" t="s">
        <v>685</v>
      </c>
      <c r="J964">
        <v>4041</v>
      </c>
      <c r="K964" s="8">
        <f>SUMIF(SoundCast_Data!$A$2:$A$1001,RouteID_Conversion!$H$2:$H$999,SoundCast_Data!$C$2:$C$1001)</f>
        <v>0</v>
      </c>
      <c r="Q964" s="8">
        <f>SUMIF(SoundCast_Data!$Q$2:$Q$1001,RouteID_Conversion!$H$2:$H$999,SoundCast_Data!$P$2:$P$1001)</f>
        <v>0</v>
      </c>
    </row>
    <row r="965" spans="1:17" x14ac:dyDescent="0.25">
      <c r="A965">
        <v>739</v>
      </c>
      <c r="B965">
        <v>110990</v>
      </c>
      <c r="C965">
        <v>1</v>
      </c>
      <c r="D965" t="s">
        <v>1438</v>
      </c>
      <c r="E965" t="s">
        <v>327</v>
      </c>
      <c r="F965" t="s">
        <v>1438</v>
      </c>
      <c r="G965">
        <v>4</v>
      </c>
      <c r="H965">
        <v>990</v>
      </c>
      <c r="I965" t="s">
        <v>1439</v>
      </c>
      <c r="J965">
        <v>4081</v>
      </c>
      <c r="K965" s="8">
        <f>SUMIF(SoundCast_Data!$A$2:$A$1001,RouteID_Conversion!$H$2:$H$999,SoundCast_Data!$C$2:$C$1001)</f>
        <v>4.79262530803679</v>
      </c>
      <c r="Q965" s="8">
        <f>SUMIF(SoundCast_Data!$Q$2:$Q$1001,RouteID_Conversion!$H$2:$H$999,SoundCast_Data!$P$2:$P$1001)</f>
        <v>0</v>
      </c>
    </row>
    <row r="966" spans="1:17" x14ac:dyDescent="0.25">
      <c r="A966">
        <v>112</v>
      </c>
      <c r="B966">
        <v>110991</v>
      </c>
      <c r="C966">
        <v>1</v>
      </c>
      <c r="D966" t="s">
        <v>503</v>
      </c>
      <c r="E966" t="s">
        <v>327</v>
      </c>
      <c r="F966" t="s">
        <v>501</v>
      </c>
      <c r="G966">
        <v>4</v>
      </c>
      <c r="H966">
        <v>991</v>
      </c>
      <c r="I966" t="s">
        <v>502</v>
      </c>
      <c r="J966">
        <v>4091</v>
      </c>
      <c r="K966" s="8">
        <f>SUMIF(SoundCast_Data!$A$2:$A$1001,RouteID_Conversion!$H$2:$H$999,SoundCast_Data!$C$2:$C$1001)</f>
        <v>37.511693954467646</v>
      </c>
      <c r="Q966" s="8">
        <f>SUMIF(SoundCast_Data!$Q$2:$Q$1001,RouteID_Conversion!$H$2:$H$999,SoundCast_Data!$P$2:$P$1001)</f>
        <v>0</v>
      </c>
    </row>
    <row r="967" spans="1:17" x14ac:dyDescent="0.25">
      <c r="A967">
        <v>107</v>
      </c>
      <c r="B967">
        <v>110992</v>
      </c>
      <c r="C967">
        <v>1</v>
      </c>
      <c r="D967" t="s">
        <v>493</v>
      </c>
      <c r="E967" t="s">
        <v>327</v>
      </c>
      <c r="F967" t="s">
        <v>493</v>
      </c>
      <c r="G967">
        <v>4</v>
      </c>
      <c r="H967">
        <v>992</v>
      </c>
      <c r="I967" t="s">
        <v>494</v>
      </c>
      <c r="J967">
        <v>4008</v>
      </c>
      <c r="K967" s="8">
        <f>SUMIF(SoundCast_Data!$A$2:$A$1001,RouteID_Conversion!$H$2:$H$999,SoundCast_Data!$C$2:$C$1001)</f>
        <v>5.7976191043853644</v>
      </c>
      <c r="Q967" s="8">
        <f>SUMIF(SoundCast_Data!$Q$2:$Q$1001,RouteID_Conversion!$H$2:$H$999,SoundCast_Data!$P$2:$P$1001)</f>
        <v>0</v>
      </c>
    </row>
    <row r="968" spans="1:17" x14ac:dyDescent="0.25">
      <c r="A968">
        <v>108</v>
      </c>
      <c r="B968">
        <v>110993</v>
      </c>
      <c r="C968">
        <v>1</v>
      </c>
      <c r="D968" t="s">
        <v>495</v>
      </c>
      <c r="E968" t="s">
        <v>327</v>
      </c>
      <c r="F968" t="s">
        <v>495</v>
      </c>
      <c r="G968">
        <v>4</v>
      </c>
      <c r="H968">
        <v>993</v>
      </c>
      <c r="I968" t="s">
        <v>494</v>
      </c>
      <c r="J968">
        <v>4008</v>
      </c>
      <c r="K968" s="8">
        <f>SUMIF(SoundCast_Data!$A$2:$A$1001,RouteID_Conversion!$H$2:$H$999,SoundCast_Data!$C$2:$C$1001)</f>
        <v>3.6022756099700857</v>
      </c>
      <c r="Q968" s="8">
        <f>SUMIF(SoundCast_Data!$Q$2:$Q$1001,RouteID_Conversion!$H$2:$H$999,SoundCast_Data!$P$2:$P$1001)</f>
        <v>0</v>
      </c>
    </row>
    <row r="969" spans="1:17" x14ac:dyDescent="0.25">
      <c r="A969">
        <v>228</v>
      </c>
      <c r="B969">
        <v>110994</v>
      </c>
      <c r="C969">
        <v>1</v>
      </c>
      <c r="D969" t="s">
        <v>686</v>
      </c>
      <c r="E969" t="s">
        <v>327</v>
      </c>
      <c r="F969" t="s">
        <v>687</v>
      </c>
      <c r="G969">
        <v>4</v>
      </c>
      <c r="H969">
        <v>994</v>
      </c>
      <c r="I969" t="s">
        <v>688</v>
      </c>
      <c r="J969">
        <v>4090</v>
      </c>
      <c r="K969" s="8">
        <f>SUMIF(SoundCast_Data!$A$2:$A$1001,RouteID_Conversion!$H$2:$H$999,SoundCast_Data!$C$2:$C$1001)</f>
        <v>26.677748680114721</v>
      </c>
      <c r="Q969" s="8">
        <f>SUMIF(SoundCast_Data!$Q$2:$Q$1001,RouteID_Conversion!$H$2:$H$999,SoundCast_Data!$P$2:$P$1001)</f>
        <v>0</v>
      </c>
    </row>
    <row r="970" spans="1:17" x14ac:dyDescent="0.25">
      <c r="A970">
        <v>229</v>
      </c>
      <c r="B970">
        <v>110995</v>
      </c>
      <c r="C970">
        <v>1</v>
      </c>
      <c r="D970" t="s">
        <v>689</v>
      </c>
      <c r="E970" t="s">
        <v>327</v>
      </c>
      <c r="F970" t="s">
        <v>690</v>
      </c>
      <c r="G970">
        <v>4</v>
      </c>
      <c r="H970">
        <v>995</v>
      </c>
      <c r="I970" t="s">
        <v>688</v>
      </c>
      <c r="J970">
        <v>4090</v>
      </c>
      <c r="K970" s="8">
        <f>SUMIF(SoundCast_Data!$A$2:$A$1001,RouteID_Conversion!$H$2:$H$999,SoundCast_Data!$C$2:$C$1001)</f>
        <v>13.723873376846299</v>
      </c>
      <c r="Q970" s="8">
        <f>SUMIF(SoundCast_Data!$Q$2:$Q$1001,RouteID_Conversion!$H$2:$H$999,SoundCast_Data!$P$2:$P$1001)</f>
        <v>0</v>
      </c>
    </row>
    <row r="971" spans="1:17" x14ac:dyDescent="0.25">
      <c r="A971">
        <v>230</v>
      </c>
      <c r="B971">
        <v>110996</v>
      </c>
      <c r="C971">
        <v>1</v>
      </c>
      <c r="D971" t="s">
        <v>691</v>
      </c>
      <c r="E971" t="s">
        <v>327</v>
      </c>
      <c r="F971" t="s">
        <v>692</v>
      </c>
      <c r="G971">
        <v>4</v>
      </c>
      <c r="H971">
        <v>996</v>
      </c>
      <c r="I971" t="s">
        <v>688</v>
      </c>
      <c r="J971">
        <v>4090</v>
      </c>
      <c r="K971" s="8">
        <f>SUMIF(SoundCast_Data!$A$2:$A$1001,RouteID_Conversion!$H$2:$H$999,SoundCast_Data!$C$2:$C$1001)</f>
        <v>141.91119956970192</v>
      </c>
      <c r="Q971" s="8">
        <f>SUMIF(SoundCast_Data!$Q$2:$Q$1001,RouteID_Conversion!$H$2:$H$999,SoundCast_Data!$P$2:$P$1001)</f>
        <v>0</v>
      </c>
    </row>
    <row r="972" spans="1:17" x14ac:dyDescent="0.25">
      <c r="A972">
        <v>422</v>
      </c>
      <c r="B972">
        <v>110997</v>
      </c>
      <c r="C972">
        <v>1</v>
      </c>
      <c r="D972" t="s">
        <v>976</v>
      </c>
      <c r="E972" t="s">
        <v>327</v>
      </c>
      <c r="F972" t="s">
        <v>977</v>
      </c>
      <c r="G972">
        <v>4</v>
      </c>
      <c r="H972">
        <v>997</v>
      </c>
      <c r="I972" t="s">
        <v>506</v>
      </c>
      <c r="J972">
        <v>4202</v>
      </c>
      <c r="K972" s="8">
        <f>SUMIF(SoundCast_Data!$A$2:$A$1001,RouteID_Conversion!$H$2:$H$999,SoundCast_Data!$C$2:$C$1001)</f>
        <v>14.848719120025619</v>
      </c>
      <c r="Q972" s="8">
        <f>SUMIF(SoundCast_Data!$Q$2:$Q$1001,RouteID_Conversion!$H$2:$H$999,SoundCast_Data!$P$2:$P$1001)</f>
        <v>0</v>
      </c>
    </row>
    <row r="973" spans="1:17" x14ac:dyDescent="0.25">
      <c r="A973">
        <v>326</v>
      </c>
      <c r="B973">
        <v>110998</v>
      </c>
      <c r="C973">
        <v>1</v>
      </c>
      <c r="D973" t="s">
        <v>857</v>
      </c>
      <c r="E973" t="s">
        <v>327</v>
      </c>
      <c r="F973" t="s">
        <v>858</v>
      </c>
      <c r="G973">
        <v>4</v>
      </c>
      <c r="H973">
        <v>998</v>
      </c>
      <c r="I973" t="s">
        <v>506</v>
      </c>
      <c r="J973">
        <v>4203</v>
      </c>
      <c r="K973" s="8">
        <f>SUMIF(SoundCast_Data!$A$2:$A$1001,RouteID_Conversion!$H$2:$H$999,SoundCast_Data!$C$2:$C$1001)</f>
        <v>3.1153846979141231</v>
      </c>
      <c r="Q973" s="8">
        <f>SUMIF(SoundCast_Data!$Q$2:$Q$1001,RouteID_Conversion!$H$2:$H$999,SoundCast_Data!$P$2:$P$1001)</f>
        <v>0</v>
      </c>
    </row>
    <row r="974" spans="1:17" x14ac:dyDescent="0.25">
      <c r="A974">
        <v>113</v>
      </c>
      <c r="B974">
        <v>110999</v>
      </c>
      <c r="C974">
        <v>1</v>
      </c>
      <c r="D974" t="s">
        <v>504</v>
      </c>
      <c r="E974" t="s">
        <v>327</v>
      </c>
      <c r="F974" t="s">
        <v>505</v>
      </c>
      <c r="G974">
        <v>4</v>
      </c>
      <c r="H974">
        <v>999</v>
      </c>
      <c r="I974" t="s">
        <v>506</v>
      </c>
      <c r="J974">
        <v>4204</v>
      </c>
      <c r="K974" s="8">
        <f>SUMIF(SoundCast_Data!$A$2:$A$1001,RouteID_Conversion!$H$2:$H$999,SoundCast_Data!$C$2:$C$1001)</f>
        <v>31.832842826843219</v>
      </c>
      <c r="Q974" s="8">
        <f>SUMIF(SoundCast_Data!$Q$2:$Q$1001,RouteID_Conversion!$H$2:$H$999,SoundCast_Data!$P$2:$P$1001)</f>
        <v>0</v>
      </c>
    </row>
    <row r="975" spans="1:17" x14ac:dyDescent="0.25">
      <c r="A975">
        <v>494</v>
      </c>
      <c r="B975">
        <v>111000</v>
      </c>
      <c r="C975">
        <v>1</v>
      </c>
      <c r="D975" t="s">
        <v>1089</v>
      </c>
      <c r="E975" t="s">
        <v>327</v>
      </c>
      <c r="F975" t="s">
        <v>1090</v>
      </c>
      <c r="G975">
        <v>4</v>
      </c>
      <c r="H975">
        <v>1000</v>
      </c>
      <c r="I975" t="s">
        <v>506</v>
      </c>
      <c r="J975">
        <v>4207</v>
      </c>
      <c r="K975" s="8">
        <f>SUMIF(SoundCast_Data!$A$2:$A$1001,RouteID_Conversion!$H$2:$H$999,SoundCast_Data!$C$2:$C$1001)</f>
        <v>8.779615163803081</v>
      </c>
      <c r="Q975" s="8">
        <f>SUMIF(SoundCast_Data!$Q$2:$Q$1001,RouteID_Conversion!$H$2:$H$999,SoundCast_Data!$P$2:$P$1001)</f>
        <v>0</v>
      </c>
    </row>
    <row r="976" spans="1:17" x14ac:dyDescent="0.25">
      <c r="A976">
        <v>495</v>
      </c>
      <c r="B976">
        <v>111001</v>
      </c>
      <c r="C976">
        <v>1</v>
      </c>
      <c r="D976" t="s">
        <v>1091</v>
      </c>
      <c r="E976" t="s">
        <v>327</v>
      </c>
      <c r="F976" t="s">
        <v>1092</v>
      </c>
      <c r="G976">
        <v>4</v>
      </c>
      <c r="H976">
        <v>1001</v>
      </c>
      <c r="I976" t="s">
        <v>506</v>
      </c>
      <c r="J976">
        <v>4209</v>
      </c>
      <c r="K976" s="8">
        <f>SUMIF(SoundCast_Data!$A$2:$A$1001,RouteID_Conversion!$H$2:$H$999,SoundCast_Data!$C$2:$C$1001)</f>
        <v>28.363739013671779</v>
      </c>
      <c r="Q976" s="8">
        <f>SUMIF(SoundCast_Data!$Q$2:$Q$1001,RouteID_Conversion!$H$2:$H$999,SoundCast_Data!$P$2:$P$1001)</f>
        <v>0</v>
      </c>
    </row>
    <row r="977" spans="1:17" x14ac:dyDescent="0.25">
      <c r="A977">
        <v>432</v>
      </c>
      <c r="B977">
        <v>111002</v>
      </c>
      <c r="C977">
        <v>1</v>
      </c>
      <c r="D977" t="s">
        <v>993</v>
      </c>
      <c r="E977" t="s">
        <v>327</v>
      </c>
      <c r="F977" t="s">
        <v>994</v>
      </c>
      <c r="G977">
        <v>4</v>
      </c>
      <c r="H977">
        <v>1002</v>
      </c>
      <c r="I977" t="s">
        <v>695</v>
      </c>
      <c r="J977">
        <v>4210</v>
      </c>
      <c r="K977" s="8">
        <f>SUMIF(SoundCast_Data!$A$2:$A$1001,RouteID_Conversion!$H$2:$H$999,SoundCast_Data!$C$2:$C$1001)</f>
        <v>48.443459510803095</v>
      </c>
      <c r="Q977" s="8">
        <f>SUMIF(SoundCast_Data!$Q$2:$Q$1001,RouteID_Conversion!$H$2:$H$999,SoundCast_Data!$P$2:$P$1001)</f>
        <v>0</v>
      </c>
    </row>
    <row r="978" spans="1:17" x14ac:dyDescent="0.25">
      <c r="A978">
        <v>423</v>
      </c>
      <c r="B978">
        <v>111003</v>
      </c>
      <c r="C978">
        <v>1</v>
      </c>
      <c r="D978" t="s">
        <v>978</v>
      </c>
      <c r="E978" t="s">
        <v>327</v>
      </c>
      <c r="F978" t="s">
        <v>979</v>
      </c>
      <c r="G978">
        <v>4</v>
      </c>
      <c r="H978">
        <v>1003</v>
      </c>
      <c r="I978" t="s">
        <v>695</v>
      </c>
      <c r="J978">
        <v>4212</v>
      </c>
      <c r="K978" s="8">
        <f>SUMIF(SoundCast_Data!$A$2:$A$1001,RouteID_Conversion!$H$2:$H$999,SoundCast_Data!$C$2:$C$1001)</f>
        <v>17.076359510421739</v>
      </c>
      <c r="Q978" s="8">
        <f>SUMIF(SoundCast_Data!$Q$2:$Q$1001,RouteID_Conversion!$H$2:$H$999,SoundCast_Data!$P$2:$P$1001)</f>
        <v>0</v>
      </c>
    </row>
    <row r="979" spans="1:17" x14ac:dyDescent="0.25">
      <c r="A979">
        <v>424</v>
      </c>
      <c r="B979">
        <v>111004</v>
      </c>
      <c r="C979">
        <v>1</v>
      </c>
      <c r="D979" t="s">
        <v>980</v>
      </c>
      <c r="E979" t="s">
        <v>327</v>
      </c>
      <c r="F979" t="s">
        <v>981</v>
      </c>
      <c r="G979">
        <v>4</v>
      </c>
      <c r="H979">
        <v>1004</v>
      </c>
      <c r="I979" t="s">
        <v>695</v>
      </c>
      <c r="J979">
        <v>4213</v>
      </c>
      <c r="K979" s="8">
        <f>SUMIF(SoundCast_Data!$A$2:$A$1001,RouteID_Conversion!$H$2:$H$999,SoundCast_Data!$C$2:$C$1001)</f>
        <v>5.88437712192533</v>
      </c>
      <c r="Q979" s="8">
        <f>SUMIF(SoundCast_Data!$Q$2:$Q$1001,RouteID_Conversion!$H$2:$H$999,SoundCast_Data!$P$2:$P$1001)</f>
        <v>0</v>
      </c>
    </row>
    <row r="980" spans="1:17" x14ac:dyDescent="0.25">
      <c r="A980">
        <v>425</v>
      </c>
      <c r="B980">
        <v>111005</v>
      </c>
      <c r="C980">
        <v>1</v>
      </c>
      <c r="D980" t="s">
        <v>982</v>
      </c>
      <c r="E980" t="s">
        <v>327</v>
      </c>
      <c r="F980" t="s">
        <v>983</v>
      </c>
      <c r="G980">
        <v>4</v>
      </c>
      <c r="H980">
        <v>1005</v>
      </c>
      <c r="I980" t="s">
        <v>695</v>
      </c>
      <c r="J980">
        <v>4214</v>
      </c>
      <c r="K980" s="8">
        <f>SUMIF(SoundCast_Data!$A$2:$A$1001,RouteID_Conversion!$H$2:$H$999,SoundCast_Data!$C$2:$C$1001)</f>
        <v>18.459034442901601</v>
      </c>
      <c r="Q980" s="8">
        <f>SUMIF(SoundCast_Data!$Q$2:$Q$1001,RouteID_Conversion!$H$2:$H$999,SoundCast_Data!$P$2:$P$1001)</f>
        <v>0</v>
      </c>
    </row>
    <row r="981" spans="1:17" x14ac:dyDescent="0.25">
      <c r="A981">
        <v>748</v>
      </c>
      <c r="B981">
        <v>111006</v>
      </c>
      <c r="C981">
        <v>1</v>
      </c>
      <c r="D981" t="s">
        <v>1458</v>
      </c>
      <c r="E981" t="s">
        <v>327</v>
      </c>
      <c r="F981" t="s">
        <v>1459</v>
      </c>
      <c r="G981">
        <v>4</v>
      </c>
      <c r="H981">
        <v>1006</v>
      </c>
      <c r="I981" t="s">
        <v>695</v>
      </c>
      <c r="J981">
        <v>4215</v>
      </c>
      <c r="K981" s="8">
        <f>SUMIF(SoundCast_Data!$A$2:$A$1001,RouteID_Conversion!$H$2:$H$999,SoundCast_Data!$C$2:$C$1001)</f>
        <v>65.634570121764995</v>
      </c>
      <c r="Q981" s="8">
        <f>SUMIF(SoundCast_Data!$Q$2:$Q$1001,RouteID_Conversion!$H$2:$H$999,SoundCast_Data!$P$2:$P$1001)</f>
        <v>0</v>
      </c>
    </row>
    <row r="982" spans="1:17" x14ac:dyDescent="0.25">
      <c r="A982">
        <v>720</v>
      </c>
      <c r="B982">
        <v>111007</v>
      </c>
      <c r="C982">
        <v>1</v>
      </c>
      <c r="D982" t="s">
        <v>1406</v>
      </c>
      <c r="E982" t="s">
        <v>327</v>
      </c>
      <c r="F982" t="s">
        <v>1407</v>
      </c>
      <c r="G982">
        <v>4</v>
      </c>
      <c r="H982">
        <v>1007</v>
      </c>
      <c r="I982" t="s">
        <v>695</v>
      </c>
      <c r="J982">
        <v>4216</v>
      </c>
      <c r="K982" s="8">
        <f>SUMIF(SoundCast_Data!$A$2:$A$1001,RouteID_Conversion!$H$2:$H$999,SoundCast_Data!$C$2:$C$1001)</f>
        <v>15.832853794097879</v>
      </c>
      <c r="Q982" s="8">
        <f>SUMIF(SoundCast_Data!$Q$2:$Q$1001,RouteID_Conversion!$H$2:$H$999,SoundCast_Data!$P$2:$P$1001)</f>
        <v>0</v>
      </c>
    </row>
    <row r="983" spans="1:17" x14ac:dyDescent="0.25">
      <c r="A983">
        <v>798</v>
      </c>
      <c r="B983">
        <v>111008</v>
      </c>
      <c r="C983">
        <v>1</v>
      </c>
      <c r="D983" t="s">
        <v>1517</v>
      </c>
      <c r="E983" t="s">
        <v>327</v>
      </c>
      <c r="F983" t="s">
        <v>1518</v>
      </c>
      <c r="G983">
        <v>4</v>
      </c>
      <c r="H983">
        <v>1008</v>
      </c>
      <c r="I983" t="s">
        <v>695</v>
      </c>
      <c r="J983">
        <v>4217</v>
      </c>
      <c r="K983" s="8">
        <f>SUMIF(SoundCast_Data!$A$2:$A$1001,RouteID_Conversion!$H$2:$H$999,SoundCast_Data!$C$2:$C$1001)</f>
        <v>10.08247852325438</v>
      </c>
      <c r="Q983" s="8">
        <f>SUMIF(SoundCast_Data!$Q$2:$Q$1001,RouteID_Conversion!$H$2:$H$999,SoundCast_Data!$P$2:$P$1001)</f>
        <v>0</v>
      </c>
    </row>
    <row r="984" spans="1:17" x14ac:dyDescent="0.25">
      <c r="A984">
        <v>231</v>
      </c>
      <c r="B984">
        <v>111009</v>
      </c>
      <c r="C984">
        <v>1</v>
      </c>
      <c r="D984" t="s">
        <v>693</v>
      </c>
      <c r="E984" t="s">
        <v>327</v>
      </c>
      <c r="F984" t="s">
        <v>694</v>
      </c>
      <c r="G984">
        <v>4</v>
      </c>
      <c r="H984">
        <v>1009</v>
      </c>
      <c r="I984" t="s">
        <v>695</v>
      </c>
      <c r="J984">
        <v>4218</v>
      </c>
      <c r="K984" s="8">
        <f>SUMIF(SoundCast_Data!$A$2:$A$1001,RouteID_Conversion!$H$2:$H$999,SoundCast_Data!$C$2:$C$1001)</f>
        <v>25.794990062713591</v>
      </c>
      <c r="Q984" s="8">
        <f>SUMIF(SoundCast_Data!$Q$2:$Q$1001,RouteID_Conversion!$H$2:$H$999,SoundCast_Data!$P$2:$P$1001)</f>
        <v>0</v>
      </c>
    </row>
    <row r="985" spans="1:17" x14ac:dyDescent="0.25">
      <c r="A985">
        <v>450</v>
      </c>
      <c r="B985">
        <v>111010</v>
      </c>
      <c r="C985">
        <v>1</v>
      </c>
      <c r="D985" t="s">
        <v>1027</v>
      </c>
      <c r="E985" t="s">
        <v>327</v>
      </c>
      <c r="F985" t="s">
        <v>1028</v>
      </c>
      <c r="G985">
        <v>4</v>
      </c>
      <c r="H985">
        <v>1010</v>
      </c>
      <c r="I985" t="s">
        <v>695</v>
      </c>
      <c r="J985">
        <v>4219</v>
      </c>
      <c r="K985" s="8">
        <f>SUMIF(SoundCast_Data!$A$2:$A$1001,RouteID_Conversion!$H$2:$H$999,SoundCast_Data!$C$2:$C$1001)</f>
        <v>49.630400657653695</v>
      </c>
      <c r="Q985" s="8">
        <f>SUMIF(SoundCast_Data!$Q$2:$Q$1001,RouteID_Conversion!$H$2:$H$999,SoundCast_Data!$P$2:$P$1001)</f>
        <v>0</v>
      </c>
    </row>
    <row r="986" spans="1:17" x14ac:dyDescent="0.25">
      <c r="A986">
        <v>449</v>
      </c>
      <c r="B986">
        <v>111011</v>
      </c>
      <c r="C986">
        <v>1</v>
      </c>
      <c r="D986" t="s">
        <v>1025</v>
      </c>
      <c r="E986" t="s">
        <v>327</v>
      </c>
      <c r="F986" t="s">
        <v>1026</v>
      </c>
      <c r="G986">
        <v>4</v>
      </c>
      <c r="H986">
        <v>1011</v>
      </c>
      <c r="I986" t="s">
        <v>698</v>
      </c>
      <c r="J986">
        <v>4220</v>
      </c>
      <c r="K986" s="8">
        <f>SUMIF(SoundCast_Data!$A$2:$A$1001,RouteID_Conversion!$H$2:$H$999,SoundCast_Data!$C$2:$C$1001)</f>
        <v>9.6566019058227397</v>
      </c>
      <c r="Q986" s="8">
        <f>SUMIF(SoundCast_Data!$Q$2:$Q$1001,RouteID_Conversion!$H$2:$H$999,SoundCast_Data!$P$2:$P$1001)</f>
        <v>0</v>
      </c>
    </row>
    <row r="987" spans="1:17" x14ac:dyDescent="0.25">
      <c r="A987">
        <v>749</v>
      </c>
      <c r="B987">
        <v>111012</v>
      </c>
      <c r="C987">
        <v>1</v>
      </c>
      <c r="D987" t="s">
        <v>1460</v>
      </c>
      <c r="E987" t="s">
        <v>327</v>
      </c>
      <c r="F987" t="s">
        <v>1461</v>
      </c>
      <c r="G987">
        <v>4</v>
      </c>
      <c r="H987">
        <v>1012</v>
      </c>
      <c r="I987" t="s">
        <v>698</v>
      </c>
      <c r="J987">
        <v>4222</v>
      </c>
      <c r="K987" s="8">
        <f>SUMIF(SoundCast_Data!$A$2:$A$1001,RouteID_Conversion!$H$2:$H$999,SoundCast_Data!$C$2:$C$1001)</f>
        <v>107.7688579559325</v>
      </c>
      <c r="Q987" s="8">
        <f>SUMIF(SoundCast_Data!$Q$2:$Q$1001,RouteID_Conversion!$H$2:$H$999,SoundCast_Data!$P$2:$P$1001)</f>
        <v>0</v>
      </c>
    </row>
    <row r="988" spans="1:17" x14ac:dyDescent="0.25">
      <c r="A988">
        <v>232</v>
      </c>
      <c r="B988">
        <v>111013</v>
      </c>
      <c r="C988">
        <v>1</v>
      </c>
      <c r="D988" t="s">
        <v>696</v>
      </c>
      <c r="E988" t="s">
        <v>327</v>
      </c>
      <c r="F988" t="s">
        <v>697</v>
      </c>
      <c r="G988">
        <v>4</v>
      </c>
      <c r="H988">
        <v>1013</v>
      </c>
      <c r="I988" t="s">
        <v>698</v>
      </c>
      <c r="J988">
        <v>4226</v>
      </c>
      <c r="K988" s="8">
        <f>SUMIF(SoundCast_Data!$A$2:$A$1001,RouteID_Conversion!$H$2:$H$999,SoundCast_Data!$C$2:$C$1001)</f>
        <v>32.943964958190747</v>
      </c>
      <c r="Q988" s="8">
        <f>SUMIF(SoundCast_Data!$Q$2:$Q$1001,RouteID_Conversion!$H$2:$H$999,SoundCast_Data!$P$2:$P$1001)</f>
        <v>0</v>
      </c>
    </row>
    <row r="989" spans="1:17" x14ac:dyDescent="0.25">
      <c r="A989">
        <v>233</v>
      </c>
      <c r="B989">
        <v>111014</v>
      </c>
      <c r="C989">
        <v>1</v>
      </c>
      <c r="D989" t="s">
        <v>699</v>
      </c>
      <c r="E989" t="s">
        <v>327</v>
      </c>
      <c r="F989" t="s">
        <v>700</v>
      </c>
      <c r="G989">
        <v>4</v>
      </c>
      <c r="H989">
        <v>1014</v>
      </c>
      <c r="I989" t="s">
        <v>698</v>
      </c>
      <c r="J989">
        <v>4221</v>
      </c>
      <c r="K989" s="8">
        <f>SUMIF(SoundCast_Data!$A$2:$A$1001,RouteID_Conversion!$H$2:$H$999,SoundCast_Data!$C$2:$C$1001)</f>
        <v>23.39079904556273</v>
      </c>
      <c r="Q989" s="8">
        <f>SUMIF(SoundCast_Data!$Q$2:$Q$1001,RouteID_Conversion!$H$2:$H$999,SoundCast_Data!$P$2:$P$1001)</f>
        <v>0</v>
      </c>
    </row>
    <row r="990" spans="1:17" x14ac:dyDescent="0.25">
      <c r="A990">
        <v>750</v>
      </c>
      <c r="B990">
        <v>111015</v>
      </c>
      <c r="C990">
        <v>1</v>
      </c>
      <c r="D990" t="s">
        <v>1462</v>
      </c>
      <c r="E990" t="s">
        <v>327</v>
      </c>
      <c r="F990" t="s">
        <v>1463</v>
      </c>
      <c r="G990">
        <v>4</v>
      </c>
      <c r="H990">
        <v>1015</v>
      </c>
      <c r="I990" t="s">
        <v>698</v>
      </c>
      <c r="J990">
        <v>4223</v>
      </c>
      <c r="K990" s="8">
        <f>SUMIF(SoundCast_Data!$A$2:$A$1001,RouteID_Conversion!$H$2:$H$999,SoundCast_Data!$C$2:$C$1001)</f>
        <v>56.437853813171202</v>
      </c>
      <c r="Q990" s="8">
        <f>SUMIF(SoundCast_Data!$Q$2:$Q$1001,RouteID_Conversion!$H$2:$H$999,SoundCast_Data!$P$2:$P$1001)</f>
        <v>0</v>
      </c>
    </row>
    <row r="991" spans="1:17" x14ac:dyDescent="0.25">
      <c r="A991">
        <v>234</v>
      </c>
      <c r="B991">
        <v>111016</v>
      </c>
      <c r="C991">
        <v>1</v>
      </c>
      <c r="D991" t="s">
        <v>701</v>
      </c>
      <c r="E991" t="s">
        <v>327</v>
      </c>
      <c r="F991" t="s">
        <v>702</v>
      </c>
      <c r="G991">
        <v>4</v>
      </c>
      <c r="H991">
        <v>1016</v>
      </c>
      <c r="I991" t="s">
        <v>698</v>
      </c>
      <c r="J991">
        <v>4224</v>
      </c>
      <c r="K991" s="8">
        <f>SUMIF(SoundCast_Data!$A$2:$A$1001,RouteID_Conversion!$H$2:$H$999,SoundCast_Data!$C$2:$C$1001)</f>
        <v>23.671495914459218</v>
      </c>
      <c r="Q991" s="8">
        <f>SUMIF(SoundCast_Data!$Q$2:$Q$1001,RouteID_Conversion!$H$2:$H$999,SoundCast_Data!$P$2:$P$1001)</f>
        <v>0</v>
      </c>
    </row>
    <row r="992" spans="1:17" x14ac:dyDescent="0.25">
      <c r="A992">
        <v>751</v>
      </c>
      <c r="B992">
        <v>111017</v>
      </c>
      <c r="C992">
        <v>1</v>
      </c>
      <c r="D992" t="s">
        <v>1464</v>
      </c>
      <c r="E992" t="s">
        <v>327</v>
      </c>
      <c r="F992" t="s">
        <v>1465</v>
      </c>
      <c r="G992">
        <v>4</v>
      </c>
      <c r="H992">
        <v>1017</v>
      </c>
      <c r="I992" t="s">
        <v>698</v>
      </c>
      <c r="J992">
        <v>4225</v>
      </c>
      <c r="K992" s="8">
        <f>SUMIF(SoundCast_Data!$A$2:$A$1001,RouteID_Conversion!$H$2:$H$999,SoundCast_Data!$C$2:$C$1001)</f>
        <v>98.432559967040802</v>
      </c>
      <c r="Q992" s="8">
        <f>SUMIF(SoundCast_Data!$Q$2:$Q$1001,RouteID_Conversion!$H$2:$H$999,SoundCast_Data!$P$2:$P$1001)</f>
        <v>0</v>
      </c>
    </row>
    <row r="993" spans="1:17" x14ac:dyDescent="0.25">
      <c r="A993">
        <v>327</v>
      </c>
      <c r="B993">
        <v>111018</v>
      </c>
      <c r="C993">
        <v>1</v>
      </c>
      <c r="D993" t="s">
        <v>859</v>
      </c>
      <c r="E993" t="s">
        <v>327</v>
      </c>
      <c r="F993" t="s">
        <v>860</v>
      </c>
      <c r="G993">
        <v>4</v>
      </c>
      <c r="H993">
        <v>1018</v>
      </c>
      <c r="I993" t="s">
        <v>506</v>
      </c>
      <c r="J993">
        <v>4201</v>
      </c>
      <c r="K993" s="8">
        <f>SUMIF(SoundCast_Data!$A$2:$A$1001,RouteID_Conversion!$H$2:$H$999,SoundCast_Data!$C$2:$C$1001)</f>
        <v>10.70580589771269</v>
      </c>
      <c r="Q993" s="8">
        <f>SUMIF(SoundCast_Data!$Q$2:$Q$1001,RouteID_Conversion!$H$2:$H$999,SoundCast_Data!$P$2:$P$1001)</f>
        <v>0</v>
      </c>
    </row>
    <row r="994" spans="1:17" x14ac:dyDescent="0.25">
      <c r="A994">
        <v>114</v>
      </c>
      <c r="B994">
        <v>111019</v>
      </c>
      <c r="C994">
        <v>1</v>
      </c>
      <c r="D994" t="s">
        <v>507</v>
      </c>
      <c r="E994" t="s">
        <v>327</v>
      </c>
      <c r="F994" t="s">
        <v>508</v>
      </c>
      <c r="G994">
        <v>4</v>
      </c>
      <c r="H994">
        <v>1019</v>
      </c>
      <c r="I994" t="s">
        <v>506</v>
      </c>
      <c r="J994">
        <v>4205</v>
      </c>
      <c r="K994" s="8">
        <f>SUMIF(SoundCast_Data!$A$2:$A$1001,RouteID_Conversion!$H$2:$H$999,SoundCast_Data!$C$2:$C$1001)</f>
        <v>28.379732131957908</v>
      </c>
      <c r="Q994" s="8">
        <f>SUMIF(SoundCast_Data!$Q$2:$Q$1001,RouteID_Conversion!$H$2:$H$999,SoundCast_Data!$P$2:$P$1001)</f>
        <v>0</v>
      </c>
    </row>
    <row r="995" spans="1:17" x14ac:dyDescent="0.25">
      <c r="A995">
        <v>328</v>
      </c>
      <c r="B995">
        <v>111020</v>
      </c>
      <c r="C995">
        <v>1</v>
      </c>
      <c r="D995" t="s">
        <v>861</v>
      </c>
      <c r="E995" t="s">
        <v>327</v>
      </c>
      <c r="F995" t="s">
        <v>862</v>
      </c>
      <c r="G995">
        <v>4</v>
      </c>
      <c r="H995">
        <v>1020</v>
      </c>
      <c r="I995" t="s">
        <v>506</v>
      </c>
      <c r="J995">
        <v>4206</v>
      </c>
      <c r="K995" s="8">
        <f>SUMIF(SoundCast_Data!$A$2:$A$1001,RouteID_Conversion!$H$2:$H$999,SoundCast_Data!$C$2:$C$1001)</f>
        <v>26.923765182495053</v>
      </c>
      <c r="Q995" s="8">
        <f>SUMIF(SoundCast_Data!$Q$2:$Q$1001,RouteID_Conversion!$H$2:$H$999,SoundCast_Data!$P$2:$P$1001)</f>
        <v>0</v>
      </c>
    </row>
    <row r="996" spans="1:17" x14ac:dyDescent="0.25">
      <c r="A996">
        <v>497</v>
      </c>
      <c r="B996">
        <v>111021</v>
      </c>
      <c r="C996">
        <v>1</v>
      </c>
      <c r="D996" t="s">
        <v>1095</v>
      </c>
      <c r="E996" t="s">
        <v>327</v>
      </c>
      <c r="F996" t="s">
        <v>1096</v>
      </c>
      <c r="G996">
        <v>4</v>
      </c>
      <c r="H996">
        <v>1021</v>
      </c>
      <c r="I996" t="s">
        <v>695</v>
      </c>
      <c r="J996">
        <v>4211</v>
      </c>
      <c r="K996" s="8">
        <f>SUMIF(SoundCast_Data!$A$2:$A$1001,RouteID_Conversion!$H$2:$H$999,SoundCast_Data!$C$2:$C$1001)</f>
        <v>31.479810714721619</v>
      </c>
      <c r="Q996" s="8">
        <f>SUMIF(SoundCast_Data!$Q$2:$Q$1001,RouteID_Conversion!$H$2:$H$999,SoundCast_Data!$P$2:$P$1001)</f>
        <v>0</v>
      </c>
    </row>
    <row r="997" spans="1:17" x14ac:dyDescent="0.25">
      <c r="A997">
        <v>496</v>
      </c>
      <c r="B997">
        <v>111022</v>
      </c>
      <c r="C997">
        <v>1</v>
      </c>
      <c r="D997" t="s">
        <v>1093</v>
      </c>
      <c r="E997" t="s">
        <v>327</v>
      </c>
      <c r="F997" t="s">
        <v>1094</v>
      </c>
      <c r="G997">
        <v>4</v>
      </c>
      <c r="H997">
        <v>1022</v>
      </c>
      <c r="I997" t="s">
        <v>506</v>
      </c>
      <c r="J997">
        <v>4208</v>
      </c>
      <c r="K997" s="8">
        <f>SUMIF(SoundCast_Data!$A$2:$A$1001,RouteID_Conversion!$H$2:$H$999,SoundCast_Data!$C$2:$C$1001)</f>
        <v>24.808345794677727</v>
      </c>
      <c r="Q997" s="8">
        <f>SUMIF(SoundCast_Data!$Q$2:$Q$1001,RouteID_Conversion!$H$2:$H$999,SoundCast_Data!$P$2:$P$1001)</f>
        <v>0</v>
      </c>
    </row>
    <row r="998" spans="1:17" x14ac:dyDescent="0.25">
      <c r="A998">
        <v>410</v>
      </c>
      <c r="B998">
        <v>111047</v>
      </c>
      <c r="C998">
        <v>1</v>
      </c>
      <c r="D998" t="s">
        <v>958</v>
      </c>
      <c r="E998" t="s">
        <v>327</v>
      </c>
      <c r="F998" t="s">
        <v>827</v>
      </c>
      <c r="G998">
        <v>2</v>
      </c>
      <c r="H998">
        <v>1047</v>
      </c>
      <c r="I998" t="s">
        <v>828</v>
      </c>
      <c r="J998">
        <v>2051</v>
      </c>
      <c r="K998" s="8">
        <f>SUMIF(SoundCast_Data!$A$2:$A$1001,RouteID_Conversion!$H$2:$H$999,SoundCast_Data!$C$2:$C$1001)</f>
        <v>41.081770896911401</v>
      </c>
      <c r="Q998" s="8">
        <f>SUMIF(SoundCast_Data!$Q$2:$Q$1001,RouteID_Conversion!$H$2:$H$999,SoundCast_Data!$P$2:$P$1001)</f>
        <v>0</v>
      </c>
    </row>
    <row r="999" spans="1:17" x14ac:dyDescent="0.25">
      <c r="A999">
        <v>314</v>
      </c>
      <c r="B999">
        <v>111048</v>
      </c>
      <c r="C999">
        <v>1</v>
      </c>
      <c r="D999" t="s">
        <v>826</v>
      </c>
      <c r="E999" t="s">
        <v>327</v>
      </c>
      <c r="F999" t="s">
        <v>827</v>
      </c>
      <c r="G999">
        <v>2</v>
      </c>
      <c r="H999">
        <v>1048</v>
      </c>
      <c r="I999" t="s">
        <v>828</v>
      </c>
      <c r="J999">
        <v>2051</v>
      </c>
      <c r="K999" s="8">
        <f>SUMIF(SoundCast_Data!$A$2:$A$1001,RouteID_Conversion!$H$2:$H$999,SoundCast_Data!$C$2:$C$1001)</f>
        <v>38.936573982238762</v>
      </c>
      <c r="Q999" s="8">
        <f>SUMIF(SoundCast_Data!$Q$2:$Q$1001,RouteID_Conversion!$H$2:$H$999,SoundCast_Data!$P$2:$P$1001)</f>
        <v>0</v>
      </c>
    </row>
  </sheetData>
  <sortState ref="A2:L999">
    <sortCondition ref="H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45"/>
  <sheetViews>
    <sheetView topLeftCell="A409" workbookViewId="0">
      <selection activeCell="C428" sqref="C1:C1048576"/>
    </sheetView>
  </sheetViews>
  <sheetFormatPr defaultRowHeight="15" x14ac:dyDescent="0.25"/>
  <cols>
    <col min="1" max="2" width="9.140625" style="8"/>
    <col min="4" max="4" width="9.140625" style="5"/>
  </cols>
  <sheetData>
    <row r="1" spans="1:4" x14ac:dyDescent="0.25">
      <c r="A1" s="8" t="s">
        <v>38</v>
      </c>
      <c r="B1" s="8" t="s">
        <v>39</v>
      </c>
      <c r="C1" t="s">
        <v>40</v>
      </c>
      <c r="D1" s="5" t="s">
        <v>1</v>
      </c>
    </row>
    <row r="2" spans="1:4" x14ac:dyDescent="0.25">
      <c r="A2" s="8" t="s">
        <v>43</v>
      </c>
      <c r="B2" s="8">
        <v>1001</v>
      </c>
      <c r="C2" t="s">
        <v>44</v>
      </c>
      <c r="D2" s="5">
        <v>898.4</v>
      </c>
    </row>
    <row r="3" spans="1:4" x14ac:dyDescent="0.25">
      <c r="A3" s="8" t="s">
        <v>45</v>
      </c>
      <c r="B3" s="8">
        <v>1002</v>
      </c>
      <c r="C3" t="s">
        <v>46</v>
      </c>
      <c r="D3" s="5">
        <v>2034.6</v>
      </c>
    </row>
    <row r="4" spans="1:4" x14ac:dyDescent="0.25">
      <c r="A4" s="8" t="s">
        <v>47</v>
      </c>
      <c r="B4" s="8">
        <v>1003</v>
      </c>
      <c r="C4" t="s">
        <v>48</v>
      </c>
      <c r="D4" s="5">
        <v>3356</v>
      </c>
    </row>
    <row r="5" spans="1:4" x14ac:dyDescent="0.25">
      <c r="A5" s="8" t="s">
        <v>49</v>
      </c>
      <c r="B5" s="8">
        <v>1004</v>
      </c>
      <c r="C5" t="s">
        <v>50</v>
      </c>
      <c r="D5" s="5">
        <v>1889.5</v>
      </c>
    </row>
    <row r="6" spans="1:4" x14ac:dyDescent="0.25">
      <c r="A6" s="8" t="s">
        <v>51</v>
      </c>
      <c r="B6" s="8">
        <v>1005</v>
      </c>
      <c r="C6" t="s">
        <v>52</v>
      </c>
      <c r="D6" s="5">
        <v>2293.6999999999998</v>
      </c>
    </row>
    <row r="7" spans="1:4" x14ac:dyDescent="0.25">
      <c r="A7" s="8" t="s">
        <v>53</v>
      </c>
      <c r="B7" s="8">
        <v>1007</v>
      </c>
      <c r="C7" t="s">
        <v>54</v>
      </c>
      <c r="D7" s="5">
        <v>5401.5000000000082</v>
      </c>
    </row>
    <row r="8" spans="1:4" x14ac:dyDescent="0.25">
      <c r="A8" s="8" t="s">
        <v>55</v>
      </c>
      <c r="B8" s="8">
        <v>1008</v>
      </c>
      <c r="C8" t="s">
        <v>56</v>
      </c>
      <c r="D8" s="5">
        <v>2611.8000000000002</v>
      </c>
    </row>
    <row r="9" spans="1:4" x14ac:dyDescent="0.25">
      <c r="A9" s="8" t="s">
        <v>57</v>
      </c>
      <c r="B9" s="8">
        <v>1009</v>
      </c>
      <c r="C9" t="s">
        <v>58</v>
      </c>
      <c r="D9" s="5">
        <v>882.80000000000052</v>
      </c>
    </row>
    <row r="10" spans="1:4" x14ac:dyDescent="0.25">
      <c r="A10" s="8" t="s">
        <v>59</v>
      </c>
      <c r="B10" s="8">
        <v>1010</v>
      </c>
      <c r="C10" t="s">
        <v>60</v>
      </c>
      <c r="D10" s="5">
        <v>1367.6</v>
      </c>
    </row>
    <row r="11" spans="1:4" x14ac:dyDescent="0.25">
      <c r="A11" s="8" t="s">
        <v>61</v>
      </c>
      <c r="B11" s="8">
        <v>1011</v>
      </c>
      <c r="C11" t="s">
        <v>62</v>
      </c>
      <c r="D11" s="5">
        <v>959.1</v>
      </c>
    </row>
    <row r="12" spans="1:4" x14ac:dyDescent="0.25">
      <c r="A12" s="8" t="s">
        <v>63</v>
      </c>
      <c r="B12" s="8">
        <v>1012</v>
      </c>
      <c r="C12" t="s">
        <v>64</v>
      </c>
      <c r="D12" s="5">
        <v>1617.3</v>
      </c>
    </row>
    <row r="13" spans="1:4" x14ac:dyDescent="0.25">
      <c r="A13" s="8" t="s">
        <v>65</v>
      </c>
      <c r="B13" s="8">
        <v>1013</v>
      </c>
      <c r="C13" t="s">
        <v>66</v>
      </c>
      <c r="D13" s="5">
        <v>803.3</v>
      </c>
    </row>
    <row r="14" spans="1:4" x14ac:dyDescent="0.25">
      <c r="A14" s="8" t="s">
        <v>67</v>
      </c>
      <c r="B14" s="8">
        <v>1014</v>
      </c>
      <c r="C14" t="s">
        <v>68</v>
      </c>
      <c r="D14" s="5">
        <v>1456.8</v>
      </c>
    </row>
    <row r="15" spans="1:4" x14ac:dyDescent="0.25">
      <c r="A15" s="8" t="s">
        <v>69</v>
      </c>
      <c r="B15" s="8">
        <v>1015</v>
      </c>
      <c r="C15" t="s">
        <v>70</v>
      </c>
      <c r="D15" s="5">
        <v>1692</v>
      </c>
    </row>
    <row r="16" spans="1:4" x14ac:dyDescent="0.25">
      <c r="A16" s="8" t="s">
        <v>71</v>
      </c>
      <c r="B16" s="8">
        <v>1016</v>
      </c>
      <c r="C16" t="s">
        <v>72</v>
      </c>
      <c r="D16" s="5">
        <v>1884.6</v>
      </c>
    </row>
    <row r="17" spans="1:4" x14ac:dyDescent="0.25">
      <c r="A17" s="8" t="s">
        <v>73</v>
      </c>
      <c r="B17" s="8">
        <v>1017</v>
      </c>
      <c r="C17" t="s">
        <v>74</v>
      </c>
      <c r="D17" s="5">
        <v>621.6</v>
      </c>
    </row>
    <row r="18" spans="1:4" x14ac:dyDescent="0.25">
      <c r="A18" s="8" t="s">
        <v>75</v>
      </c>
      <c r="B18" s="8">
        <v>1018</v>
      </c>
      <c r="C18" t="s">
        <v>76</v>
      </c>
      <c r="D18" s="5">
        <v>1349.1</v>
      </c>
    </row>
    <row r="19" spans="1:4" x14ac:dyDescent="0.25">
      <c r="A19" s="8" t="s">
        <v>77</v>
      </c>
      <c r="B19" s="8">
        <v>1019</v>
      </c>
      <c r="C19" t="s">
        <v>78</v>
      </c>
      <c r="D19" s="5">
        <v>0</v>
      </c>
    </row>
    <row r="20" spans="1:4" x14ac:dyDescent="0.25">
      <c r="A20" s="8" t="s">
        <v>79</v>
      </c>
      <c r="B20" s="8">
        <v>1021</v>
      </c>
      <c r="C20" t="s">
        <v>80</v>
      </c>
      <c r="D20" s="5">
        <v>853.7</v>
      </c>
    </row>
    <row r="21" spans="1:4" x14ac:dyDescent="0.25">
      <c r="A21" s="8" t="s">
        <v>81</v>
      </c>
      <c r="B21" s="8">
        <v>1022</v>
      </c>
      <c r="C21" t="s">
        <v>82</v>
      </c>
      <c r="D21" s="5">
        <v>827.3</v>
      </c>
    </row>
    <row r="22" spans="1:4" x14ac:dyDescent="0.25">
      <c r="A22" s="8" t="s">
        <v>83</v>
      </c>
      <c r="B22" s="8">
        <v>1023</v>
      </c>
      <c r="C22" t="s">
        <v>84</v>
      </c>
      <c r="D22" s="5">
        <v>664.6</v>
      </c>
    </row>
    <row r="23" spans="1:4" x14ac:dyDescent="0.25">
      <c r="A23" s="8" t="s">
        <v>85</v>
      </c>
      <c r="B23" s="8">
        <v>1024</v>
      </c>
      <c r="C23" t="s">
        <v>86</v>
      </c>
      <c r="D23" s="5">
        <v>485.2</v>
      </c>
    </row>
    <row r="24" spans="1:4" x14ac:dyDescent="0.25">
      <c r="A24" s="8" t="s">
        <v>87</v>
      </c>
      <c r="B24" s="8">
        <v>1025</v>
      </c>
      <c r="C24" t="s">
        <v>88</v>
      </c>
      <c r="D24" s="5">
        <v>204</v>
      </c>
    </row>
    <row r="25" spans="1:4" x14ac:dyDescent="0.25">
      <c r="A25" s="8" t="s">
        <v>89</v>
      </c>
      <c r="B25" s="8">
        <v>1026</v>
      </c>
      <c r="C25" t="s">
        <v>90</v>
      </c>
      <c r="D25" s="5">
        <v>644.1</v>
      </c>
    </row>
    <row r="26" spans="1:4" x14ac:dyDescent="0.25">
      <c r="A26" s="8" t="s">
        <v>91</v>
      </c>
      <c r="B26" s="8">
        <v>1027</v>
      </c>
      <c r="C26" t="s">
        <v>92</v>
      </c>
      <c r="D26" s="5">
        <v>502.9</v>
      </c>
    </row>
    <row r="27" spans="1:4" x14ac:dyDescent="0.25">
      <c r="A27" s="8" t="s">
        <v>93</v>
      </c>
      <c r="B27" s="8">
        <v>1028</v>
      </c>
      <c r="C27" t="s">
        <v>94</v>
      </c>
      <c r="D27" s="5">
        <v>845.8</v>
      </c>
    </row>
    <row r="28" spans="1:4" x14ac:dyDescent="0.25">
      <c r="A28" s="8" t="s">
        <v>95</v>
      </c>
      <c r="B28" s="8">
        <v>1030</v>
      </c>
      <c r="C28" t="s">
        <v>96</v>
      </c>
      <c r="D28" s="5">
        <v>872</v>
      </c>
    </row>
    <row r="29" spans="1:4" x14ac:dyDescent="0.25">
      <c r="A29" s="8" t="s">
        <v>97</v>
      </c>
      <c r="B29" s="8">
        <v>1031</v>
      </c>
      <c r="C29" t="s">
        <v>98</v>
      </c>
      <c r="D29" s="5">
        <v>453.5</v>
      </c>
    </row>
    <row r="30" spans="1:4" x14ac:dyDescent="0.25">
      <c r="A30" s="8" t="s">
        <v>99</v>
      </c>
      <c r="B30" s="8">
        <v>1033</v>
      </c>
      <c r="C30" t="s">
        <v>100</v>
      </c>
      <c r="D30" s="5">
        <v>318.5</v>
      </c>
    </row>
    <row r="31" spans="1:4" x14ac:dyDescent="0.25">
      <c r="A31" s="8" t="s">
        <v>101</v>
      </c>
      <c r="B31" s="8">
        <v>1034</v>
      </c>
      <c r="C31" t="s">
        <v>102</v>
      </c>
      <c r="D31" s="5">
        <v>0</v>
      </c>
    </row>
    <row r="32" spans="1:4" x14ac:dyDescent="0.25">
      <c r="A32" s="8" t="s">
        <v>103</v>
      </c>
      <c r="B32" s="8">
        <v>1035</v>
      </c>
      <c r="C32" t="s">
        <v>104</v>
      </c>
      <c r="D32" s="5">
        <v>0</v>
      </c>
    </row>
    <row r="33" spans="1:4" x14ac:dyDescent="0.25">
      <c r="A33" s="8" t="s">
        <v>105</v>
      </c>
      <c r="B33" s="8">
        <v>1036</v>
      </c>
      <c r="C33" t="s">
        <v>106</v>
      </c>
      <c r="D33" s="5">
        <v>4398.3000000000093</v>
      </c>
    </row>
    <row r="34" spans="1:4" x14ac:dyDescent="0.25">
      <c r="A34" s="8" t="s">
        <v>107</v>
      </c>
      <c r="B34" s="8">
        <v>1037</v>
      </c>
      <c r="C34" t="s">
        <v>108</v>
      </c>
      <c r="D34" s="5">
        <v>20.5</v>
      </c>
    </row>
    <row r="35" spans="1:4" x14ac:dyDescent="0.25">
      <c r="A35" s="8" t="s">
        <v>109</v>
      </c>
      <c r="B35" s="8">
        <v>1038</v>
      </c>
      <c r="C35" t="s">
        <v>110</v>
      </c>
      <c r="D35" s="5">
        <v>64</v>
      </c>
    </row>
    <row r="36" spans="1:4" x14ac:dyDescent="0.25">
      <c r="A36" s="8" t="s">
        <v>111</v>
      </c>
      <c r="B36" s="8">
        <v>1039</v>
      </c>
      <c r="C36" t="s">
        <v>112</v>
      </c>
      <c r="D36" s="5">
        <v>416.6</v>
      </c>
    </row>
    <row r="37" spans="1:4" x14ac:dyDescent="0.25">
      <c r="A37" s="8" t="s">
        <v>113</v>
      </c>
      <c r="B37" s="8">
        <v>1041</v>
      </c>
      <c r="C37" t="s">
        <v>114</v>
      </c>
      <c r="D37" s="5">
        <v>3038.2</v>
      </c>
    </row>
    <row r="38" spans="1:4" x14ac:dyDescent="0.25">
      <c r="A38" s="8" t="s">
        <v>115</v>
      </c>
      <c r="B38" s="8">
        <v>1042</v>
      </c>
      <c r="C38" t="s">
        <v>116</v>
      </c>
      <c r="D38" s="5">
        <v>62</v>
      </c>
    </row>
    <row r="39" spans="1:4" x14ac:dyDescent="0.25">
      <c r="A39" s="8" t="s">
        <v>117</v>
      </c>
      <c r="B39" s="8">
        <v>1043</v>
      </c>
      <c r="C39" t="s">
        <v>118</v>
      </c>
      <c r="D39" s="5">
        <v>2158.4</v>
      </c>
    </row>
    <row r="40" spans="1:4" x14ac:dyDescent="0.25">
      <c r="A40" s="8" t="s">
        <v>119</v>
      </c>
      <c r="B40" s="8">
        <v>1044</v>
      </c>
      <c r="C40" t="s">
        <v>120</v>
      </c>
      <c r="D40" s="5">
        <v>2002.1</v>
      </c>
    </row>
    <row r="41" spans="1:4" x14ac:dyDescent="0.25">
      <c r="A41" s="8" t="s">
        <v>121</v>
      </c>
      <c r="B41" s="8">
        <v>1045</v>
      </c>
      <c r="C41" t="s">
        <v>122</v>
      </c>
      <c r="D41" s="5">
        <v>0.4</v>
      </c>
    </row>
    <row r="42" spans="1:4" x14ac:dyDescent="0.25">
      <c r="A42" s="8" t="s">
        <v>123</v>
      </c>
      <c r="B42" s="8">
        <v>1046</v>
      </c>
      <c r="C42" t="s">
        <v>124</v>
      </c>
      <c r="D42" s="5">
        <v>53.9</v>
      </c>
    </row>
    <row r="43" spans="1:4" x14ac:dyDescent="0.25">
      <c r="A43" s="8" t="s">
        <v>125</v>
      </c>
      <c r="B43" s="8">
        <v>1048</v>
      </c>
      <c r="C43" t="s">
        <v>126</v>
      </c>
      <c r="D43" s="5">
        <v>3386.1000000000058</v>
      </c>
    </row>
    <row r="44" spans="1:4" x14ac:dyDescent="0.25">
      <c r="A44" s="8" t="s">
        <v>127</v>
      </c>
      <c r="B44" s="8">
        <v>1049</v>
      </c>
      <c r="C44" t="s">
        <v>128</v>
      </c>
      <c r="D44" s="5">
        <v>2489.3000000000002</v>
      </c>
    </row>
    <row r="45" spans="1:4" x14ac:dyDescent="0.25">
      <c r="A45" s="8" t="s">
        <v>129</v>
      </c>
      <c r="B45" s="8">
        <v>1051</v>
      </c>
      <c r="C45" t="s">
        <v>130</v>
      </c>
      <c r="D45" s="5">
        <v>67.400000000000006</v>
      </c>
    </row>
    <row r="46" spans="1:4" x14ac:dyDescent="0.25">
      <c r="A46" s="8" t="s">
        <v>131</v>
      </c>
      <c r="B46" s="8">
        <v>1053</v>
      </c>
      <c r="C46" t="s">
        <v>132</v>
      </c>
      <c r="D46" s="5">
        <v>56.2</v>
      </c>
    </row>
    <row r="47" spans="1:4" x14ac:dyDescent="0.25">
      <c r="A47" s="8" t="s">
        <v>133</v>
      </c>
      <c r="B47" s="8">
        <v>1054</v>
      </c>
      <c r="C47" t="s">
        <v>134</v>
      </c>
      <c r="D47" s="5">
        <v>885.7</v>
      </c>
    </row>
    <row r="48" spans="1:4" x14ac:dyDescent="0.25">
      <c r="A48" s="8" t="s">
        <v>135</v>
      </c>
      <c r="B48" s="8">
        <v>1055</v>
      </c>
      <c r="C48" t="s">
        <v>136</v>
      </c>
      <c r="D48" s="5">
        <v>578.70000000000005</v>
      </c>
    </row>
    <row r="49" spans="1:4" x14ac:dyDescent="0.25">
      <c r="A49" s="8" t="s">
        <v>137</v>
      </c>
      <c r="B49" s="8">
        <v>1056</v>
      </c>
      <c r="C49" t="s">
        <v>138</v>
      </c>
      <c r="D49" s="5">
        <v>644.79999999999995</v>
      </c>
    </row>
    <row r="50" spans="1:4" x14ac:dyDescent="0.25">
      <c r="A50" s="8" t="s">
        <v>139</v>
      </c>
      <c r="B50" s="8">
        <v>1057</v>
      </c>
      <c r="C50" t="s">
        <v>140</v>
      </c>
      <c r="D50" s="5">
        <v>0</v>
      </c>
    </row>
    <row r="51" spans="1:4" x14ac:dyDescent="0.25">
      <c r="A51" s="8" t="s">
        <v>141</v>
      </c>
      <c r="B51" s="8">
        <v>1060</v>
      </c>
      <c r="C51" t="s">
        <v>142</v>
      </c>
      <c r="D51" s="5">
        <v>1757.5</v>
      </c>
    </row>
    <row r="52" spans="1:4" x14ac:dyDescent="0.25">
      <c r="A52" s="8" t="s">
        <v>143</v>
      </c>
      <c r="B52" s="8">
        <v>1064</v>
      </c>
      <c r="C52" t="s">
        <v>144</v>
      </c>
      <c r="D52" s="5">
        <v>0</v>
      </c>
    </row>
    <row r="53" spans="1:4" x14ac:dyDescent="0.25">
      <c r="A53" s="8" t="s">
        <v>145</v>
      </c>
      <c r="B53" s="8">
        <v>1065</v>
      </c>
      <c r="C53" t="s">
        <v>146</v>
      </c>
      <c r="D53" s="5">
        <v>979.2</v>
      </c>
    </row>
    <row r="54" spans="1:4" x14ac:dyDescent="0.25">
      <c r="A54" s="8" t="s">
        <v>147</v>
      </c>
      <c r="B54" s="8">
        <v>1066</v>
      </c>
      <c r="C54" t="s">
        <v>148</v>
      </c>
      <c r="D54" s="5">
        <v>872.79999999999882</v>
      </c>
    </row>
    <row r="55" spans="1:4" x14ac:dyDescent="0.25">
      <c r="A55" s="8" t="s">
        <v>149</v>
      </c>
      <c r="B55" s="8">
        <v>1067</v>
      </c>
      <c r="C55" t="s">
        <v>150</v>
      </c>
      <c r="D55" s="5">
        <v>529.20000000000005</v>
      </c>
    </row>
    <row r="56" spans="1:4" x14ac:dyDescent="0.25">
      <c r="A56" s="8" t="s">
        <v>151</v>
      </c>
      <c r="B56" s="8">
        <v>1068</v>
      </c>
      <c r="C56" t="s">
        <v>152</v>
      </c>
      <c r="D56" s="5">
        <v>1081.0999999999999</v>
      </c>
    </row>
    <row r="57" spans="1:4" x14ac:dyDescent="0.25">
      <c r="A57" s="8" t="s">
        <v>153</v>
      </c>
      <c r="B57" s="8">
        <v>1070</v>
      </c>
      <c r="C57" t="s">
        <v>154</v>
      </c>
      <c r="D57" s="5">
        <v>1409.2</v>
      </c>
    </row>
    <row r="58" spans="1:4" x14ac:dyDescent="0.25">
      <c r="A58" s="8" t="s">
        <v>155</v>
      </c>
      <c r="B58" s="8">
        <v>1071</v>
      </c>
      <c r="C58" t="s">
        <v>156</v>
      </c>
      <c r="D58" s="5">
        <v>1493.8</v>
      </c>
    </row>
    <row r="59" spans="1:4" x14ac:dyDescent="0.25">
      <c r="A59" s="8" t="s">
        <v>157</v>
      </c>
      <c r="B59" s="8">
        <v>1072</v>
      </c>
      <c r="C59" t="s">
        <v>158</v>
      </c>
      <c r="D59" s="5">
        <v>1784.7</v>
      </c>
    </row>
    <row r="60" spans="1:4" x14ac:dyDescent="0.25">
      <c r="A60" s="8" t="s">
        <v>159</v>
      </c>
      <c r="B60" s="8">
        <v>1073</v>
      </c>
      <c r="C60" t="s">
        <v>160</v>
      </c>
      <c r="D60" s="5">
        <v>2542.1</v>
      </c>
    </row>
    <row r="61" spans="1:4" x14ac:dyDescent="0.25">
      <c r="A61" s="8" t="s">
        <v>161</v>
      </c>
      <c r="B61" s="8">
        <v>1074</v>
      </c>
      <c r="C61" t="s">
        <v>162</v>
      </c>
      <c r="D61" s="5">
        <v>124.1</v>
      </c>
    </row>
    <row r="62" spans="1:4" x14ac:dyDescent="0.25">
      <c r="A62" s="8" t="s">
        <v>163</v>
      </c>
      <c r="B62" s="8">
        <v>1075</v>
      </c>
      <c r="C62" t="s">
        <v>164</v>
      </c>
      <c r="D62" s="5">
        <v>1715.9</v>
      </c>
    </row>
    <row r="63" spans="1:4" x14ac:dyDescent="0.25">
      <c r="A63" s="8" t="s">
        <v>165</v>
      </c>
      <c r="B63" s="8">
        <v>1076</v>
      </c>
      <c r="C63" t="s">
        <v>166</v>
      </c>
      <c r="D63" s="5">
        <v>0</v>
      </c>
    </row>
    <row r="64" spans="1:4" x14ac:dyDescent="0.25">
      <c r="A64" s="8" t="s">
        <v>167</v>
      </c>
      <c r="B64" s="8">
        <v>1077</v>
      </c>
      <c r="C64" t="s">
        <v>168</v>
      </c>
      <c r="D64" s="5">
        <v>0</v>
      </c>
    </row>
    <row r="65" spans="1:4" x14ac:dyDescent="0.25">
      <c r="A65" s="8" t="s">
        <v>169</v>
      </c>
      <c r="B65" s="8">
        <v>1079</v>
      </c>
      <c r="C65" t="s">
        <v>170</v>
      </c>
      <c r="D65" s="5">
        <v>0</v>
      </c>
    </row>
    <row r="66" spans="1:4" x14ac:dyDescent="0.25">
      <c r="A66" s="8" t="s">
        <v>171</v>
      </c>
      <c r="B66" s="8">
        <v>1099</v>
      </c>
      <c r="C66" t="s">
        <v>172</v>
      </c>
      <c r="D66" s="5">
        <v>0</v>
      </c>
    </row>
    <row r="67" spans="1:4" x14ac:dyDescent="0.25">
      <c r="A67" s="8" t="s">
        <v>173</v>
      </c>
      <c r="B67" s="8">
        <v>1101</v>
      </c>
      <c r="C67" t="s">
        <v>174</v>
      </c>
      <c r="D67" s="5">
        <v>1385</v>
      </c>
    </row>
    <row r="68" spans="1:4" x14ac:dyDescent="0.25">
      <c r="A68" s="8" t="s">
        <v>175</v>
      </c>
      <c r="B68" s="8">
        <v>1102</v>
      </c>
      <c r="C68" t="s">
        <v>176</v>
      </c>
      <c r="D68" s="5">
        <v>0</v>
      </c>
    </row>
    <row r="69" spans="1:4" x14ac:dyDescent="0.25">
      <c r="A69" s="8" t="s">
        <v>177</v>
      </c>
      <c r="B69" s="8">
        <v>1105</v>
      </c>
      <c r="C69" t="s">
        <v>178</v>
      </c>
      <c r="D69" s="5">
        <v>410.9</v>
      </c>
    </row>
    <row r="70" spans="1:4" x14ac:dyDescent="0.25">
      <c r="A70" s="8" t="s">
        <v>179</v>
      </c>
      <c r="B70" s="8">
        <v>1106</v>
      </c>
      <c r="C70" t="s">
        <v>180</v>
      </c>
      <c r="D70" s="5">
        <v>1701</v>
      </c>
    </row>
    <row r="71" spans="1:4" x14ac:dyDescent="0.25">
      <c r="A71" s="8" t="s">
        <v>181</v>
      </c>
      <c r="B71" s="8">
        <v>1107</v>
      </c>
      <c r="C71" t="s">
        <v>182</v>
      </c>
      <c r="D71" s="5">
        <v>465.3</v>
      </c>
    </row>
    <row r="72" spans="1:4" x14ac:dyDescent="0.25">
      <c r="A72" s="8" t="s">
        <v>183</v>
      </c>
      <c r="B72" s="8">
        <v>1110</v>
      </c>
      <c r="C72" t="s">
        <v>184</v>
      </c>
      <c r="D72" s="5">
        <v>5.5</v>
      </c>
    </row>
    <row r="73" spans="1:4" x14ac:dyDescent="0.25">
      <c r="A73" s="8" t="s">
        <v>185</v>
      </c>
      <c r="B73" s="8">
        <v>1111</v>
      </c>
      <c r="C73" t="s">
        <v>186</v>
      </c>
      <c r="D73" s="5">
        <v>0</v>
      </c>
    </row>
    <row r="74" spans="1:4" x14ac:dyDescent="0.25">
      <c r="A74" s="8" t="s">
        <v>187</v>
      </c>
      <c r="B74" s="8">
        <v>1113</v>
      </c>
      <c r="C74" t="s">
        <v>188</v>
      </c>
      <c r="D74" s="5">
        <v>0</v>
      </c>
    </row>
    <row r="75" spans="1:4" x14ac:dyDescent="0.25">
      <c r="A75" s="8" t="s">
        <v>189</v>
      </c>
      <c r="B75" s="8">
        <v>1114</v>
      </c>
      <c r="C75" t="s">
        <v>190</v>
      </c>
      <c r="D75" s="5">
        <v>0</v>
      </c>
    </row>
    <row r="76" spans="1:4" x14ac:dyDescent="0.25">
      <c r="A76" s="8" t="s">
        <v>191</v>
      </c>
      <c r="B76" s="8">
        <v>1116</v>
      </c>
      <c r="C76" t="s">
        <v>192</v>
      </c>
      <c r="D76" s="5">
        <v>1</v>
      </c>
    </row>
    <row r="77" spans="1:4" x14ac:dyDescent="0.25">
      <c r="A77" s="8" t="s">
        <v>193</v>
      </c>
      <c r="B77" s="8">
        <v>1118</v>
      </c>
      <c r="C77" t="s">
        <v>194</v>
      </c>
      <c r="D77" s="5">
        <v>53.8</v>
      </c>
    </row>
    <row r="78" spans="1:4" x14ac:dyDescent="0.25">
      <c r="A78" s="8" t="s">
        <v>195</v>
      </c>
      <c r="B78" s="8">
        <v>1119</v>
      </c>
      <c r="C78" t="s">
        <v>196</v>
      </c>
      <c r="D78" s="5">
        <v>23.1</v>
      </c>
    </row>
    <row r="79" spans="1:4" x14ac:dyDescent="0.25">
      <c r="A79" s="8" t="s">
        <v>197</v>
      </c>
      <c r="B79" s="8">
        <v>1120</v>
      </c>
      <c r="C79" t="s">
        <v>198</v>
      </c>
      <c r="D79" s="5">
        <v>2872.9</v>
      </c>
    </row>
    <row r="80" spans="1:4" x14ac:dyDescent="0.25">
      <c r="A80" s="8" t="s">
        <v>199</v>
      </c>
      <c r="B80" s="8">
        <v>1121</v>
      </c>
      <c r="C80" t="s">
        <v>200</v>
      </c>
      <c r="D80" s="5">
        <v>76</v>
      </c>
    </row>
    <row r="81" spans="1:4" x14ac:dyDescent="0.25">
      <c r="A81" s="8" t="s">
        <v>201</v>
      </c>
      <c r="B81" s="8">
        <v>1122</v>
      </c>
      <c r="C81" t="s">
        <v>202</v>
      </c>
      <c r="D81" s="5">
        <v>98.1</v>
      </c>
    </row>
    <row r="82" spans="1:4" x14ac:dyDescent="0.25">
      <c r="A82" s="8" t="s">
        <v>203</v>
      </c>
      <c r="B82" s="8">
        <v>1123</v>
      </c>
      <c r="C82" t="s">
        <v>204</v>
      </c>
      <c r="D82" s="5">
        <v>0</v>
      </c>
    </row>
    <row r="83" spans="1:4" x14ac:dyDescent="0.25">
      <c r="A83" s="8" t="s">
        <v>205</v>
      </c>
      <c r="B83" s="8">
        <v>1124</v>
      </c>
      <c r="C83" t="s">
        <v>206</v>
      </c>
      <c r="D83" s="5">
        <v>1054.7</v>
      </c>
    </row>
    <row r="84" spans="1:4" x14ac:dyDescent="0.25">
      <c r="A84" s="8" t="s">
        <v>207</v>
      </c>
      <c r="B84" s="8">
        <v>1125</v>
      </c>
      <c r="C84" t="s">
        <v>208</v>
      </c>
      <c r="D84" s="5">
        <v>758.8</v>
      </c>
    </row>
    <row r="85" spans="1:4" x14ac:dyDescent="0.25">
      <c r="A85" s="8" t="s">
        <v>209</v>
      </c>
      <c r="B85" s="8">
        <v>1128</v>
      </c>
      <c r="C85" t="s">
        <v>210</v>
      </c>
      <c r="D85" s="5">
        <v>1195</v>
      </c>
    </row>
    <row r="86" spans="1:4" x14ac:dyDescent="0.25">
      <c r="A86" s="8" t="s">
        <v>211</v>
      </c>
      <c r="B86" s="8">
        <v>1129</v>
      </c>
      <c r="C86" t="s">
        <v>212</v>
      </c>
      <c r="D86" s="5">
        <v>0</v>
      </c>
    </row>
    <row r="87" spans="1:4" x14ac:dyDescent="0.25">
      <c r="A87" s="8" t="s">
        <v>213</v>
      </c>
      <c r="B87" s="8">
        <v>1131</v>
      </c>
      <c r="C87" t="s">
        <v>214</v>
      </c>
      <c r="D87" s="5">
        <v>644.5</v>
      </c>
    </row>
    <row r="88" spans="1:4" x14ac:dyDescent="0.25">
      <c r="A88" s="8" t="s">
        <v>215</v>
      </c>
      <c r="B88" s="8">
        <v>1132</v>
      </c>
      <c r="C88" t="s">
        <v>216</v>
      </c>
      <c r="D88" s="5">
        <v>762.7</v>
      </c>
    </row>
    <row r="89" spans="1:4" x14ac:dyDescent="0.25">
      <c r="A89" s="8" t="s">
        <v>217</v>
      </c>
      <c r="B89" s="8">
        <v>1133</v>
      </c>
      <c r="C89" t="s">
        <v>218</v>
      </c>
      <c r="D89" s="5">
        <v>0</v>
      </c>
    </row>
    <row r="90" spans="1:4" x14ac:dyDescent="0.25">
      <c r="A90" s="8" t="s">
        <v>219</v>
      </c>
      <c r="B90" s="8">
        <v>1134</v>
      </c>
      <c r="C90" t="s">
        <v>220</v>
      </c>
      <c r="D90" s="5">
        <v>110.2</v>
      </c>
    </row>
    <row r="91" spans="1:4" x14ac:dyDescent="0.25">
      <c r="A91" s="8" t="s">
        <v>221</v>
      </c>
      <c r="B91" s="8">
        <v>1139</v>
      </c>
      <c r="C91" t="s">
        <v>222</v>
      </c>
      <c r="D91" s="5">
        <v>99.5</v>
      </c>
    </row>
    <row r="92" spans="1:4" x14ac:dyDescent="0.25">
      <c r="A92" s="8" t="s">
        <v>223</v>
      </c>
      <c r="B92" s="8">
        <v>1140</v>
      </c>
      <c r="C92" t="s">
        <v>224</v>
      </c>
      <c r="D92" s="5">
        <v>1029</v>
      </c>
    </row>
    <row r="93" spans="1:4" x14ac:dyDescent="0.25">
      <c r="A93" s="8" t="s">
        <v>225</v>
      </c>
      <c r="B93" s="8">
        <v>1143</v>
      </c>
      <c r="C93" t="s">
        <v>226</v>
      </c>
      <c r="D93" s="5">
        <v>0</v>
      </c>
    </row>
    <row r="94" spans="1:4" x14ac:dyDescent="0.25">
      <c r="A94" s="8" t="s">
        <v>227</v>
      </c>
      <c r="B94" s="8">
        <v>1148</v>
      </c>
      <c r="C94" t="s">
        <v>228</v>
      </c>
      <c r="D94" s="5">
        <v>280.39999999999998</v>
      </c>
    </row>
    <row r="95" spans="1:4" x14ac:dyDescent="0.25">
      <c r="A95" s="8" t="s">
        <v>229</v>
      </c>
      <c r="B95" s="8">
        <v>1149</v>
      </c>
      <c r="C95" t="s">
        <v>230</v>
      </c>
      <c r="D95" s="5">
        <v>54.2</v>
      </c>
    </row>
    <row r="96" spans="1:4" x14ac:dyDescent="0.25">
      <c r="A96" s="8" t="s">
        <v>231</v>
      </c>
      <c r="B96" s="8">
        <v>1150</v>
      </c>
      <c r="C96" t="s">
        <v>232</v>
      </c>
      <c r="D96" s="5">
        <v>2672.6</v>
      </c>
    </row>
    <row r="97" spans="1:4" x14ac:dyDescent="0.25">
      <c r="A97" s="8" t="s">
        <v>233</v>
      </c>
      <c r="B97" s="8">
        <v>1152</v>
      </c>
      <c r="C97" t="s">
        <v>234</v>
      </c>
      <c r="D97" s="5">
        <v>0</v>
      </c>
    </row>
    <row r="98" spans="1:4" x14ac:dyDescent="0.25">
      <c r="A98" s="8" t="s">
        <v>235</v>
      </c>
      <c r="B98" s="8">
        <v>1153</v>
      </c>
      <c r="C98" t="s">
        <v>236</v>
      </c>
      <c r="D98" s="5">
        <v>144.4</v>
      </c>
    </row>
    <row r="99" spans="1:4" x14ac:dyDescent="0.25">
      <c r="A99" s="8" t="s">
        <v>237</v>
      </c>
      <c r="B99" s="8">
        <v>1154</v>
      </c>
      <c r="C99" t="s">
        <v>238</v>
      </c>
      <c r="D99" s="5">
        <v>5.7</v>
      </c>
    </row>
    <row r="100" spans="1:4" x14ac:dyDescent="0.25">
      <c r="A100" s="8" t="s">
        <v>239</v>
      </c>
      <c r="B100" s="8">
        <v>1155</v>
      </c>
      <c r="C100" t="s">
        <v>240</v>
      </c>
      <c r="D100" s="5">
        <v>212</v>
      </c>
    </row>
    <row r="101" spans="1:4" x14ac:dyDescent="0.25">
      <c r="A101" s="8" t="s">
        <v>241</v>
      </c>
      <c r="B101" s="8">
        <v>1156</v>
      </c>
      <c r="C101" t="s">
        <v>242</v>
      </c>
      <c r="D101" s="5">
        <v>152.19999999999999</v>
      </c>
    </row>
    <row r="102" spans="1:4" x14ac:dyDescent="0.25">
      <c r="A102" s="8" t="s">
        <v>243</v>
      </c>
      <c r="B102" s="8">
        <v>1157</v>
      </c>
      <c r="C102" t="s">
        <v>244</v>
      </c>
      <c r="D102" s="5">
        <v>0</v>
      </c>
    </row>
    <row r="103" spans="1:4" x14ac:dyDescent="0.25">
      <c r="A103" s="8" t="s">
        <v>245</v>
      </c>
      <c r="B103" s="8">
        <v>1158</v>
      </c>
      <c r="C103" t="s">
        <v>246</v>
      </c>
      <c r="D103" s="5">
        <v>0</v>
      </c>
    </row>
    <row r="104" spans="1:4" x14ac:dyDescent="0.25">
      <c r="A104" s="8" t="s">
        <v>247</v>
      </c>
      <c r="B104" s="8">
        <v>1159</v>
      </c>
      <c r="C104" t="s">
        <v>248</v>
      </c>
      <c r="D104" s="5">
        <v>0</v>
      </c>
    </row>
    <row r="105" spans="1:4" x14ac:dyDescent="0.25">
      <c r="A105" s="8" t="s">
        <v>249</v>
      </c>
      <c r="B105" s="8">
        <v>1161</v>
      </c>
      <c r="C105" t="s">
        <v>250</v>
      </c>
      <c r="D105" s="5">
        <v>0</v>
      </c>
    </row>
    <row r="106" spans="1:4" x14ac:dyDescent="0.25">
      <c r="A106" s="8" t="s">
        <v>251</v>
      </c>
      <c r="B106" s="8">
        <v>1162</v>
      </c>
      <c r="C106" t="s">
        <v>252</v>
      </c>
      <c r="D106" s="5">
        <v>0.3</v>
      </c>
    </row>
    <row r="107" spans="1:4" x14ac:dyDescent="0.25">
      <c r="A107" s="8" t="s">
        <v>253</v>
      </c>
      <c r="B107" s="8">
        <v>1164</v>
      </c>
      <c r="C107" t="s">
        <v>254</v>
      </c>
      <c r="D107" s="5">
        <v>519.29999999999995</v>
      </c>
    </row>
    <row r="108" spans="1:4" x14ac:dyDescent="0.25">
      <c r="A108" s="8" t="s">
        <v>255</v>
      </c>
      <c r="B108" s="8">
        <v>1166</v>
      </c>
      <c r="C108" t="s">
        <v>256</v>
      </c>
      <c r="D108" s="5">
        <v>650.20000000000005</v>
      </c>
    </row>
    <row r="109" spans="1:4" x14ac:dyDescent="0.25">
      <c r="A109" s="8" t="s">
        <v>257</v>
      </c>
      <c r="B109" s="8">
        <v>1167</v>
      </c>
      <c r="C109" t="s">
        <v>258</v>
      </c>
      <c r="D109" s="5">
        <v>20.6</v>
      </c>
    </row>
    <row r="110" spans="1:4" x14ac:dyDescent="0.25">
      <c r="A110" s="8" t="s">
        <v>259</v>
      </c>
      <c r="B110" s="8">
        <v>1168</v>
      </c>
      <c r="C110" t="s">
        <v>260</v>
      </c>
      <c r="D110" s="5">
        <v>397.4</v>
      </c>
    </row>
    <row r="111" spans="1:4" x14ac:dyDescent="0.25">
      <c r="A111" s="8" t="s">
        <v>261</v>
      </c>
      <c r="B111" s="8">
        <v>1169</v>
      </c>
      <c r="C111" t="s">
        <v>262</v>
      </c>
      <c r="D111" s="5">
        <v>823.9</v>
      </c>
    </row>
    <row r="112" spans="1:4" x14ac:dyDescent="0.25">
      <c r="A112" s="8" t="s">
        <v>263</v>
      </c>
      <c r="B112" s="8">
        <v>1173</v>
      </c>
      <c r="C112" t="s">
        <v>264</v>
      </c>
      <c r="D112" s="5">
        <v>0</v>
      </c>
    </row>
    <row r="113" spans="1:4" x14ac:dyDescent="0.25">
      <c r="A113" s="8" t="s">
        <v>265</v>
      </c>
      <c r="B113" s="8">
        <v>1174</v>
      </c>
      <c r="C113" t="s">
        <v>266</v>
      </c>
      <c r="D113" s="5">
        <v>2110.3000000000002</v>
      </c>
    </row>
    <row r="114" spans="1:4" x14ac:dyDescent="0.25">
      <c r="A114" s="8" t="s">
        <v>267</v>
      </c>
      <c r="B114" s="8">
        <v>1175</v>
      </c>
      <c r="C114" t="s">
        <v>268</v>
      </c>
      <c r="D114" s="5">
        <v>0</v>
      </c>
    </row>
    <row r="115" spans="1:4" x14ac:dyDescent="0.25">
      <c r="A115" s="8" t="s">
        <v>269</v>
      </c>
      <c r="B115" s="8">
        <v>1177</v>
      </c>
      <c r="C115" t="s">
        <v>270</v>
      </c>
      <c r="D115" s="5">
        <v>5.9</v>
      </c>
    </row>
    <row r="116" spans="1:4" x14ac:dyDescent="0.25">
      <c r="A116" s="8" t="s">
        <v>271</v>
      </c>
      <c r="B116" s="8">
        <v>1179</v>
      </c>
      <c r="C116" t="s">
        <v>272</v>
      </c>
      <c r="D116" s="5">
        <v>0.5</v>
      </c>
    </row>
    <row r="117" spans="1:4" x14ac:dyDescent="0.25">
      <c r="A117" s="8" t="s">
        <v>273</v>
      </c>
      <c r="B117" s="8">
        <v>1180</v>
      </c>
      <c r="C117" t="s">
        <v>274</v>
      </c>
      <c r="D117" s="5">
        <v>1614.1</v>
      </c>
    </row>
    <row r="118" spans="1:4" x14ac:dyDescent="0.25">
      <c r="A118" s="8" t="s">
        <v>275</v>
      </c>
      <c r="B118" s="8">
        <v>1181</v>
      </c>
      <c r="C118" t="s">
        <v>276</v>
      </c>
      <c r="D118" s="5">
        <v>797.3</v>
      </c>
    </row>
    <row r="119" spans="1:4" x14ac:dyDescent="0.25">
      <c r="A119" s="8" t="s">
        <v>277</v>
      </c>
      <c r="B119" s="8">
        <v>1182</v>
      </c>
      <c r="C119" t="s">
        <v>278</v>
      </c>
      <c r="D119" s="5">
        <v>151.5</v>
      </c>
    </row>
    <row r="120" spans="1:4" x14ac:dyDescent="0.25">
      <c r="A120" s="8" t="s">
        <v>279</v>
      </c>
      <c r="B120" s="8">
        <v>1183</v>
      </c>
      <c r="C120" t="s">
        <v>280</v>
      </c>
      <c r="D120" s="5">
        <v>275.10000000000002</v>
      </c>
    </row>
    <row r="121" spans="1:4" x14ac:dyDescent="0.25">
      <c r="A121" s="8" t="s">
        <v>281</v>
      </c>
      <c r="B121" s="8">
        <v>1187</v>
      </c>
      <c r="C121" t="s">
        <v>282</v>
      </c>
      <c r="D121" s="5">
        <v>152.19999999999999</v>
      </c>
    </row>
    <row r="122" spans="1:4" x14ac:dyDescent="0.25">
      <c r="A122" s="8" t="s">
        <v>283</v>
      </c>
      <c r="B122" s="8">
        <v>1190</v>
      </c>
      <c r="C122" t="s">
        <v>284</v>
      </c>
      <c r="D122" s="5">
        <v>0</v>
      </c>
    </row>
    <row r="123" spans="1:4" x14ac:dyDescent="0.25">
      <c r="A123" s="8" t="s">
        <v>285</v>
      </c>
      <c r="B123" s="8">
        <v>1192</v>
      </c>
      <c r="C123" t="s">
        <v>286</v>
      </c>
      <c r="D123" s="5">
        <v>0</v>
      </c>
    </row>
    <row r="124" spans="1:4" x14ac:dyDescent="0.25">
      <c r="A124" s="8" t="s">
        <v>287</v>
      </c>
      <c r="B124" s="8">
        <v>1196</v>
      </c>
      <c r="C124" t="s">
        <v>288</v>
      </c>
      <c r="D124" s="5">
        <v>0</v>
      </c>
    </row>
    <row r="125" spans="1:4" x14ac:dyDescent="0.25">
      <c r="A125" s="8" t="s">
        <v>289</v>
      </c>
      <c r="B125" s="8">
        <v>1197</v>
      </c>
      <c r="C125" t="s">
        <v>290</v>
      </c>
      <c r="D125" s="5">
        <v>73.400000000000006</v>
      </c>
    </row>
    <row r="126" spans="1:4" x14ac:dyDescent="0.25">
      <c r="A126" s="8" t="s">
        <v>291</v>
      </c>
      <c r="B126" s="8">
        <v>1200</v>
      </c>
      <c r="C126" t="s">
        <v>292</v>
      </c>
      <c r="D126" s="5">
        <v>154.69999999999999</v>
      </c>
    </row>
    <row r="127" spans="1:4" x14ac:dyDescent="0.25">
      <c r="A127" s="8" t="s">
        <v>293</v>
      </c>
      <c r="B127" s="8">
        <v>1201</v>
      </c>
      <c r="C127" t="s">
        <v>294</v>
      </c>
      <c r="D127" s="5">
        <v>0</v>
      </c>
    </row>
    <row r="128" spans="1:4" x14ac:dyDescent="0.25">
      <c r="A128" s="8" t="s">
        <v>295</v>
      </c>
      <c r="B128" s="8">
        <v>1202</v>
      </c>
      <c r="C128" t="s">
        <v>296</v>
      </c>
      <c r="D128" s="5">
        <v>0</v>
      </c>
    </row>
    <row r="129" spans="1:4" x14ac:dyDescent="0.25">
      <c r="A129" s="8" t="s">
        <v>297</v>
      </c>
      <c r="B129" s="8">
        <v>1203</v>
      </c>
      <c r="C129" t="s">
        <v>298</v>
      </c>
      <c r="D129" s="5">
        <v>13.6</v>
      </c>
    </row>
    <row r="130" spans="1:4" x14ac:dyDescent="0.25">
      <c r="A130" s="8" t="s">
        <v>299</v>
      </c>
      <c r="B130" s="8">
        <v>1204</v>
      </c>
      <c r="C130" t="s">
        <v>300</v>
      </c>
      <c r="D130" s="5">
        <v>73.5</v>
      </c>
    </row>
    <row r="131" spans="1:4" x14ac:dyDescent="0.25">
      <c r="A131" s="8" t="s">
        <v>301</v>
      </c>
      <c r="B131" s="8">
        <v>1205</v>
      </c>
      <c r="C131" t="s">
        <v>302</v>
      </c>
      <c r="D131" s="5">
        <v>24.5</v>
      </c>
    </row>
    <row r="132" spans="1:4" x14ac:dyDescent="0.25">
      <c r="A132" s="8" t="s">
        <v>303</v>
      </c>
      <c r="B132" s="8">
        <v>1206</v>
      </c>
      <c r="C132" t="s">
        <v>304</v>
      </c>
      <c r="D132" s="5">
        <v>21.8</v>
      </c>
    </row>
    <row r="133" spans="1:4" x14ac:dyDescent="0.25">
      <c r="A133" s="8" t="s">
        <v>305</v>
      </c>
      <c r="B133" s="8">
        <v>1207</v>
      </c>
      <c r="C133" t="s">
        <v>306</v>
      </c>
      <c r="D133" s="5">
        <v>20.7</v>
      </c>
    </row>
    <row r="134" spans="1:4" x14ac:dyDescent="0.25">
      <c r="A134" s="8" t="s">
        <v>307</v>
      </c>
      <c r="B134" s="8">
        <v>1208</v>
      </c>
      <c r="C134" t="s">
        <v>308</v>
      </c>
      <c r="D134" s="5">
        <v>0</v>
      </c>
    </row>
    <row r="135" spans="1:4" x14ac:dyDescent="0.25">
      <c r="A135" s="8" t="s">
        <v>309</v>
      </c>
      <c r="B135" s="8">
        <v>1209</v>
      </c>
      <c r="C135" t="s">
        <v>310</v>
      </c>
      <c r="D135" s="5">
        <v>129.80000000000001</v>
      </c>
    </row>
    <row r="136" spans="1:4" x14ac:dyDescent="0.25">
      <c r="A136" s="8" t="s">
        <v>311</v>
      </c>
      <c r="B136" s="8">
        <v>1210</v>
      </c>
      <c r="C136" t="s">
        <v>312</v>
      </c>
      <c r="D136" s="5">
        <v>0</v>
      </c>
    </row>
    <row r="137" spans="1:4" x14ac:dyDescent="0.25">
      <c r="A137" s="8" t="s">
        <v>313</v>
      </c>
      <c r="B137" s="8">
        <v>1211</v>
      </c>
      <c r="C137" t="s">
        <v>314</v>
      </c>
      <c r="D137" s="5">
        <v>0</v>
      </c>
    </row>
    <row r="138" spans="1:4" x14ac:dyDescent="0.25">
      <c r="A138" s="8" t="s">
        <v>315</v>
      </c>
      <c r="B138" s="8">
        <v>1212</v>
      </c>
      <c r="C138" t="s">
        <v>316</v>
      </c>
      <c r="D138" s="5">
        <v>157.6</v>
      </c>
    </row>
    <row r="139" spans="1:4" x14ac:dyDescent="0.25">
      <c r="A139" s="8" t="s">
        <v>1839</v>
      </c>
      <c r="B139" s="8">
        <v>1213</v>
      </c>
      <c r="C139" t="s">
        <v>1840</v>
      </c>
      <c r="D139" s="5">
        <v>11.7</v>
      </c>
    </row>
    <row r="140" spans="1:4" x14ac:dyDescent="0.25">
      <c r="A140" s="8" t="s">
        <v>1572</v>
      </c>
      <c r="B140" s="8">
        <v>1214</v>
      </c>
      <c r="C140" t="s">
        <v>1841</v>
      </c>
      <c r="D140" s="5">
        <v>0</v>
      </c>
    </row>
    <row r="141" spans="1:4" x14ac:dyDescent="0.25">
      <c r="A141" s="8" t="s">
        <v>1574</v>
      </c>
      <c r="B141" s="8">
        <v>1215</v>
      </c>
      <c r="C141" t="s">
        <v>1842</v>
      </c>
      <c r="D141" s="5">
        <v>0</v>
      </c>
    </row>
    <row r="142" spans="1:4" x14ac:dyDescent="0.25">
      <c r="A142" s="8" t="s">
        <v>1576</v>
      </c>
      <c r="B142" s="8">
        <v>1216</v>
      </c>
      <c r="C142" t="s">
        <v>1843</v>
      </c>
      <c r="D142" s="5">
        <v>4</v>
      </c>
    </row>
    <row r="143" spans="1:4" x14ac:dyDescent="0.25">
      <c r="A143" s="8" t="s">
        <v>1578</v>
      </c>
      <c r="B143" s="8">
        <v>1217</v>
      </c>
      <c r="C143" t="s">
        <v>1844</v>
      </c>
      <c r="D143" s="5">
        <v>0</v>
      </c>
    </row>
    <row r="144" spans="1:4" x14ac:dyDescent="0.25">
      <c r="A144" s="8" t="s">
        <v>1592</v>
      </c>
      <c r="B144" s="8">
        <v>1218</v>
      </c>
      <c r="C144" t="s">
        <v>1845</v>
      </c>
      <c r="D144" s="5">
        <v>3</v>
      </c>
    </row>
    <row r="145" spans="1:4" x14ac:dyDescent="0.25">
      <c r="A145" s="8" t="s">
        <v>736</v>
      </c>
      <c r="B145" s="8">
        <v>1219</v>
      </c>
      <c r="C145" t="s">
        <v>1846</v>
      </c>
      <c r="D145" s="5">
        <v>29.5</v>
      </c>
    </row>
    <row r="146" spans="1:4" x14ac:dyDescent="0.25">
      <c r="A146" s="8" t="s">
        <v>996</v>
      </c>
      <c r="B146" s="8">
        <v>1221</v>
      </c>
      <c r="C146" t="s">
        <v>1847</v>
      </c>
      <c r="D146" s="5">
        <v>492.1</v>
      </c>
    </row>
    <row r="147" spans="1:4" x14ac:dyDescent="0.25">
      <c r="A147" s="8" t="s">
        <v>1755</v>
      </c>
      <c r="B147" s="8">
        <v>1222</v>
      </c>
      <c r="C147" t="s">
        <v>1848</v>
      </c>
      <c r="D147" s="5">
        <v>219.8</v>
      </c>
    </row>
    <row r="148" spans="1:4" x14ac:dyDescent="0.25">
      <c r="A148" s="8" t="s">
        <v>1580</v>
      </c>
      <c r="B148" s="8">
        <v>1225</v>
      </c>
      <c r="C148" t="s">
        <v>1849</v>
      </c>
      <c r="D148" s="5">
        <v>0</v>
      </c>
    </row>
    <row r="149" spans="1:4" x14ac:dyDescent="0.25">
      <c r="A149" s="8" t="s">
        <v>1583</v>
      </c>
      <c r="B149" s="8">
        <v>1229</v>
      </c>
      <c r="C149" t="s">
        <v>1850</v>
      </c>
      <c r="D149" s="5">
        <v>0</v>
      </c>
    </row>
    <row r="150" spans="1:4" x14ac:dyDescent="0.25">
      <c r="A150" s="8" t="s">
        <v>401</v>
      </c>
      <c r="B150" s="8">
        <v>1230</v>
      </c>
      <c r="C150" t="s">
        <v>1851</v>
      </c>
      <c r="D150" s="5">
        <v>868.6</v>
      </c>
    </row>
    <row r="151" spans="1:4" x14ac:dyDescent="0.25">
      <c r="A151" s="8" t="s">
        <v>1535</v>
      </c>
      <c r="B151" s="8">
        <v>1232</v>
      </c>
      <c r="C151" t="s">
        <v>1852</v>
      </c>
      <c r="D151" s="5">
        <v>4.2</v>
      </c>
    </row>
    <row r="152" spans="1:4" x14ac:dyDescent="0.25">
      <c r="A152" s="8" t="s">
        <v>1760</v>
      </c>
      <c r="B152" s="8">
        <v>1233</v>
      </c>
      <c r="C152" t="s">
        <v>1853</v>
      </c>
      <c r="D152" s="5">
        <v>311.60000000000002</v>
      </c>
    </row>
    <row r="153" spans="1:4" x14ac:dyDescent="0.25">
      <c r="A153" s="8" t="s">
        <v>1015</v>
      </c>
      <c r="B153" s="8">
        <v>1234</v>
      </c>
      <c r="C153" t="s">
        <v>1854</v>
      </c>
      <c r="D153" s="5">
        <v>465.5</v>
      </c>
    </row>
    <row r="154" spans="1:4" x14ac:dyDescent="0.25">
      <c r="A154" s="8" t="s">
        <v>542</v>
      </c>
      <c r="B154" s="8">
        <v>1236</v>
      </c>
      <c r="C154" t="s">
        <v>1855</v>
      </c>
      <c r="D154" s="5">
        <v>192.8</v>
      </c>
    </row>
    <row r="155" spans="1:4" x14ac:dyDescent="0.25">
      <c r="A155" s="8" t="s">
        <v>1856</v>
      </c>
      <c r="B155" s="8">
        <v>1237</v>
      </c>
      <c r="C155" t="s">
        <v>1857</v>
      </c>
      <c r="D155" s="5">
        <v>0</v>
      </c>
    </row>
    <row r="156" spans="1:4" x14ac:dyDescent="0.25">
      <c r="A156" s="8" t="s">
        <v>1013</v>
      </c>
      <c r="B156" s="8">
        <v>1238</v>
      </c>
      <c r="C156" t="s">
        <v>1858</v>
      </c>
      <c r="D156" s="5">
        <v>378.5</v>
      </c>
    </row>
    <row r="157" spans="1:4" x14ac:dyDescent="0.25">
      <c r="A157" s="8" t="s">
        <v>1763</v>
      </c>
      <c r="B157" s="8">
        <v>1240</v>
      </c>
      <c r="C157" t="s">
        <v>1859</v>
      </c>
      <c r="D157" s="5">
        <v>862.2</v>
      </c>
    </row>
    <row r="158" spans="1:4" x14ac:dyDescent="0.25">
      <c r="A158" s="8" t="s">
        <v>1640</v>
      </c>
      <c r="B158" s="8">
        <v>1242</v>
      </c>
      <c r="C158" t="s">
        <v>1860</v>
      </c>
      <c r="D158" s="5">
        <v>24.1</v>
      </c>
    </row>
    <row r="159" spans="1:4" x14ac:dyDescent="0.25">
      <c r="A159" s="8" t="s">
        <v>1826</v>
      </c>
      <c r="B159" s="8">
        <v>1243</v>
      </c>
      <c r="C159" t="s">
        <v>1861</v>
      </c>
      <c r="D159" s="5">
        <v>0</v>
      </c>
    </row>
    <row r="160" spans="1:4" x14ac:dyDescent="0.25">
      <c r="A160" s="8" t="s">
        <v>538</v>
      </c>
      <c r="B160" s="8">
        <v>1244</v>
      </c>
      <c r="C160" t="s">
        <v>1862</v>
      </c>
      <c r="D160" s="5">
        <v>3.7</v>
      </c>
    </row>
    <row r="161" spans="1:4" x14ac:dyDescent="0.25">
      <c r="A161" s="8" t="s">
        <v>1140</v>
      </c>
      <c r="B161" s="8">
        <v>1245</v>
      </c>
      <c r="C161" t="s">
        <v>1863</v>
      </c>
      <c r="D161" s="5">
        <v>958.49999999999943</v>
      </c>
    </row>
    <row r="162" spans="1:4" x14ac:dyDescent="0.25">
      <c r="A162" s="8" t="s">
        <v>1428</v>
      </c>
      <c r="B162" s="8">
        <v>1247</v>
      </c>
      <c r="C162" t="s">
        <v>1864</v>
      </c>
      <c r="D162" s="5">
        <v>0</v>
      </c>
    </row>
    <row r="163" spans="1:4" x14ac:dyDescent="0.25">
      <c r="A163" s="8" t="s">
        <v>999</v>
      </c>
      <c r="B163" s="8">
        <v>1248</v>
      </c>
      <c r="C163" t="s">
        <v>1865</v>
      </c>
      <c r="D163" s="5">
        <v>285</v>
      </c>
    </row>
    <row r="164" spans="1:4" x14ac:dyDescent="0.25">
      <c r="A164" s="8" t="s">
        <v>1768</v>
      </c>
      <c r="B164" s="8">
        <v>1249</v>
      </c>
      <c r="C164" t="s">
        <v>1866</v>
      </c>
      <c r="D164" s="5">
        <v>128.19999999999999</v>
      </c>
    </row>
    <row r="165" spans="1:4" x14ac:dyDescent="0.25">
      <c r="A165" s="8" t="s">
        <v>1539</v>
      </c>
      <c r="B165" s="8">
        <v>1250</v>
      </c>
      <c r="C165" t="s">
        <v>1867</v>
      </c>
      <c r="D165" s="5">
        <v>0</v>
      </c>
    </row>
    <row r="166" spans="1:4" x14ac:dyDescent="0.25">
      <c r="A166" s="8" t="s">
        <v>546</v>
      </c>
      <c r="B166" s="8">
        <v>1251</v>
      </c>
      <c r="C166" t="s">
        <v>1868</v>
      </c>
      <c r="D166" s="5">
        <v>111.2</v>
      </c>
    </row>
    <row r="167" spans="1:4" x14ac:dyDescent="0.25">
      <c r="A167" s="8" t="s">
        <v>1541</v>
      </c>
      <c r="B167" s="8">
        <v>1252</v>
      </c>
      <c r="C167" t="s">
        <v>1869</v>
      </c>
      <c r="D167" s="5">
        <v>0</v>
      </c>
    </row>
    <row r="168" spans="1:4" x14ac:dyDescent="0.25">
      <c r="A168" s="8" t="s">
        <v>1774</v>
      </c>
      <c r="B168" s="8">
        <v>1253</v>
      </c>
      <c r="C168" t="s">
        <v>1870</v>
      </c>
      <c r="D168" s="5">
        <v>999</v>
      </c>
    </row>
    <row r="169" spans="1:4" x14ac:dyDescent="0.25">
      <c r="A169" s="8" t="s">
        <v>1287</v>
      </c>
      <c r="B169" s="8">
        <v>1255</v>
      </c>
      <c r="C169" t="s">
        <v>1871</v>
      </c>
      <c r="D169" s="5">
        <v>827.09999999999945</v>
      </c>
    </row>
    <row r="170" spans="1:4" x14ac:dyDescent="0.25">
      <c r="A170" s="8" t="s">
        <v>1644</v>
      </c>
      <c r="B170" s="8">
        <v>1256</v>
      </c>
      <c r="C170" t="s">
        <v>1872</v>
      </c>
      <c r="D170" s="5">
        <v>0</v>
      </c>
    </row>
    <row r="171" spans="1:4" x14ac:dyDescent="0.25">
      <c r="A171" s="8" t="s">
        <v>1646</v>
      </c>
      <c r="B171" s="8">
        <v>1257</v>
      </c>
      <c r="C171" t="s">
        <v>1873</v>
      </c>
      <c r="D171" s="5">
        <v>0</v>
      </c>
    </row>
    <row r="172" spans="1:4" x14ac:dyDescent="0.25">
      <c r="A172" s="8" t="s">
        <v>1543</v>
      </c>
      <c r="B172" s="8">
        <v>1260</v>
      </c>
      <c r="C172" t="s">
        <v>1874</v>
      </c>
      <c r="D172" s="5">
        <v>0</v>
      </c>
    </row>
    <row r="173" spans="1:4" x14ac:dyDescent="0.25">
      <c r="A173" s="8" t="s">
        <v>1780</v>
      </c>
      <c r="B173" s="8">
        <v>1261</v>
      </c>
      <c r="C173" t="s">
        <v>1875</v>
      </c>
      <c r="D173" s="5">
        <v>0</v>
      </c>
    </row>
    <row r="174" spans="1:4" x14ac:dyDescent="0.25">
      <c r="A174" s="8" t="s">
        <v>1124</v>
      </c>
      <c r="B174" s="8">
        <v>1265</v>
      </c>
      <c r="C174" t="s">
        <v>1876</v>
      </c>
      <c r="D174" s="5">
        <v>0</v>
      </c>
    </row>
    <row r="175" spans="1:4" x14ac:dyDescent="0.25">
      <c r="A175" s="8" t="s">
        <v>1545</v>
      </c>
      <c r="B175" s="8">
        <v>1266</v>
      </c>
      <c r="C175" t="s">
        <v>1877</v>
      </c>
      <c r="D175" s="5">
        <v>4.8</v>
      </c>
    </row>
    <row r="176" spans="1:4" x14ac:dyDescent="0.25">
      <c r="A176" s="8" t="s">
        <v>1547</v>
      </c>
      <c r="B176" s="8">
        <v>1268</v>
      </c>
      <c r="C176" t="s">
        <v>1878</v>
      </c>
      <c r="D176" s="5">
        <v>0</v>
      </c>
    </row>
    <row r="177" spans="1:4" x14ac:dyDescent="0.25">
      <c r="A177" s="8" t="s">
        <v>704</v>
      </c>
      <c r="B177" s="8">
        <v>1269</v>
      </c>
      <c r="C177" t="s">
        <v>1879</v>
      </c>
      <c r="D177" s="5">
        <v>62.7</v>
      </c>
    </row>
    <row r="178" spans="1:4" x14ac:dyDescent="0.25">
      <c r="A178" s="8" t="s">
        <v>1782</v>
      </c>
      <c r="B178" s="8">
        <v>1271</v>
      </c>
      <c r="C178" t="s">
        <v>1880</v>
      </c>
      <c r="D178" s="5">
        <v>1510</v>
      </c>
    </row>
    <row r="179" spans="1:4" x14ac:dyDescent="0.25">
      <c r="A179" s="8" t="s">
        <v>1787</v>
      </c>
      <c r="B179" s="8">
        <v>1272</v>
      </c>
      <c r="C179" t="s">
        <v>1881</v>
      </c>
      <c r="D179" s="5">
        <v>73.3</v>
      </c>
    </row>
    <row r="180" spans="1:4" x14ac:dyDescent="0.25">
      <c r="A180" s="8" t="s">
        <v>1549</v>
      </c>
      <c r="B180" s="8">
        <v>1277</v>
      </c>
      <c r="C180" t="s">
        <v>1882</v>
      </c>
      <c r="D180" s="5">
        <v>15.3</v>
      </c>
    </row>
    <row r="181" spans="1:4" x14ac:dyDescent="0.25">
      <c r="A181" s="8" t="s">
        <v>1648</v>
      </c>
      <c r="B181" s="8">
        <v>1301</v>
      </c>
      <c r="C181" t="s">
        <v>1883</v>
      </c>
      <c r="D181" s="5">
        <v>29.6</v>
      </c>
    </row>
    <row r="182" spans="1:4" x14ac:dyDescent="0.25">
      <c r="A182" s="8" t="s">
        <v>1653</v>
      </c>
      <c r="B182" s="8">
        <v>1303</v>
      </c>
      <c r="C182" t="s">
        <v>1884</v>
      </c>
      <c r="D182" s="5">
        <v>0</v>
      </c>
    </row>
    <row r="183" spans="1:4" x14ac:dyDescent="0.25">
      <c r="A183" s="8" t="s">
        <v>1655</v>
      </c>
      <c r="B183" s="8">
        <v>1304</v>
      </c>
      <c r="C183" t="s">
        <v>1885</v>
      </c>
      <c r="D183" s="5">
        <v>0</v>
      </c>
    </row>
    <row r="184" spans="1:4" x14ac:dyDescent="0.25">
      <c r="A184" s="8" t="s">
        <v>1657</v>
      </c>
      <c r="B184" s="8">
        <v>1306</v>
      </c>
      <c r="C184" t="s">
        <v>1886</v>
      </c>
      <c r="D184" s="5">
        <v>0</v>
      </c>
    </row>
    <row r="185" spans="1:4" x14ac:dyDescent="0.25">
      <c r="A185" s="8" t="s">
        <v>1659</v>
      </c>
      <c r="B185" s="8">
        <v>1308</v>
      </c>
      <c r="C185" t="s">
        <v>1887</v>
      </c>
      <c r="D185" s="5">
        <v>0</v>
      </c>
    </row>
    <row r="186" spans="1:4" x14ac:dyDescent="0.25">
      <c r="A186" s="8" t="s">
        <v>1661</v>
      </c>
      <c r="B186" s="8">
        <v>1311</v>
      </c>
      <c r="C186" t="s">
        <v>1888</v>
      </c>
      <c r="D186" s="5">
        <v>0</v>
      </c>
    </row>
    <row r="187" spans="1:4" x14ac:dyDescent="0.25">
      <c r="A187" s="8" t="s">
        <v>1664</v>
      </c>
      <c r="B187" s="8">
        <v>1312</v>
      </c>
      <c r="C187" t="s">
        <v>1889</v>
      </c>
      <c r="D187" s="5">
        <v>29.9</v>
      </c>
    </row>
    <row r="188" spans="1:4" x14ac:dyDescent="0.25">
      <c r="A188" s="8" t="s">
        <v>1290</v>
      </c>
      <c r="B188" s="8">
        <v>1316</v>
      </c>
      <c r="C188" t="s">
        <v>1890</v>
      </c>
      <c r="D188" s="5">
        <v>0</v>
      </c>
    </row>
    <row r="189" spans="1:4" x14ac:dyDescent="0.25">
      <c r="A189" s="8" t="s">
        <v>567</v>
      </c>
      <c r="B189" s="8">
        <v>1330</v>
      </c>
      <c r="C189" t="s">
        <v>1891</v>
      </c>
      <c r="D189" s="5">
        <v>52.5</v>
      </c>
    </row>
    <row r="190" spans="1:4" x14ac:dyDescent="0.25">
      <c r="A190" s="8" t="s">
        <v>571</v>
      </c>
      <c r="B190" s="8">
        <v>1331</v>
      </c>
      <c r="C190" t="s">
        <v>1892</v>
      </c>
      <c r="D190" s="5">
        <v>486.6</v>
      </c>
    </row>
    <row r="191" spans="1:4" x14ac:dyDescent="0.25">
      <c r="A191" s="8" t="s">
        <v>1816</v>
      </c>
      <c r="B191" s="8">
        <v>1342</v>
      </c>
      <c r="C191" t="s">
        <v>1893</v>
      </c>
      <c r="D191" s="5">
        <v>0</v>
      </c>
    </row>
    <row r="192" spans="1:4" x14ac:dyDescent="0.25">
      <c r="A192" s="8" t="s">
        <v>575</v>
      </c>
      <c r="B192" s="8">
        <v>1345</v>
      </c>
      <c r="C192" t="s">
        <v>1894</v>
      </c>
      <c r="D192" s="5">
        <v>636.9</v>
      </c>
    </row>
    <row r="193" spans="1:4" x14ac:dyDescent="0.25">
      <c r="A193" s="8" t="s">
        <v>578</v>
      </c>
      <c r="B193" s="8">
        <v>1346</v>
      </c>
      <c r="C193" t="s">
        <v>1895</v>
      </c>
      <c r="D193" s="5">
        <v>634.1</v>
      </c>
    </row>
    <row r="194" spans="1:4" x14ac:dyDescent="0.25">
      <c r="A194" s="8" t="s">
        <v>333</v>
      </c>
      <c r="B194" s="8">
        <v>1347</v>
      </c>
      <c r="C194" t="s">
        <v>1896</v>
      </c>
      <c r="D194" s="5">
        <v>439.7000000000005</v>
      </c>
    </row>
    <row r="195" spans="1:4" x14ac:dyDescent="0.25">
      <c r="A195" s="8" t="s">
        <v>336</v>
      </c>
      <c r="B195" s="8">
        <v>1348</v>
      </c>
      <c r="C195" t="s">
        <v>1897</v>
      </c>
      <c r="D195" s="5">
        <v>538.9</v>
      </c>
    </row>
    <row r="196" spans="1:4" x14ac:dyDescent="0.25">
      <c r="A196" s="8" t="s">
        <v>1667</v>
      </c>
      <c r="B196" s="8">
        <v>1355</v>
      </c>
      <c r="C196" t="s">
        <v>1898</v>
      </c>
      <c r="D196" s="5">
        <v>5.4</v>
      </c>
    </row>
    <row r="197" spans="1:4" x14ac:dyDescent="0.25">
      <c r="A197" s="8" t="s">
        <v>581</v>
      </c>
      <c r="B197" s="8">
        <v>1358</v>
      </c>
      <c r="C197" t="s">
        <v>1899</v>
      </c>
      <c r="D197" s="5">
        <v>2890.9</v>
      </c>
    </row>
    <row r="198" spans="1:4" x14ac:dyDescent="0.25">
      <c r="A198" s="8" t="s">
        <v>1104</v>
      </c>
      <c r="B198" s="8">
        <v>1372</v>
      </c>
      <c r="C198" t="s">
        <v>1900</v>
      </c>
      <c r="D198" s="5">
        <v>1442</v>
      </c>
    </row>
    <row r="199" spans="1:4" x14ac:dyDescent="0.25">
      <c r="A199" s="8" t="s">
        <v>583</v>
      </c>
      <c r="B199" s="8">
        <v>1373</v>
      </c>
      <c r="C199" t="s">
        <v>1901</v>
      </c>
      <c r="D199" s="5">
        <v>150.19999999999999</v>
      </c>
    </row>
    <row r="200" spans="1:4" x14ac:dyDescent="0.25">
      <c r="A200" s="8" t="s">
        <v>1303</v>
      </c>
      <c r="B200" s="8">
        <v>1600</v>
      </c>
      <c r="C200" t="s">
        <v>1902</v>
      </c>
      <c r="D200" s="5">
        <v>0</v>
      </c>
    </row>
    <row r="201" spans="1:4" x14ac:dyDescent="0.25">
      <c r="A201" s="8" t="s">
        <v>1752</v>
      </c>
      <c r="B201" s="8">
        <v>1661</v>
      </c>
      <c r="C201" t="s">
        <v>1903</v>
      </c>
      <c r="D201" s="5">
        <v>3.2</v>
      </c>
    </row>
    <row r="202" spans="1:4" x14ac:dyDescent="0.25">
      <c r="A202" s="8" t="s">
        <v>1117</v>
      </c>
      <c r="B202" s="8">
        <v>1915</v>
      </c>
      <c r="C202" t="s">
        <v>1904</v>
      </c>
      <c r="D202" s="5">
        <v>108.4</v>
      </c>
    </row>
    <row r="203" spans="1:4" x14ac:dyDescent="0.25">
      <c r="A203" s="8" t="s">
        <v>1798</v>
      </c>
      <c r="B203" s="8">
        <v>1921</v>
      </c>
      <c r="C203" t="s">
        <v>1905</v>
      </c>
      <c r="D203" s="5">
        <v>88.1</v>
      </c>
    </row>
    <row r="204" spans="1:4" x14ac:dyDescent="0.25">
      <c r="A204" s="8" t="s">
        <v>1207</v>
      </c>
      <c r="B204" s="8">
        <v>1941</v>
      </c>
      <c r="C204" t="s">
        <v>1906</v>
      </c>
      <c r="D204" s="5">
        <v>0</v>
      </c>
    </row>
    <row r="205" spans="1:4" x14ac:dyDescent="0.25">
      <c r="A205" s="8" t="s">
        <v>1907</v>
      </c>
      <c r="B205" s="8">
        <v>1952</v>
      </c>
      <c r="C205" t="s">
        <v>1908</v>
      </c>
      <c r="D205" s="5">
        <v>37.1</v>
      </c>
    </row>
    <row r="206" spans="1:4" x14ac:dyDescent="0.25">
      <c r="A206" s="8" t="s">
        <v>480</v>
      </c>
      <c r="B206" s="8">
        <v>2001</v>
      </c>
      <c r="C206" t="s">
        <v>479</v>
      </c>
      <c r="D206" s="5">
        <v>3270.727272727273</v>
      </c>
    </row>
    <row r="207" spans="1:4" x14ac:dyDescent="0.25">
      <c r="A207" s="8" t="s">
        <v>806</v>
      </c>
      <c r="B207" s="8">
        <v>2002</v>
      </c>
      <c r="C207" t="s">
        <v>805</v>
      </c>
      <c r="D207" s="5">
        <v>1756.0454545454545</v>
      </c>
    </row>
    <row r="208" spans="1:4" x14ac:dyDescent="0.25">
      <c r="A208" s="8" t="s">
        <v>796</v>
      </c>
      <c r="B208" s="8">
        <v>2003</v>
      </c>
      <c r="C208" t="s">
        <v>795</v>
      </c>
      <c r="D208" s="5">
        <v>1464.5</v>
      </c>
    </row>
    <row r="209" spans="1:4" x14ac:dyDescent="0.25">
      <c r="A209" s="8" t="s">
        <v>816</v>
      </c>
      <c r="B209" s="8">
        <v>2010</v>
      </c>
      <c r="C209" t="s">
        <v>815</v>
      </c>
      <c r="D209" s="5">
        <v>347.0454545454545</v>
      </c>
    </row>
    <row r="210" spans="1:4" x14ac:dyDescent="0.25">
      <c r="A210" s="8" t="s">
        <v>950</v>
      </c>
      <c r="B210" s="8">
        <v>2011</v>
      </c>
      <c r="C210" t="s">
        <v>949</v>
      </c>
      <c r="D210" s="5">
        <v>286.36363636363637</v>
      </c>
    </row>
    <row r="211" spans="1:4" x14ac:dyDescent="0.25">
      <c r="A211" s="8" t="s">
        <v>809</v>
      </c>
      <c r="B211" s="8">
        <v>2013</v>
      </c>
      <c r="C211" t="s">
        <v>808</v>
      </c>
      <c r="D211" s="5">
        <v>109.40909090909091</v>
      </c>
    </row>
    <row r="212" spans="1:4" x14ac:dyDescent="0.25">
      <c r="A212" s="8" t="s">
        <v>941</v>
      </c>
      <c r="B212" s="8">
        <v>2016</v>
      </c>
      <c r="C212" t="s">
        <v>940</v>
      </c>
      <c r="D212" s="5">
        <v>503.04545454545456</v>
      </c>
    </row>
    <row r="213" spans="1:4" x14ac:dyDescent="0.25">
      <c r="A213" s="8" t="s">
        <v>991</v>
      </c>
      <c r="B213" s="8">
        <v>2026</v>
      </c>
      <c r="C213" t="s">
        <v>990</v>
      </c>
      <c r="D213" s="5">
        <v>66.181818181818187</v>
      </c>
    </row>
    <row r="214" spans="1:4" x14ac:dyDescent="0.25">
      <c r="A214" s="8" t="s">
        <v>432</v>
      </c>
      <c r="B214" s="8">
        <v>2028</v>
      </c>
      <c r="C214" t="s">
        <v>431</v>
      </c>
      <c r="D214" s="5">
        <v>463.27272727272725</v>
      </c>
    </row>
    <row r="215" spans="1:4" x14ac:dyDescent="0.25">
      <c r="A215" s="8" t="s">
        <v>783</v>
      </c>
      <c r="B215" s="8">
        <v>2041</v>
      </c>
      <c r="C215" t="s">
        <v>782</v>
      </c>
      <c r="D215" s="5">
        <v>459.86363636363637</v>
      </c>
    </row>
    <row r="216" spans="1:4" x14ac:dyDescent="0.25">
      <c r="A216" s="8" t="s">
        <v>476</v>
      </c>
      <c r="B216" s="8">
        <v>2042</v>
      </c>
      <c r="C216" t="s">
        <v>475</v>
      </c>
      <c r="D216" s="5">
        <v>386.31818181818181</v>
      </c>
    </row>
    <row r="217" spans="1:4" x14ac:dyDescent="0.25">
      <c r="A217" s="8" t="s">
        <v>369</v>
      </c>
      <c r="B217" s="8">
        <v>2045</v>
      </c>
      <c r="C217" t="s">
        <v>368</v>
      </c>
      <c r="D217" s="5">
        <v>282.31818181818181</v>
      </c>
    </row>
    <row r="218" spans="1:4" x14ac:dyDescent="0.25">
      <c r="A218" s="8" t="s">
        <v>366</v>
      </c>
      <c r="B218" s="8">
        <v>2048</v>
      </c>
      <c r="C218" t="s">
        <v>365</v>
      </c>
      <c r="D218" s="5">
        <v>602.5454545454545</v>
      </c>
    </row>
    <row r="219" spans="1:4" x14ac:dyDescent="0.25">
      <c r="A219" s="8" t="s">
        <v>828</v>
      </c>
      <c r="B219" s="8">
        <v>2051</v>
      </c>
      <c r="C219" t="s">
        <v>827</v>
      </c>
      <c r="D219" s="5">
        <v>112.5</v>
      </c>
    </row>
    <row r="220" spans="1:4" x14ac:dyDescent="0.25">
      <c r="A220" s="8" t="s">
        <v>864</v>
      </c>
      <c r="B220" s="8">
        <v>2052</v>
      </c>
      <c r="C220" t="s">
        <v>1909</v>
      </c>
      <c r="D220" s="5">
        <v>513.86363636363637</v>
      </c>
    </row>
    <row r="221" spans="1:4" x14ac:dyDescent="0.25">
      <c r="A221" s="8" t="s">
        <v>472</v>
      </c>
      <c r="B221" s="8">
        <v>2053</v>
      </c>
      <c r="C221" t="s">
        <v>926</v>
      </c>
      <c r="D221" s="5">
        <v>732.4545454545455</v>
      </c>
    </row>
    <row r="222" spans="1:4" x14ac:dyDescent="0.25">
      <c r="A222" s="8" t="s">
        <v>360</v>
      </c>
      <c r="B222" s="8">
        <v>2054</v>
      </c>
      <c r="C222" t="s">
        <v>359</v>
      </c>
      <c r="D222" s="5">
        <v>330.13636363636363</v>
      </c>
    </row>
    <row r="223" spans="1:4" x14ac:dyDescent="0.25">
      <c r="A223" s="8" t="s">
        <v>356</v>
      </c>
      <c r="B223" s="8">
        <v>2055</v>
      </c>
      <c r="C223" t="s">
        <v>1910</v>
      </c>
      <c r="D223" s="5">
        <v>505.63636363636363</v>
      </c>
    </row>
    <row r="224" spans="1:4" x14ac:dyDescent="0.25">
      <c r="A224" s="8" t="s">
        <v>352</v>
      </c>
      <c r="B224" s="8">
        <v>2056</v>
      </c>
      <c r="C224" t="s">
        <v>351</v>
      </c>
      <c r="D224" s="5">
        <v>193.18181818181819</v>
      </c>
    </row>
    <row r="225" spans="1:4" x14ac:dyDescent="0.25">
      <c r="A225" s="8" t="s">
        <v>923</v>
      </c>
      <c r="B225" s="8">
        <v>2057</v>
      </c>
      <c r="C225" t="s">
        <v>922</v>
      </c>
      <c r="D225" s="5">
        <v>582.5454545454545</v>
      </c>
    </row>
    <row r="226" spans="1:4" x14ac:dyDescent="0.25">
      <c r="A226" s="8" t="s">
        <v>767</v>
      </c>
      <c r="B226" s="8">
        <v>2059</v>
      </c>
      <c r="C226" t="s">
        <v>766</v>
      </c>
      <c r="D226" s="5">
        <v>37.545454545454547</v>
      </c>
    </row>
    <row r="227" spans="1:4" x14ac:dyDescent="0.25">
      <c r="A227" s="8" t="s">
        <v>1327</v>
      </c>
      <c r="B227" s="8">
        <v>2060</v>
      </c>
      <c r="C227" t="s">
        <v>1911</v>
      </c>
      <c r="D227" s="5">
        <v>0</v>
      </c>
    </row>
    <row r="228" spans="1:4" x14ac:dyDescent="0.25">
      <c r="A228" s="8" t="s">
        <v>1323</v>
      </c>
      <c r="B228" s="8">
        <v>2061</v>
      </c>
      <c r="C228" t="s">
        <v>1912</v>
      </c>
      <c r="D228" s="5">
        <v>83.22727272727272</v>
      </c>
    </row>
    <row r="229" spans="1:4" x14ac:dyDescent="0.25">
      <c r="A229" s="8" t="s">
        <v>812</v>
      </c>
      <c r="B229" s="8">
        <v>2100</v>
      </c>
      <c r="C229" t="s">
        <v>811</v>
      </c>
      <c r="D229" s="5">
        <v>244.40909090909091</v>
      </c>
    </row>
    <row r="230" spans="1:4" x14ac:dyDescent="0.25">
      <c r="A230" s="8" t="s">
        <v>1405</v>
      </c>
      <c r="B230" s="8">
        <v>2102</v>
      </c>
      <c r="C230" t="s">
        <v>1404</v>
      </c>
      <c r="D230" s="5">
        <v>0</v>
      </c>
    </row>
    <row r="231" spans="1:4" x14ac:dyDescent="0.25">
      <c r="A231" s="8" t="s">
        <v>946</v>
      </c>
      <c r="B231" s="8">
        <v>2113</v>
      </c>
      <c r="C231" t="s">
        <v>945</v>
      </c>
      <c r="D231" s="5">
        <v>20.31818181818182</v>
      </c>
    </row>
    <row r="232" spans="1:4" x14ac:dyDescent="0.25">
      <c r="A232" s="8" t="s">
        <v>394</v>
      </c>
      <c r="B232" s="8">
        <v>2202</v>
      </c>
      <c r="C232" t="s">
        <v>393</v>
      </c>
      <c r="D232" s="5">
        <v>709.86363636363626</v>
      </c>
    </row>
    <row r="233" spans="1:4" x14ac:dyDescent="0.25">
      <c r="A233" s="8" t="s">
        <v>803</v>
      </c>
      <c r="B233" s="8">
        <v>2204</v>
      </c>
      <c r="C233" t="s">
        <v>1913</v>
      </c>
      <c r="D233" s="5">
        <v>922.18181818181813</v>
      </c>
    </row>
    <row r="234" spans="1:4" x14ac:dyDescent="0.25">
      <c r="A234" s="8" t="s">
        <v>390</v>
      </c>
      <c r="B234" s="8">
        <v>2206</v>
      </c>
      <c r="C234" t="s">
        <v>1914</v>
      </c>
      <c r="D234" s="5">
        <v>417.13636363636363</v>
      </c>
    </row>
    <row r="235" spans="1:4" x14ac:dyDescent="0.25">
      <c r="A235" s="8" t="s">
        <v>387</v>
      </c>
      <c r="B235" s="8">
        <v>2207</v>
      </c>
      <c r="C235" t="s">
        <v>386</v>
      </c>
      <c r="D235" s="5">
        <v>12.727272727272727</v>
      </c>
    </row>
    <row r="236" spans="1:4" x14ac:dyDescent="0.25">
      <c r="A236" s="8" t="s">
        <v>799</v>
      </c>
      <c r="B236" s="8">
        <v>2212</v>
      </c>
      <c r="C236" t="s">
        <v>798</v>
      </c>
      <c r="D236" s="5">
        <v>368.59090909090912</v>
      </c>
    </row>
    <row r="237" spans="1:4" x14ac:dyDescent="0.25">
      <c r="A237" s="8" t="s">
        <v>1009</v>
      </c>
      <c r="B237" s="8">
        <v>2214</v>
      </c>
      <c r="C237" t="s">
        <v>1008</v>
      </c>
      <c r="D237" s="5">
        <v>547.63636363636363</v>
      </c>
    </row>
    <row r="238" spans="1:4" x14ac:dyDescent="0.25">
      <c r="A238" s="8" t="s">
        <v>383</v>
      </c>
      <c r="B238" s="8">
        <v>2220</v>
      </c>
      <c r="C238" t="s">
        <v>382</v>
      </c>
      <c r="D238" s="5">
        <v>173.90909090909091</v>
      </c>
    </row>
    <row r="239" spans="1:4" x14ac:dyDescent="0.25">
      <c r="A239" s="8" t="s">
        <v>791</v>
      </c>
      <c r="B239" s="8">
        <v>2300</v>
      </c>
      <c r="C239" t="s">
        <v>790</v>
      </c>
      <c r="D239" s="5">
        <v>480.81818181818181</v>
      </c>
    </row>
    <row r="240" spans="1:4" x14ac:dyDescent="0.25">
      <c r="A240" s="8" t="s">
        <v>1390</v>
      </c>
      <c r="B240" s="8">
        <v>2402</v>
      </c>
      <c r="C240" t="s">
        <v>1389</v>
      </c>
      <c r="D240" s="5">
        <v>891.59090909090901</v>
      </c>
    </row>
    <row r="241" spans="1:4" x14ac:dyDescent="0.25">
      <c r="A241" s="8" t="s">
        <v>1468</v>
      </c>
      <c r="B241" s="8">
        <v>2406</v>
      </c>
      <c r="C241" t="s">
        <v>1467</v>
      </c>
      <c r="D241" s="5">
        <v>15.863636363636363</v>
      </c>
    </row>
    <row r="242" spans="1:4" x14ac:dyDescent="0.25">
      <c r="A242" s="8" t="s">
        <v>787</v>
      </c>
      <c r="B242" s="8">
        <v>2407</v>
      </c>
      <c r="C242" t="s">
        <v>1915</v>
      </c>
      <c r="D242" s="5">
        <v>26.909090909090907</v>
      </c>
    </row>
    <row r="243" spans="1:4" x14ac:dyDescent="0.25">
      <c r="A243" s="8" t="s">
        <v>379</v>
      </c>
      <c r="B243" s="8">
        <v>2408</v>
      </c>
      <c r="C243" t="s">
        <v>1916</v>
      </c>
      <c r="D243" s="5">
        <v>66.045454545454547</v>
      </c>
    </row>
    <row r="244" spans="1:4" x14ac:dyDescent="0.25">
      <c r="A244" s="8" t="s">
        <v>487</v>
      </c>
      <c r="B244" s="8">
        <v>2409</v>
      </c>
      <c r="C244" t="s">
        <v>1917</v>
      </c>
      <c r="D244" s="5">
        <v>211.72727272727272</v>
      </c>
    </row>
    <row r="245" spans="1:4" x14ac:dyDescent="0.25">
      <c r="A245" s="8" t="s">
        <v>373</v>
      </c>
      <c r="B245" s="8">
        <v>2410</v>
      </c>
      <c r="C245" t="s">
        <v>372</v>
      </c>
      <c r="D245" s="5">
        <v>570.18181818181824</v>
      </c>
    </row>
    <row r="246" spans="1:4" x14ac:dyDescent="0.25">
      <c r="A246" s="8" t="s">
        <v>933</v>
      </c>
      <c r="B246" s="8">
        <v>2413</v>
      </c>
      <c r="C246" t="s">
        <v>932</v>
      </c>
      <c r="D246" s="5">
        <v>59.272727272727266</v>
      </c>
    </row>
    <row r="247" spans="1:4" x14ac:dyDescent="0.25">
      <c r="A247" s="8" t="s">
        <v>780</v>
      </c>
      <c r="B247" s="8">
        <v>2444</v>
      </c>
      <c r="C247" t="s">
        <v>1918</v>
      </c>
      <c r="D247" s="5">
        <v>32.863636363636367</v>
      </c>
    </row>
    <row r="248" spans="1:4" x14ac:dyDescent="0.25">
      <c r="A248" s="8" t="s">
        <v>1919</v>
      </c>
      <c r="B248" s="8">
        <v>2446</v>
      </c>
      <c r="C248" t="s">
        <v>1920</v>
      </c>
      <c r="D248" s="5">
        <v>9.9090909090909101</v>
      </c>
    </row>
    <row r="249" spans="1:4" x14ac:dyDescent="0.25">
      <c r="A249" s="8" t="s">
        <v>1020</v>
      </c>
      <c r="B249" s="8">
        <v>2490</v>
      </c>
      <c r="C249" t="s">
        <v>1921</v>
      </c>
      <c r="D249" s="5">
        <v>0</v>
      </c>
    </row>
    <row r="250" spans="1:4" x14ac:dyDescent="0.25">
      <c r="A250" s="8" t="s">
        <v>1006</v>
      </c>
      <c r="B250" s="8">
        <v>2495</v>
      </c>
      <c r="C250" t="s">
        <v>1005</v>
      </c>
      <c r="D250" s="5">
        <v>0</v>
      </c>
    </row>
    <row r="251" spans="1:4" x14ac:dyDescent="0.25">
      <c r="A251" s="8" t="s">
        <v>363</v>
      </c>
      <c r="B251" s="8">
        <v>2496</v>
      </c>
      <c r="C251" t="s">
        <v>1922</v>
      </c>
      <c r="D251" s="5">
        <v>0</v>
      </c>
    </row>
    <row r="252" spans="1:4" x14ac:dyDescent="0.25">
      <c r="A252" s="8" t="s">
        <v>775</v>
      </c>
      <c r="B252" s="8">
        <v>2497</v>
      </c>
      <c r="C252" t="s">
        <v>1923</v>
      </c>
      <c r="D252" s="5">
        <v>0</v>
      </c>
    </row>
    <row r="253" spans="1:4" x14ac:dyDescent="0.25">
      <c r="A253" s="8" t="s">
        <v>530</v>
      </c>
      <c r="B253" s="8">
        <v>2500</v>
      </c>
      <c r="C253" t="s">
        <v>529</v>
      </c>
      <c r="D253" s="5">
        <v>576.9545454545455</v>
      </c>
    </row>
    <row r="254" spans="1:4" x14ac:dyDescent="0.25">
      <c r="A254" s="8" t="s">
        <v>772</v>
      </c>
      <c r="B254" s="8">
        <v>2501</v>
      </c>
      <c r="C254" t="s">
        <v>1924</v>
      </c>
      <c r="D254" s="5">
        <v>240.27272727272725</v>
      </c>
    </row>
    <row r="255" spans="1:4" x14ac:dyDescent="0.25">
      <c r="A255" s="8" t="s">
        <v>1060</v>
      </c>
      <c r="B255" s="8">
        <v>2601</v>
      </c>
      <c r="C255" t="s">
        <v>1059</v>
      </c>
      <c r="D255" s="5">
        <v>0</v>
      </c>
    </row>
    <row r="256" spans="1:4" x14ac:dyDescent="0.25">
      <c r="A256" s="8" t="s">
        <v>824</v>
      </c>
      <c r="B256" s="8">
        <v>2603</v>
      </c>
      <c r="C256" t="s">
        <v>823</v>
      </c>
      <c r="D256" s="5">
        <v>7.545454545454545</v>
      </c>
    </row>
    <row r="257" spans="1:4" x14ac:dyDescent="0.25">
      <c r="A257" s="8" t="s">
        <v>635</v>
      </c>
      <c r="B257" s="8">
        <v>3101</v>
      </c>
      <c r="C257" t="s">
        <v>1925</v>
      </c>
      <c r="D257" s="5">
        <v>783.83948504216551</v>
      </c>
    </row>
    <row r="258" spans="1:4" x14ac:dyDescent="0.25">
      <c r="A258" s="8" t="s">
        <v>630</v>
      </c>
      <c r="B258" s="8">
        <v>3105</v>
      </c>
      <c r="C258" t="s">
        <v>1926</v>
      </c>
      <c r="D258" s="5">
        <v>160.48232317408704</v>
      </c>
    </row>
    <row r="259" spans="1:4" x14ac:dyDescent="0.25">
      <c r="A259" s="8" t="s">
        <v>519</v>
      </c>
      <c r="B259" s="8">
        <v>3106</v>
      </c>
      <c r="C259" t="s">
        <v>1927</v>
      </c>
      <c r="D259" s="5">
        <v>183.24262882336731</v>
      </c>
    </row>
    <row r="260" spans="1:4" x14ac:dyDescent="0.25">
      <c r="A260" s="8" t="s">
        <v>1188</v>
      </c>
      <c r="B260" s="8">
        <v>3110</v>
      </c>
      <c r="C260" t="s">
        <v>1928</v>
      </c>
      <c r="D260" s="5">
        <v>164.60096015474633</v>
      </c>
    </row>
    <row r="261" spans="1:4" x14ac:dyDescent="0.25">
      <c r="A261" s="8" t="s">
        <v>1132</v>
      </c>
      <c r="B261" s="8">
        <v>3112</v>
      </c>
      <c r="C261" t="s">
        <v>1929</v>
      </c>
      <c r="D261" s="5">
        <v>477.2090780324491</v>
      </c>
    </row>
    <row r="262" spans="1:4" x14ac:dyDescent="0.25">
      <c r="A262" s="8" t="s">
        <v>1232</v>
      </c>
      <c r="B262" s="8">
        <v>3113</v>
      </c>
      <c r="C262" t="s">
        <v>1930</v>
      </c>
      <c r="D262" s="5">
        <v>483.48175508535769</v>
      </c>
    </row>
    <row r="263" spans="1:4" x14ac:dyDescent="0.25">
      <c r="A263" s="8" t="s">
        <v>1241</v>
      </c>
      <c r="B263" s="8">
        <v>3115</v>
      </c>
      <c r="C263" t="s">
        <v>1931</v>
      </c>
      <c r="D263" s="5">
        <v>721.22551208227299</v>
      </c>
    </row>
    <row r="264" spans="1:4" x14ac:dyDescent="0.25">
      <c r="A264" s="8" t="s">
        <v>1237</v>
      </c>
      <c r="B264" s="8">
        <v>3116</v>
      </c>
      <c r="C264" t="s">
        <v>1932</v>
      </c>
      <c r="D264" s="5">
        <v>642.6143049360071</v>
      </c>
    </row>
    <row r="265" spans="1:4" x14ac:dyDescent="0.25">
      <c r="A265" s="8" t="s">
        <v>1227</v>
      </c>
      <c r="B265" s="8">
        <v>3118</v>
      </c>
      <c r="C265" t="s">
        <v>1933</v>
      </c>
      <c r="D265" s="5">
        <v>738.85168356975589</v>
      </c>
    </row>
    <row r="266" spans="1:4" x14ac:dyDescent="0.25">
      <c r="A266" s="8" t="s">
        <v>1222</v>
      </c>
      <c r="B266" s="8">
        <v>3119</v>
      </c>
      <c r="C266" t="s">
        <v>1934</v>
      </c>
      <c r="D266" s="5">
        <v>89.855412612622729</v>
      </c>
    </row>
    <row r="267" spans="1:4" x14ac:dyDescent="0.25">
      <c r="A267" s="8" t="s">
        <v>441</v>
      </c>
      <c r="B267" s="8">
        <v>3120</v>
      </c>
      <c r="C267" t="s">
        <v>1935</v>
      </c>
      <c r="D267" s="5">
        <v>196.59603932531007</v>
      </c>
    </row>
    <row r="268" spans="1:4" x14ac:dyDescent="0.25">
      <c r="A268" s="8" t="s">
        <v>627</v>
      </c>
      <c r="B268" s="8">
        <v>3121</v>
      </c>
      <c r="C268" t="s">
        <v>1936</v>
      </c>
      <c r="D268" s="5">
        <v>57.298999236961151</v>
      </c>
    </row>
    <row r="269" spans="1:4" x14ac:dyDescent="0.25">
      <c r="A269" s="8" t="s">
        <v>622</v>
      </c>
      <c r="B269" s="8">
        <v>3130</v>
      </c>
      <c r="C269" t="s">
        <v>1937</v>
      </c>
      <c r="D269" s="5">
        <v>204.98273349230865</v>
      </c>
    </row>
    <row r="270" spans="1:4" x14ac:dyDescent="0.25">
      <c r="A270" s="8" t="s">
        <v>1183</v>
      </c>
      <c r="B270" s="8">
        <v>3131</v>
      </c>
      <c r="C270" t="s">
        <v>1938</v>
      </c>
      <c r="D270" s="5">
        <v>312.31321415631868</v>
      </c>
    </row>
    <row r="271" spans="1:4" x14ac:dyDescent="0.25">
      <c r="A271" s="8" t="s">
        <v>619</v>
      </c>
      <c r="B271" s="8">
        <v>3190</v>
      </c>
      <c r="C271" t="s">
        <v>1939</v>
      </c>
      <c r="D271" s="5">
        <v>102.93327213407061</v>
      </c>
    </row>
    <row r="272" spans="1:4" x14ac:dyDescent="0.25">
      <c r="A272" s="8" t="s">
        <v>1628</v>
      </c>
      <c r="B272" s="8">
        <v>3200</v>
      </c>
      <c r="C272" t="s">
        <v>1940</v>
      </c>
      <c r="D272" s="5">
        <v>37.535422724315914</v>
      </c>
    </row>
    <row r="273" spans="1:4" x14ac:dyDescent="0.25">
      <c r="A273" s="8" t="s">
        <v>1625</v>
      </c>
      <c r="B273" s="8">
        <v>3201</v>
      </c>
      <c r="C273" t="s">
        <v>1941</v>
      </c>
      <c r="D273" s="5">
        <v>659.44795256752207</v>
      </c>
    </row>
    <row r="274" spans="1:4" x14ac:dyDescent="0.25">
      <c r="A274" s="8" t="s">
        <v>1621</v>
      </c>
      <c r="B274" s="8">
        <v>3202</v>
      </c>
      <c r="C274" t="s">
        <v>1942</v>
      </c>
      <c r="D274" s="5">
        <v>586.08140833406799</v>
      </c>
    </row>
    <row r="275" spans="1:4" x14ac:dyDescent="0.25">
      <c r="A275" s="8" t="s">
        <v>1943</v>
      </c>
      <c r="B275" s="8">
        <v>3207</v>
      </c>
      <c r="C275" t="s">
        <v>1944</v>
      </c>
      <c r="D275" s="5">
        <v>16.070649673905116</v>
      </c>
    </row>
    <row r="276" spans="1:4" x14ac:dyDescent="0.25">
      <c r="A276" s="8" t="s">
        <v>614</v>
      </c>
      <c r="B276" s="8">
        <v>3221</v>
      </c>
      <c r="C276" t="s">
        <v>1945</v>
      </c>
      <c r="D276" s="5">
        <v>115.40949147870826</v>
      </c>
    </row>
    <row r="277" spans="1:4" x14ac:dyDescent="0.25">
      <c r="A277" s="8" t="s">
        <v>1178</v>
      </c>
      <c r="B277" s="8">
        <v>3222</v>
      </c>
      <c r="C277" t="s">
        <v>1946</v>
      </c>
      <c r="D277" s="5">
        <v>104.47812394764402</v>
      </c>
    </row>
    <row r="278" spans="1:4" x14ac:dyDescent="0.25">
      <c r="A278" s="8" t="s">
        <v>1947</v>
      </c>
      <c r="B278" s="8">
        <v>3227</v>
      </c>
      <c r="C278" t="s">
        <v>1948</v>
      </c>
      <c r="D278" s="5">
        <v>20.157888901054879</v>
      </c>
    </row>
    <row r="279" spans="1:4" x14ac:dyDescent="0.25">
      <c r="A279" s="8" t="s">
        <v>1173</v>
      </c>
      <c r="B279" s="8">
        <v>3230</v>
      </c>
      <c r="C279" t="s">
        <v>1949</v>
      </c>
    </row>
    <row r="280" spans="1:4" x14ac:dyDescent="0.25">
      <c r="A280" s="8" t="s">
        <v>1065</v>
      </c>
      <c r="B280" s="8">
        <v>3240</v>
      </c>
      <c r="C280" t="s">
        <v>1950</v>
      </c>
      <c r="D280" s="5">
        <v>185.4538820489378</v>
      </c>
    </row>
    <row r="281" spans="1:4" x14ac:dyDescent="0.25">
      <c r="A281" s="8" t="s">
        <v>1951</v>
      </c>
      <c r="B281" s="8">
        <v>3247</v>
      </c>
      <c r="C281" t="s">
        <v>1952</v>
      </c>
      <c r="D281" s="5">
        <v>62.064490330085789</v>
      </c>
    </row>
    <row r="282" spans="1:4" x14ac:dyDescent="0.25">
      <c r="A282" s="8" t="s">
        <v>1088</v>
      </c>
      <c r="B282" s="8">
        <v>3270</v>
      </c>
      <c r="C282" t="s">
        <v>1953</v>
      </c>
      <c r="D282" s="5">
        <v>251.50545846891086</v>
      </c>
    </row>
    <row r="283" spans="1:4" x14ac:dyDescent="0.25">
      <c r="A283" s="8" t="s">
        <v>1954</v>
      </c>
      <c r="B283" s="8">
        <v>3271</v>
      </c>
      <c r="C283" t="s">
        <v>1955</v>
      </c>
    </row>
    <row r="284" spans="1:4" x14ac:dyDescent="0.25">
      <c r="A284" s="8" t="s">
        <v>1102</v>
      </c>
      <c r="B284" s="8">
        <v>3275</v>
      </c>
      <c r="C284" t="s">
        <v>1956</v>
      </c>
      <c r="D284" s="5">
        <v>167.99451455866779</v>
      </c>
    </row>
    <row r="285" spans="1:4" x14ac:dyDescent="0.25">
      <c r="A285" s="8" t="s">
        <v>1957</v>
      </c>
      <c r="B285" s="8">
        <v>3277</v>
      </c>
      <c r="C285" t="s">
        <v>1958</v>
      </c>
      <c r="D285" s="5">
        <v>37.159761912095682</v>
      </c>
    </row>
    <row r="286" spans="1:4" x14ac:dyDescent="0.25">
      <c r="A286" s="8" t="s">
        <v>608</v>
      </c>
      <c r="B286" s="8">
        <v>3280</v>
      </c>
      <c r="C286" t="s">
        <v>1959</v>
      </c>
      <c r="D286" s="5">
        <v>208.50893680838499</v>
      </c>
    </row>
    <row r="287" spans="1:4" x14ac:dyDescent="0.25">
      <c r="A287" s="8" t="s">
        <v>1740</v>
      </c>
      <c r="B287" s="8">
        <v>3401</v>
      </c>
      <c r="C287" t="s">
        <v>1960</v>
      </c>
      <c r="D287" s="5">
        <v>17.590901334015594</v>
      </c>
    </row>
    <row r="288" spans="1:4" x14ac:dyDescent="0.25">
      <c r="A288" s="8" t="s">
        <v>1738</v>
      </c>
      <c r="B288" s="8">
        <v>3402</v>
      </c>
      <c r="C288" t="s">
        <v>1961</v>
      </c>
    </row>
    <row r="289" spans="1:4" x14ac:dyDescent="0.25">
      <c r="A289" s="8" t="s">
        <v>1742</v>
      </c>
      <c r="B289" s="8">
        <v>3404</v>
      </c>
      <c r="C289" t="s">
        <v>1962</v>
      </c>
    </row>
    <row r="290" spans="1:4" x14ac:dyDescent="0.25">
      <c r="A290" s="8" t="s">
        <v>1963</v>
      </c>
      <c r="B290" s="8">
        <v>3405</v>
      </c>
      <c r="C290" t="s">
        <v>1964</v>
      </c>
    </row>
    <row r="291" spans="1:4" x14ac:dyDescent="0.25">
      <c r="A291" s="8" t="s">
        <v>1735</v>
      </c>
      <c r="B291" s="8">
        <v>3406</v>
      </c>
      <c r="C291" t="s">
        <v>1965</v>
      </c>
    </row>
    <row r="292" spans="1:4" x14ac:dyDescent="0.25">
      <c r="A292" s="8" t="s">
        <v>1732</v>
      </c>
      <c r="B292" s="8">
        <v>3408</v>
      </c>
      <c r="C292" t="s">
        <v>1966</v>
      </c>
    </row>
    <row r="293" spans="1:4" x14ac:dyDescent="0.25">
      <c r="A293" s="8" t="s">
        <v>1729</v>
      </c>
      <c r="B293" s="8">
        <v>3410</v>
      </c>
      <c r="C293" t="s">
        <v>1967</v>
      </c>
    </row>
    <row r="294" spans="1:4" x14ac:dyDescent="0.25">
      <c r="A294" s="8" t="s">
        <v>1726</v>
      </c>
      <c r="B294" s="8">
        <v>3411</v>
      </c>
      <c r="C294" t="s">
        <v>1968</v>
      </c>
    </row>
    <row r="295" spans="1:4" x14ac:dyDescent="0.25">
      <c r="A295" s="8" t="s">
        <v>1723</v>
      </c>
      <c r="B295" s="8">
        <v>3412</v>
      </c>
      <c r="C295" t="s">
        <v>1969</v>
      </c>
    </row>
    <row r="296" spans="1:4" x14ac:dyDescent="0.25">
      <c r="A296" s="8" t="s">
        <v>1720</v>
      </c>
      <c r="B296" s="8">
        <v>3413</v>
      </c>
      <c r="C296" t="s">
        <v>1970</v>
      </c>
    </row>
    <row r="297" spans="1:4" x14ac:dyDescent="0.25">
      <c r="A297" s="8" t="s">
        <v>1717</v>
      </c>
      <c r="B297" s="8">
        <v>3414</v>
      </c>
      <c r="C297" t="s">
        <v>1971</v>
      </c>
      <c r="D297" s="5">
        <v>154.53025193140991</v>
      </c>
    </row>
    <row r="298" spans="1:4" x14ac:dyDescent="0.25">
      <c r="A298" s="8" t="s">
        <v>1714</v>
      </c>
      <c r="B298" s="8">
        <v>3415</v>
      </c>
      <c r="C298" t="s">
        <v>1972</v>
      </c>
    </row>
    <row r="299" spans="1:4" x14ac:dyDescent="0.25">
      <c r="A299" s="8" t="s">
        <v>1711</v>
      </c>
      <c r="B299" s="8">
        <v>3416</v>
      </c>
      <c r="C299" t="s">
        <v>1973</v>
      </c>
    </row>
    <row r="300" spans="1:4" x14ac:dyDescent="0.25">
      <c r="A300" s="8" t="s">
        <v>1708</v>
      </c>
      <c r="B300" s="8">
        <v>3417</v>
      </c>
      <c r="C300" t="s">
        <v>1974</v>
      </c>
    </row>
    <row r="301" spans="1:4" x14ac:dyDescent="0.25">
      <c r="A301" s="8" t="s">
        <v>1618</v>
      </c>
      <c r="B301" s="8">
        <v>3421</v>
      </c>
      <c r="C301" t="s">
        <v>1975</v>
      </c>
      <c r="D301" s="5">
        <v>36.195389442589196</v>
      </c>
    </row>
    <row r="302" spans="1:4" x14ac:dyDescent="0.25">
      <c r="A302" s="8" t="s">
        <v>1615</v>
      </c>
      <c r="B302" s="8">
        <v>3422</v>
      </c>
      <c r="C302" t="s">
        <v>1976</v>
      </c>
    </row>
    <row r="303" spans="1:4" x14ac:dyDescent="0.25">
      <c r="A303" s="8" t="s">
        <v>1555</v>
      </c>
      <c r="B303" s="8">
        <v>3424</v>
      </c>
      <c r="C303" t="s">
        <v>1977</v>
      </c>
    </row>
    <row r="304" spans="1:4" x14ac:dyDescent="0.25">
      <c r="A304" s="8" t="s">
        <v>1612</v>
      </c>
      <c r="B304" s="8">
        <v>3425</v>
      </c>
      <c r="C304" t="s">
        <v>1978</v>
      </c>
    </row>
    <row r="305" spans="1:4" x14ac:dyDescent="0.25">
      <c r="A305" s="8" t="s">
        <v>1705</v>
      </c>
      <c r="B305" s="8">
        <v>3435</v>
      </c>
      <c r="C305" t="s">
        <v>1979</v>
      </c>
    </row>
    <row r="306" spans="1:4" x14ac:dyDescent="0.25">
      <c r="A306" s="8" t="s">
        <v>1219</v>
      </c>
      <c r="B306" s="8">
        <v>3441</v>
      </c>
      <c r="C306" t="s">
        <v>1980</v>
      </c>
    </row>
    <row r="307" spans="1:4" x14ac:dyDescent="0.25">
      <c r="A307" s="8" t="s">
        <v>1702</v>
      </c>
      <c r="B307" s="8">
        <v>3477</v>
      </c>
      <c r="C307" t="s">
        <v>1981</v>
      </c>
    </row>
    <row r="308" spans="1:4" x14ac:dyDescent="0.25">
      <c r="A308" s="8" t="s">
        <v>1599</v>
      </c>
      <c r="B308" s="8">
        <v>3701</v>
      </c>
      <c r="C308" t="s">
        <v>2149</v>
      </c>
      <c r="D308" s="5">
        <v>1146.2800761412398</v>
      </c>
    </row>
    <row r="309" spans="1:4" x14ac:dyDescent="0.25">
      <c r="A309" s="8" t="s">
        <v>1983</v>
      </c>
      <c r="B309" s="8">
        <v>3810</v>
      </c>
      <c r="C309" t="s">
        <v>1984</v>
      </c>
      <c r="D309" s="5">
        <v>216.81757565534036</v>
      </c>
    </row>
    <row r="310" spans="1:4" x14ac:dyDescent="0.25">
      <c r="A310" s="8" t="s">
        <v>1076</v>
      </c>
      <c r="B310" s="8">
        <v>3812</v>
      </c>
      <c r="C310" t="s">
        <v>1985</v>
      </c>
    </row>
    <row r="311" spans="1:4" x14ac:dyDescent="0.25">
      <c r="A311" s="8" t="s">
        <v>1596</v>
      </c>
      <c r="B311" s="8">
        <v>3821</v>
      </c>
      <c r="C311" t="s">
        <v>1986</v>
      </c>
    </row>
    <row r="312" spans="1:4" x14ac:dyDescent="0.25">
      <c r="A312" s="8" t="s">
        <v>1264</v>
      </c>
      <c r="B312" s="8">
        <v>3851</v>
      </c>
      <c r="C312" t="s">
        <v>1987</v>
      </c>
      <c r="D312" s="5">
        <v>21.775953472706586</v>
      </c>
    </row>
    <row r="313" spans="1:4" x14ac:dyDescent="0.25">
      <c r="A313" s="8" t="s">
        <v>1262</v>
      </c>
      <c r="B313" s="8">
        <v>3855</v>
      </c>
      <c r="C313" t="s">
        <v>1988</v>
      </c>
      <c r="D313" s="5">
        <v>90.976715643560397</v>
      </c>
    </row>
    <row r="314" spans="1:4" x14ac:dyDescent="0.25">
      <c r="A314" s="8" t="s">
        <v>1073</v>
      </c>
      <c r="B314" s="8">
        <v>3860</v>
      </c>
      <c r="C314" t="s">
        <v>1989</v>
      </c>
      <c r="D314" s="5">
        <v>127.35574838024924</v>
      </c>
    </row>
    <row r="315" spans="1:4" x14ac:dyDescent="0.25">
      <c r="A315" s="8" t="s">
        <v>1166</v>
      </c>
      <c r="B315" s="8">
        <v>3870</v>
      </c>
      <c r="C315" t="s">
        <v>1990</v>
      </c>
      <c r="D315" s="5">
        <v>14.789603279017047</v>
      </c>
    </row>
    <row r="316" spans="1:4" x14ac:dyDescent="0.25">
      <c r="A316" s="8" t="s">
        <v>1259</v>
      </c>
      <c r="B316" s="8">
        <v>3871</v>
      </c>
      <c r="C316" t="s">
        <v>1991</v>
      </c>
      <c r="D316" s="5">
        <v>81.166869558801849</v>
      </c>
    </row>
    <row r="317" spans="1:4" x14ac:dyDescent="0.25">
      <c r="A317" s="8" t="s">
        <v>1070</v>
      </c>
      <c r="B317" s="8">
        <v>3880</v>
      </c>
      <c r="C317" t="s">
        <v>1992</v>
      </c>
    </row>
    <row r="318" spans="1:4" x14ac:dyDescent="0.25">
      <c r="A318" s="8" t="s">
        <v>1993</v>
      </c>
      <c r="B318" s="8">
        <v>3885</v>
      </c>
      <c r="C318" t="s">
        <v>1994</v>
      </c>
    </row>
    <row r="319" spans="1:4" x14ac:dyDescent="0.25">
      <c r="A319" s="8" t="s">
        <v>491</v>
      </c>
      <c r="B319" s="8">
        <v>4005</v>
      </c>
      <c r="C319" t="s">
        <v>490</v>
      </c>
      <c r="D319" s="5">
        <v>111</v>
      </c>
    </row>
    <row r="320" spans="1:4" x14ac:dyDescent="0.25">
      <c r="A320" s="8" t="s">
        <v>494</v>
      </c>
      <c r="B320" s="8">
        <v>4008</v>
      </c>
      <c r="C320" t="s">
        <v>1995</v>
      </c>
      <c r="D320" s="5">
        <v>81</v>
      </c>
    </row>
    <row r="321" spans="1:4" x14ac:dyDescent="0.25">
      <c r="A321" s="8" t="s">
        <v>1437</v>
      </c>
      <c r="B321" s="8">
        <v>4009</v>
      </c>
      <c r="C321" t="s">
        <v>1996</v>
      </c>
      <c r="D321" s="5">
        <v>121</v>
      </c>
    </row>
    <row r="322" spans="1:4" x14ac:dyDescent="0.25">
      <c r="A322" s="8" t="s">
        <v>846</v>
      </c>
      <c r="B322" s="8">
        <v>4011</v>
      </c>
      <c r="C322" t="s">
        <v>1997</v>
      </c>
      <c r="D322" s="5">
        <v>583</v>
      </c>
    </row>
    <row r="323" spans="1:4" x14ac:dyDescent="0.25">
      <c r="A323" s="8" t="s">
        <v>675</v>
      </c>
      <c r="B323" s="8">
        <v>4012</v>
      </c>
      <c r="C323" t="s">
        <v>674</v>
      </c>
      <c r="D323" s="5">
        <v>199</v>
      </c>
    </row>
    <row r="324" spans="1:4" x14ac:dyDescent="0.25">
      <c r="A324" s="8" t="s">
        <v>1442</v>
      </c>
      <c r="B324" s="8">
        <v>4013</v>
      </c>
      <c r="C324" t="s">
        <v>1441</v>
      </c>
      <c r="D324" s="5">
        <v>243</v>
      </c>
    </row>
    <row r="325" spans="1:4" x14ac:dyDescent="0.25">
      <c r="A325" s="8" t="s">
        <v>1446</v>
      </c>
      <c r="B325" s="8">
        <v>4015</v>
      </c>
      <c r="C325" t="s">
        <v>1445</v>
      </c>
      <c r="D325" s="5">
        <v>0</v>
      </c>
    </row>
    <row r="326" spans="1:4" x14ac:dyDescent="0.25">
      <c r="A326" s="8" t="s">
        <v>645</v>
      </c>
      <c r="B326" s="8">
        <v>4017</v>
      </c>
      <c r="C326" t="s">
        <v>644</v>
      </c>
      <c r="D326" s="5">
        <v>237</v>
      </c>
    </row>
    <row r="327" spans="1:4" x14ac:dyDescent="0.25">
      <c r="A327" s="8" t="s">
        <v>1449</v>
      </c>
      <c r="B327" s="8">
        <v>4019</v>
      </c>
      <c r="C327" t="s">
        <v>1448</v>
      </c>
      <c r="D327" s="5">
        <v>0</v>
      </c>
    </row>
    <row r="328" spans="1:4" x14ac:dyDescent="0.25">
      <c r="A328" s="8" t="s">
        <v>964</v>
      </c>
      <c r="B328" s="8">
        <v>4020</v>
      </c>
      <c r="C328" t="s">
        <v>963</v>
      </c>
      <c r="D328" s="5">
        <v>199</v>
      </c>
    </row>
    <row r="329" spans="1:4" x14ac:dyDescent="0.25">
      <c r="A329" s="8" t="s">
        <v>1452</v>
      </c>
      <c r="B329" s="8">
        <v>4021</v>
      </c>
      <c r="C329" t="s">
        <v>1451</v>
      </c>
      <c r="D329" s="5">
        <v>143</v>
      </c>
    </row>
    <row r="330" spans="1:4" x14ac:dyDescent="0.25">
      <c r="A330" s="8" t="s">
        <v>968</v>
      </c>
      <c r="B330" s="8">
        <v>4022</v>
      </c>
      <c r="C330" t="s">
        <v>967</v>
      </c>
      <c r="D330" s="5">
        <v>0</v>
      </c>
    </row>
    <row r="331" spans="1:4" x14ac:dyDescent="0.25">
      <c r="A331" s="8" t="s">
        <v>850</v>
      </c>
      <c r="B331" s="8">
        <v>4023</v>
      </c>
      <c r="C331" t="s">
        <v>849</v>
      </c>
      <c r="D331" s="5">
        <v>41</v>
      </c>
    </row>
    <row r="332" spans="1:4" x14ac:dyDescent="0.25">
      <c r="A332" s="8" t="s">
        <v>856</v>
      </c>
      <c r="B332" s="8">
        <v>4024</v>
      </c>
      <c r="C332" t="s">
        <v>855</v>
      </c>
      <c r="D332" s="5">
        <v>223</v>
      </c>
    </row>
    <row r="333" spans="1:4" x14ac:dyDescent="0.25">
      <c r="A333" s="8" t="s">
        <v>1023</v>
      </c>
      <c r="B333" s="8">
        <v>4025</v>
      </c>
      <c r="C333" t="s">
        <v>1022</v>
      </c>
      <c r="D333" s="5">
        <v>221</v>
      </c>
    </row>
    <row r="334" spans="1:4" x14ac:dyDescent="0.25">
      <c r="A334" s="8" t="s">
        <v>831</v>
      </c>
      <c r="B334" s="8">
        <v>4026</v>
      </c>
      <c r="C334" t="s">
        <v>830</v>
      </c>
      <c r="D334" s="5">
        <v>228</v>
      </c>
    </row>
    <row r="335" spans="1:4" x14ac:dyDescent="0.25">
      <c r="A335" s="8" t="s">
        <v>1456</v>
      </c>
      <c r="B335" s="8">
        <v>4029</v>
      </c>
      <c r="C335" t="s">
        <v>1455</v>
      </c>
      <c r="D335" s="5">
        <v>119</v>
      </c>
    </row>
    <row r="336" spans="1:4" x14ac:dyDescent="0.25">
      <c r="A336" s="8" t="s">
        <v>681</v>
      </c>
      <c r="B336" s="8">
        <v>4032</v>
      </c>
      <c r="C336" t="s">
        <v>1998</v>
      </c>
      <c r="D336" s="5">
        <v>85</v>
      </c>
    </row>
    <row r="337" spans="1:4" x14ac:dyDescent="0.25">
      <c r="A337" s="8" t="s">
        <v>657</v>
      </c>
      <c r="B337" s="8">
        <v>4033</v>
      </c>
      <c r="C337" t="s">
        <v>656</v>
      </c>
      <c r="D337" s="5">
        <v>0</v>
      </c>
    </row>
    <row r="338" spans="1:4" x14ac:dyDescent="0.25">
      <c r="A338" s="8" t="s">
        <v>649</v>
      </c>
      <c r="B338" s="8">
        <v>4034</v>
      </c>
      <c r="C338" t="s">
        <v>648</v>
      </c>
      <c r="D338" s="5">
        <v>54</v>
      </c>
    </row>
    <row r="339" spans="1:4" x14ac:dyDescent="0.25">
      <c r="A339" s="8" t="s">
        <v>710</v>
      </c>
      <c r="B339" s="8">
        <v>4035</v>
      </c>
      <c r="C339" t="s">
        <v>709</v>
      </c>
      <c r="D339" s="5">
        <v>55</v>
      </c>
    </row>
    <row r="340" spans="1:4" x14ac:dyDescent="0.25">
      <c r="A340" s="8" t="s">
        <v>1516</v>
      </c>
      <c r="B340" s="8">
        <v>4036</v>
      </c>
      <c r="C340" t="s">
        <v>1515</v>
      </c>
      <c r="D340" s="5">
        <v>50</v>
      </c>
    </row>
    <row r="341" spans="1:4" x14ac:dyDescent="0.25">
      <c r="A341" s="8" t="s">
        <v>1521</v>
      </c>
      <c r="B341" s="8">
        <v>4037</v>
      </c>
      <c r="C341" t="s">
        <v>1520</v>
      </c>
      <c r="D341" s="5">
        <v>30</v>
      </c>
    </row>
    <row r="342" spans="1:4" x14ac:dyDescent="0.25">
      <c r="A342" s="8" t="s">
        <v>685</v>
      </c>
      <c r="B342" s="8">
        <v>4041</v>
      </c>
      <c r="C342" t="s">
        <v>684</v>
      </c>
      <c r="D342" s="5">
        <v>25</v>
      </c>
    </row>
    <row r="343" spans="1:4" x14ac:dyDescent="0.25">
      <c r="A343" s="8" t="s">
        <v>1999</v>
      </c>
      <c r="B343" s="8">
        <v>4043</v>
      </c>
      <c r="C343" t="s">
        <v>2000</v>
      </c>
      <c r="D343" s="5">
        <v>44</v>
      </c>
    </row>
    <row r="344" spans="1:4" x14ac:dyDescent="0.25">
      <c r="A344" s="8" t="s">
        <v>1439</v>
      </c>
      <c r="B344" s="8">
        <v>4081</v>
      </c>
      <c r="C344" t="s">
        <v>2001</v>
      </c>
      <c r="D344" s="5">
        <v>0</v>
      </c>
    </row>
    <row r="345" spans="1:4" x14ac:dyDescent="0.25">
      <c r="A345" s="8" t="s">
        <v>833</v>
      </c>
      <c r="B345" s="8">
        <v>4085</v>
      </c>
      <c r="C345" t="s">
        <v>834</v>
      </c>
      <c r="D345" s="5">
        <v>0</v>
      </c>
    </row>
    <row r="346" spans="1:4" x14ac:dyDescent="0.25">
      <c r="A346" s="8" t="s">
        <v>853</v>
      </c>
      <c r="B346" s="8">
        <v>4086</v>
      </c>
      <c r="C346" t="s">
        <v>852</v>
      </c>
      <c r="D346" s="5">
        <v>30</v>
      </c>
    </row>
    <row r="347" spans="1:4" x14ac:dyDescent="0.25">
      <c r="A347" s="8" t="s">
        <v>688</v>
      </c>
      <c r="B347" s="8">
        <v>4090</v>
      </c>
      <c r="C347" t="s">
        <v>687</v>
      </c>
      <c r="D347" s="5">
        <v>102</v>
      </c>
    </row>
    <row r="348" spans="1:4" x14ac:dyDescent="0.25">
      <c r="A348" s="8" t="s">
        <v>502</v>
      </c>
      <c r="B348" s="8">
        <v>4091</v>
      </c>
      <c r="C348" t="s">
        <v>501</v>
      </c>
      <c r="D348" s="5">
        <v>8</v>
      </c>
    </row>
    <row r="349" spans="1:4" x14ac:dyDescent="0.25">
      <c r="A349" s="8" t="s">
        <v>664</v>
      </c>
      <c r="B349" s="8">
        <v>4092</v>
      </c>
      <c r="C349" t="s">
        <v>663</v>
      </c>
      <c r="D349" s="5">
        <v>53</v>
      </c>
    </row>
    <row r="350" spans="1:4" x14ac:dyDescent="0.25">
      <c r="A350" s="8" t="s">
        <v>665</v>
      </c>
      <c r="B350" s="8">
        <v>4093</v>
      </c>
      <c r="C350" t="s">
        <v>666</v>
      </c>
    </row>
    <row r="351" spans="1:4" x14ac:dyDescent="0.25">
      <c r="A351" s="8" t="s">
        <v>650</v>
      </c>
      <c r="B351" s="8">
        <v>4094</v>
      </c>
      <c r="C351" t="s">
        <v>651</v>
      </c>
    </row>
    <row r="352" spans="1:4" x14ac:dyDescent="0.25">
      <c r="A352" s="8" t="s">
        <v>654</v>
      </c>
      <c r="B352" s="8">
        <v>4095</v>
      </c>
      <c r="C352" t="s">
        <v>653</v>
      </c>
    </row>
    <row r="353" spans="1:3" x14ac:dyDescent="0.25">
      <c r="A353" s="8" t="s">
        <v>672</v>
      </c>
      <c r="B353" s="8">
        <v>4096</v>
      </c>
      <c r="C353" t="s">
        <v>671</v>
      </c>
    </row>
    <row r="354" spans="1:3" x14ac:dyDescent="0.25">
      <c r="A354" s="8" t="s">
        <v>837</v>
      </c>
      <c r="B354" s="8">
        <v>4097</v>
      </c>
      <c r="C354" t="s">
        <v>836</v>
      </c>
    </row>
    <row r="355" spans="1:3" x14ac:dyDescent="0.25">
      <c r="A355" s="8" t="s">
        <v>840</v>
      </c>
      <c r="B355" s="8">
        <v>4098</v>
      </c>
      <c r="C355" t="s">
        <v>839</v>
      </c>
    </row>
    <row r="356" spans="1:3" x14ac:dyDescent="0.25">
      <c r="A356" s="8" t="s">
        <v>843</v>
      </c>
      <c r="B356" s="8">
        <v>4099</v>
      </c>
      <c r="C356" t="s">
        <v>842</v>
      </c>
    </row>
    <row r="357" spans="1:3" x14ac:dyDescent="0.25">
      <c r="A357" s="8" t="s">
        <v>669</v>
      </c>
      <c r="B357" s="8">
        <v>4106</v>
      </c>
      <c r="C357" t="s">
        <v>668</v>
      </c>
    </row>
    <row r="358" spans="1:3" x14ac:dyDescent="0.25">
      <c r="A358" s="8" t="s">
        <v>2002</v>
      </c>
      <c r="B358" s="8">
        <v>4200</v>
      </c>
      <c r="C358" t="s">
        <v>2003</v>
      </c>
    </row>
    <row r="359" spans="1:3" x14ac:dyDescent="0.25">
      <c r="A359" s="8" t="s">
        <v>2004</v>
      </c>
      <c r="B359" s="8">
        <v>4201</v>
      </c>
      <c r="C359" t="s">
        <v>860</v>
      </c>
    </row>
    <row r="360" spans="1:3" x14ac:dyDescent="0.25">
      <c r="A360" s="8" t="s">
        <v>2005</v>
      </c>
      <c r="B360" s="8">
        <v>4202</v>
      </c>
      <c r="C360" t="s">
        <v>977</v>
      </c>
    </row>
    <row r="361" spans="1:3" x14ac:dyDescent="0.25">
      <c r="A361" s="8" t="s">
        <v>2006</v>
      </c>
      <c r="B361" s="8">
        <v>4203</v>
      </c>
      <c r="C361" t="s">
        <v>858</v>
      </c>
    </row>
    <row r="362" spans="1:3" x14ac:dyDescent="0.25">
      <c r="A362" s="8" t="s">
        <v>2007</v>
      </c>
      <c r="B362" s="8">
        <v>4204</v>
      </c>
      <c r="C362" t="s">
        <v>505</v>
      </c>
    </row>
    <row r="363" spans="1:3" x14ac:dyDescent="0.25">
      <c r="A363" s="8" t="s">
        <v>2008</v>
      </c>
      <c r="B363" s="8">
        <v>4205</v>
      </c>
      <c r="C363" t="s">
        <v>508</v>
      </c>
    </row>
    <row r="364" spans="1:3" x14ac:dyDescent="0.25">
      <c r="A364" s="8" t="s">
        <v>2009</v>
      </c>
      <c r="B364" s="8">
        <v>4206</v>
      </c>
      <c r="C364" t="s">
        <v>862</v>
      </c>
    </row>
    <row r="365" spans="1:3" x14ac:dyDescent="0.25">
      <c r="A365" s="8" t="s">
        <v>2010</v>
      </c>
      <c r="B365" s="8">
        <v>4207</v>
      </c>
      <c r="C365" t="s">
        <v>1090</v>
      </c>
    </row>
    <row r="366" spans="1:3" x14ac:dyDescent="0.25">
      <c r="A366" s="8" t="s">
        <v>2011</v>
      </c>
      <c r="B366" s="8">
        <v>4208</v>
      </c>
      <c r="C366" t="s">
        <v>1094</v>
      </c>
    </row>
    <row r="367" spans="1:3" x14ac:dyDescent="0.25">
      <c r="A367" s="8" t="s">
        <v>2012</v>
      </c>
      <c r="B367" s="8">
        <v>4209</v>
      </c>
      <c r="C367" t="s">
        <v>1092</v>
      </c>
    </row>
    <row r="368" spans="1:3" x14ac:dyDescent="0.25">
      <c r="A368" s="8" t="s">
        <v>2013</v>
      </c>
      <c r="B368" s="8">
        <v>4210</v>
      </c>
      <c r="C368" t="s">
        <v>994</v>
      </c>
    </row>
    <row r="369" spans="1:3" x14ac:dyDescent="0.25">
      <c r="A369" s="8" t="s">
        <v>2014</v>
      </c>
      <c r="B369" s="8">
        <v>4211</v>
      </c>
      <c r="C369" t="s">
        <v>1096</v>
      </c>
    </row>
    <row r="370" spans="1:3" x14ac:dyDescent="0.25">
      <c r="A370" s="8" t="s">
        <v>2015</v>
      </c>
      <c r="B370" s="8">
        <v>4212</v>
      </c>
      <c r="C370" t="s">
        <v>979</v>
      </c>
    </row>
    <row r="371" spans="1:3" x14ac:dyDescent="0.25">
      <c r="A371" s="8" t="s">
        <v>2016</v>
      </c>
      <c r="B371" s="8">
        <v>4213</v>
      </c>
      <c r="C371" t="s">
        <v>981</v>
      </c>
    </row>
    <row r="372" spans="1:3" x14ac:dyDescent="0.25">
      <c r="A372" s="8" t="s">
        <v>2017</v>
      </c>
      <c r="B372" s="8">
        <v>4214</v>
      </c>
      <c r="C372" t="s">
        <v>983</v>
      </c>
    </row>
    <row r="373" spans="1:3" x14ac:dyDescent="0.25">
      <c r="A373" s="8" t="s">
        <v>2018</v>
      </c>
      <c r="B373" s="8">
        <v>4215</v>
      </c>
      <c r="C373" t="s">
        <v>1459</v>
      </c>
    </row>
    <row r="374" spans="1:3" x14ac:dyDescent="0.25">
      <c r="A374" s="8" t="s">
        <v>2019</v>
      </c>
      <c r="B374" s="8">
        <v>4216</v>
      </c>
      <c r="C374" t="s">
        <v>1407</v>
      </c>
    </row>
    <row r="375" spans="1:3" x14ac:dyDescent="0.25">
      <c r="A375" s="8" t="s">
        <v>2020</v>
      </c>
      <c r="B375" s="8">
        <v>4217</v>
      </c>
      <c r="C375" t="s">
        <v>1518</v>
      </c>
    </row>
    <row r="376" spans="1:3" x14ac:dyDescent="0.25">
      <c r="A376" s="8" t="s">
        <v>2021</v>
      </c>
      <c r="B376" s="8">
        <v>4218</v>
      </c>
      <c r="C376" t="s">
        <v>694</v>
      </c>
    </row>
    <row r="377" spans="1:3" x14ac:dyDescent="0.25">
      <c r="A377" s="8" t="s">
        <v>2022</v>
      </c>
      <c r="B377" s="8">
        <v>4219</v>
      </c>
      <c r="C377" t="s">
        <v>1028</v>
      </c>
    </row>
    <row r="378" spans="1:3" x14ac:dyDescent="0.25">
      <c r="A378" s="8" t="s">
        <v>2023</v>
      </c>
      <c r="B378" s="8">
        <v>4220</v>
      </c>
      <c r="C378" t="s">
        <v>1026</v>
      </c>
    </row>
    <row r="379" spans="1:3" x14ac:dyDescent="0.25">
      <c r="A379" s="8" t="s">
        <v>2024</v>
      </c>
      <c r="B379" s="8">
        <v>4221</v>
      </c>
      <c r="C379" t="s">
        <v>700</v>
      </c>
    </row>
    <row r="380" spans="1:3" x14ac:dyDescent="0.25">
      <c r="A380" s="8" t="s">
        <v>2025</v>
      </c>
      <c r="B380" s="8">
        <v>4222</v>
      </c>
      <c r="C380" t="s">
        <v>1461</v>
      </c>
    </row>
    <row r="381" spans="1:3" x14ac:dyDescent="0.25">
      <c r="A381" s="8" t="s">
        <v>2026</v>
      </c>
      <c r="B381" s="8">
        <v>4223</v>
      </c>
      <c r="C381" t="s">
        <v>1463</v>
      </c>
    </row>
    <row r="382" spans="1:3" x14ac:dyDescent="0.25">
      <c r="A382" s="8" t="s">
        <v>2027</v>
      </c>
      <c r="B382" s="8">
        <v>4224</v>
      </c>
      <c r="C382" t="s">
        <v>702</v>
      </c>
    </row>
    <row r="383" spans="1:3" x14ac:dyDescent="0.25">
      <c r="A383" s="8" t="s">
        <v>2028</v>
      </c>
      <c r="B383" s="8">
        <v>4225</v>
      </c>
      <c r="C383" t="s">
        <v>1465</v>
      </c>
    </row>
    <row r="384" spans="1:3" x14ac:dyDescent="0.25">
      <c r="A384" s="8" t="s">
        <v>2029</v>
      </c>
      <c r="B384" s="8">
        <v>4227</v>
      </c>
      <c r="C384" t="s">
        <v>2030</v>
      </c>
    </row>
    <row r="385" spans="1:4" x14ac:dyDescent="0.25">
      <c r="A385" s="8" t="s">
        <v>2031</v>
      </c>
      <c r="B385" s="8">
        <v>4228</v>
      </c>
      <c r="C385" t="s">
        <v>2032</v>
      </c>
    </row>
    <row r="386" spans="1:4" x14ac:dyDescent="0.25">
      <c r="A386" s="8" t="s">
        <v>2033</v>
      </c>
      <c r="B386" s="8">
        <v>6510</v>
      </c>
      <c r="C386" t="s">
        <v>2034</v>
      </c>
      <c r="D386" s="5">
        <v>754.62200313004985</v>
      </c>
    </row>
    <row r="387" spans="1:4" x14ac:dyDescent="0.25">
      <c r="A387" s="8" t="s">
        <v>2035</v>
      </c>
      <c r="B387" s="8">
        <v>6511</v>
      </c>
      <c r="C387" t="s">
        <v>2036</v>
      </c>
      <c r="D387" s="5">
        <v>808.81617158519509</v>
      </c>
    </row>
    <row r="388" spans="1:4" x14ac:dyDescent="0.25">
      <c r="A388" s="8" t="s">
        <v>2037</v>
      </c>
      <c r="B388" s="8">
        <v>6513</v>
      </c>
      <c r="C388" t="s">
        <v>2038</v>
      </c>
    </row>
    <row r="389" spans="1:4" x14ac:dyDescent="0.25">
      <c r="A389" s="8" t="s">
        <v>2039</v>
      </c>
      <c r="B389" s="8">
        <v>6522</v>
      </c>
      <c r="C389" t="s">
        <v>2040</v>
      </c>
      <c r="D389" s="5">
        <v>1027.8</v>
      </c>
    </row>
    <row r="390" spans="1:4" x14ac:dyDescent="0.25">
      <c r="A390" s="8" t="s">
        <v>2041</v>
      </c>
      <c r="B390" s="8">
        <v>6532</v>
      </c>
      <c r="C390" t="s">
        <v>2042</v>
      </c>
      <c r="D390" s="5">
        <v>349.2540251389575</v>
      </c>
    </row>
    <row r="391" spans="1:4" x14ac:dyDescent="0.25">
      <c r="A391" s="8" t="s">
        <v>2043</v>
      </c>
      <c r="B391" s="8">
        <v>6535</v>
      </c>
      <c r="C391" t="s">
        <v>2044</v>
      </c>
      <c r="D391" s="5">
        <v>411.15178703425204</v>
      </c>
    </row>
    <row r="392" spans="1:4" x14ac:dyDescent="0.25">
      <c r="A392" s="8" t="s">
        <v>2045</v>
      </c>
      <c r="B392" s="8">
        <v>6540</v>
      </c>
      <c r="C392" t="s">
        <v>2046</v>
      </c>
      <c r="D392" s="5">
        <v>437.7</v>
      </c>
    </row>
    <row r="393" spans="1:4" x14ac:dyDescent="0.25">
      <c r="A393" s="8" t="s">
        <v>2047</v>
      </c>
      <c r="B393" s="8">
        <v>6545</v>
      </c>
      <c r="C393" t="s">
        <v>2048</v>
      </c>
      <c r="D393" s="5">
        <v>1703.9</v>
      </c>
    </row>
    <row r="394" spans="1:4" x14ac:dyDescent="0.25">
      <c r="A394" s="8" t="s">
        <v>2049</v>
      </c>
      <c r="B394" s="8">
        <v>6550</v>
      </c>
      <c r="C394" t="s">
        <v>2050</v>
      </c>
      <c r="D394" s="5">
        <v>1863.5</v>
      </c>
    </row>
    <row r="395" spans="1:4" x14ac:dyDescent="0.25">
      <c r="A395" s="8" t="s">
        <v>2051</v>
      </c>
      <c r="B395" s="8">
        <v>6554</v>
      </c>
      <c r="C395" t="s">
        <v>2052</v>
      </c>
      <c r="D395" s="5">
        <v>1095.5999999999999</v>
      </c>
    </row>
    <row r="396" spans="1:4" x14ac:dyDescent="0.25">
      <c r="A396" s="8" t="s">
        <v>2053</v>
      </c>
      <c r="B396" s="8">
        <v>6555</v>
      </c>
      <c r="C396" t="s">
        <v>2054</v>
      </c>
      <c r="D396" s="5">
        <v>3.2</v>
      </c>
    </row>
    <row r="397" spans="1:4" x14ac:dyDescent="0.25">
      <c r="A397" s="8" t="s">
        <v>2055</v>
      </c>
      <c r="B397" s="8">
        <v>6556</v>
      </c>
      <c r="C397" t="s">
        <v>2056</v>
      </c>
      <c r="D397" s="5">
        <v>58.7</v>
      </c>
    </row>
    <row r="398" spans="1:4" x14ac:dyDescent="0.25">
      <c r="A398" s="8" t="s">
        <v>2057</v>
      </c>
      <c r="B398" s="8">
        <v>6560</v>
      </c>
      <c r="C398" t="s">
        <v>2058</v>
      </c>
      <c r="D398" s="5">
        <v>571.1</v>
      </c>
    </row>
    <row r="399" spans="1:4" x14ac:dyDescent="0.25">
      <c r="A399" s="8" t="s">
        <v>2059</v>
      </c>
      <c r="B399" s="8">
        <v>6566</v>
      </c>
      <c r="C399" t="s">
        <v>2060</v>
      </c>
      <c r="D399" s="5">
        <v>431.6</v>
      </c>
    </row>
    <row r="400" spans="1:4" x14ac:dyDescent="0.25">
      <c r="A400" s="8" t="s">
        <v>2061</v>
      </c>
      <c r="B400" s="8">
        <v>6574</v>
      </c>
      <c r="C400" t="s">
        <v>2062</v>
      </c>
      <c r="D400" s="5">
        <v>654.20627403400908</v>
      </c>
    </row>
    <row r="401" spans="1:4" x14ac:dyDescent="0.25">
      <c r="A401" s="8" t="s">
        <v>2063</v>
      </c>
      <c r="B401" s="8">
        <v>6577</v>
      </c>
      <c r="C401" t="s">
        <v>2064</v>
      </c>
      <c r="D401" s="5">
        <v>2.9</v>
      </c>
    </row>
    <row r="402" spans="1:4" x14ac:dyDescent="0.25">
      <c r="A402" s="8" t="s">
        <v>2065</v>
      </c>
      <c r="B402" s="8">
        <v>6578</v>
      </c>
      <c r="C402" t="s">
        <v>2066</v>
      </c>
      <c r="D402" s="5">
        <v>245.67126318418863</v>
      </c>
    </row>
    <row r="403" spans="1:4" x14ac:dyDescent="0.25">
      <c r="A403" s="8" t="s">
        <v>1745</v>
      </c>
      <c r="B403" s="8">
        <v>6586</v>
      </c>
      <c r="C403" t="s">
        <v>2067</v>
      </c>
      <c r="D403" s="5">
        <v>125.8498153746289</v>
      </c>
    </row>
    <row r="404" spans="1:4" x14ac:dyDescent="0.25">
      <c r="A404" s="8" t="s">
        <v>1382</v>
      </c>
      <c r="B404" s="8">
        <v>6590</v>
      </c>
      <c r="C404" t="s">
        <v>2068</v>
      </c>
      <c r="D404" s="5">
        <v>467.15568855152765</v>
      </c>
    </row>
    <row r="405" spans="1:4" x14ac:dyDescent="0.25">
      <c r="A405" s="8" t="s">
        <v>1003</v>
      </c>
      <c r="B405" s="8">
        <v>6592</v>
      </c>
      <c r="C405" t="s">
        <v>2069</v>
      </c>
      <c r="D405" s="5">
        <v>224.21125288662998</v>
      </c>
    </row>
    <row r="406" spans="1:4" x14ac:dyDescent="0.25">
      <c r="A406" s="8" t="s">
        <v>1416</v>
      </c>
      <c r="B406" s="8">
        <v>6593</v>
      </c>
      <c r="C406" t="s">
        <v>2070</v>
      </c>
    </row>
    <row r="407" spans="1:4" x14ac:dyDescent="0.25">
      <c r="A407" s="8" t="s">
        <v>1377</v>
      </c>
      <c r="B407" s="8">
        <v>6594</v>
      </c>
      <c r="C407" t="s">
        <v>2071</v>
      </c>
      <c r="D407" s="5">
        <v>473.07400478173753</v>
      </c>
    </row>
    <row r="408" spans="1:4" x14ac:dyDescent="0.25">
      <c r="A408" s="8" t="s">
        <v>1411</v>
      </c>
      <c r="B408" s="8">
        <v>6595</v>
      </c>
      <c r="C408" t="s">
        <v>2072</v>
      </c>
      <c r="D408" s="5">
        <v>134</v>
      </c>
    </row>
    <row r="409" spans="1:4" x14ac:dyDescent="0.25">
      <c r="A409" s="8" t="s">
        <v>427</v>
      </c>
      <c r="B409" s="8">
        <v>6599</v>
      </c>
      <c r="C409" t="s">
        <v>2073</v>
      </c>
      <c r="D409" s="5">
        <v>20.457320357729706</v>
      </c>
    </row>
    <row r="410" spans="1:4" x14ac:dyDescent="0.25">
      <c r="A410" s="8" t="s">
        <v>639</v>
      </c>
      <c r="B410" s="8">
        <v>7002</v>
      </c>
      <c r="C410" t="s">
        <v>2074</v>
      </c>
      <c r="D410" s="5">
        <v>105.95454545454545</v>
      </c>
    </row>
    <row r="411" spans="1:4" x14ac:dyDescent="0.25">
      <c r="A411" s="8" t="s">
        <v>1137</v>
      </c>
      <c r="B411" s="8">
        <v>7003</v>
      </c>
      <c r="C411" t="s">
        <v>2075</v>
      </c>
      <c r="D411" s="5">
        <v>162.72727272727272</v>
      </c>
    </row>
    <row r="412" spans="1:4" x14ac:dyDescent="0.25">
      <c r="A412" s="8" t="s">
        <v>641</v>
      </c>
      <c r="B412" s="8">
        <v>7004</v>
      </c>
      <c r="C412" t="s">
        <v>2076</v>
      </c>
      <c r="D412" s="5">
        <v>75.272727272727266</v>
      </c>
    </row>
    <row r="413" spans="1:4" x14ac:dyDescent="0.25">
      <c r="A413" s="8" t="s">
        <v>463</v>
      </c>
      <c r="B413" s="8">
        <v>7005</v>
      </c>
      <c r="C413" t="s">
        <v>2077</v>
      </c>
      <c r="D413" s="5">
        <v>35.909090909090907</v>
      </c>
    </row>
    <row r="414" spans="1:4" x14ac:dyDescent="0.25">
      <c r="A414" s="8" t="s">
        <v>466</v>
      </c>
      <c r="B414" s="8">
        <v>7007</v>
      </c>
      <c r="C414" t="s">
        <v>2078</v>
      </c>
      <c r="D414" s="5">
        <v>859.18181818181813</v>
      </c>
    </row>
    <row r="415" spans="1:4" x14ac:dyDescent="0.25">
      <c r="A415" s="8" t="s">
        <v>1472</v>
      </c>
      <c r="B415" s="8">
        <v>7008</v>
      </c>
      <c r="C415" t="s">
        <v>2079</v>
      </c>
      <c r="D415" s="5">
        <v>97.090909090909093</v>
      </c>
    </row>
    <row r="416" spans="1:4" x14ac:dyDescent="0.25">
      <c r="A416" s="8" t="s">
        <v>468</v>
      </c>
      <c r="B416" s="8">
        <v>7009</v>
      </c>
      <c r="C416" t="s">
        <v>2080</v>
      </c>
      <c r="D416" s="5">
        <v>1150.2727272727273</v>
      </c>
    </row>
    <row r="417" spans="1:4" x14ac:dyDescent="0.25">
      <c r="A417" s="8" t="s">
        <v>1108</v>
      </c>
      <c r="B417" s="8">
        <v>7012</v>
      </c>
      <c r="C417" t="s">
        <v>2081</v>
      </c>
      <c r="D417" s="5">
        <v>59.090909090909093</v>
      </c>
    </row>
    <row r="418" spans="1:4" x14ac:dyDescent="0.25">
      <c r="A418" s="8" t="s">
        <v>1434</v>
      </c>
      <c r="B418" s="8">
        <v>7014</v>
      </c>
      <c r="C418" t="s">
        <v>2082</v>
      </c>
      <c r="D418" s="5">
        <v>37.590909090909093</v>
      </c>
    </row>
    <row r="419" spans="1:4" x14ac:dyDescent="0.25">
      <c r="A419" s="8" t="s">
        <v>1630</v>
      </c>
      <c r="B419" s="8">
        <v>7017</v>
      </c>
      <c r="C419" t="s">
        <v>2083</v>
      </c>
      <c r="D419" s="5">
        <v>79.272727272727266</v>
      </c>
    </row>
    <row r="420" spans="1:4" x14ac:dyDescent="0.25">
      <c r="A420" s="8" t="s">
        <v>1134</v>
      </c>
      <c r="B420" s="8">
        <v>7018</v>
      </c>
      <c r="C420" t="s">
        <v>2084</v>
      </c>
      <c r="D420" s="5">
        <v>99.772727272727266</v>
      </c>
    </row>
    <row r="421" spans="1:4" x14ac:dyDescent="0.25">
      <c r="A421" s="8" t="s">
        <v>1062</v>
      </c>
      <c r="B421" s="8">
        <v>7025</v>
      </c>
      <c r="C421" t="s">
        <v>2085</v>
      </c>
      <c r="D421" s="5">
        <v>61.045454545454547</v>
      </c>
    </row>
    <row r="422" spans="1:4" x14ac:dyDescent="0.25">
      <c r="A422" s="8" t="s">
        <v>437</v>
      </c>
      <c r="B422" s="8">
        <v>7027</v>
      </c>
      <c r="C422" t="s">
        <v>2086</v>
      </c>
      <c r="D422" s="5">
        <v>24.681818181818183</v>
      </c>
    </row>
    <row r="423" spans="1:4" x14ac:dyDescent="0.25">
      <c r="A423" s="8" t="s">
        <v>1633</v>
      </c>
      <c r="B423" s="8">
        <v>7029</v>
      </c>
      <c r="C423" t="s">
        <v>2087</v>
      </c>
      <c r="D423" s="5">
        <v>373.04545454545456</v>
      </c>
    </row>
    <row r="424" spans="1:4" x14ac:dyDescent="0.25">
      <c r="A424" s="8" t="s">
        <v>1527</v>
      </c>
      <c r="B424" s="8">
        <v>7070</v>
      </c>
      <c r="C424" t="s">
        <v>2088</v>
      </c>
      <c r="D424" s="5">
        <v>36.863636363636367</v>
      </c>
    </row>
    <row r="425" spans="1:4" x14ac:dyDescent="0.25">
      <c r="A425" s="8" t="s">
        <v>2089</v>
      </c>
      <c r="B425" s="8">
        <v>7079</v>
      </c>
      <c r="C425" t="s">
        <v>2090</v>
      </c>
      <c r="D425" s="5">
        <v>2.0909090909090908</v>
      </c>
    </row>
    <row r="426" spans="1:4" x14ac:dyDescent="0.25">
      <c r="A426" s="8" t="s">
        <v>1110</v>
      </c>
      <c r="B426" s="8">
        <v>7701</v>
      </c>
      <c r="C426" t="s">
        <v>2091</v>
      </c>
      <c r="D426" s="5">
        <v>15.227272727272727</v>
      </c>
    </row>
    <row r="427" spans="1:4" x14ac:dyDescent="0.25">
      <c r="A427" s="8" t="s">
        <v>2092</v>
      </c>
      <c r="B427" s="8">
        <v>7702</v>
      </c>
      <c r="C427" t="s">
        <v>2093</v>
      </c>
      <c r="D427" s="5">
        <v>14.318181818181818</v>
      </c>
    </row>
    <row r="428" spans="1:4" x14ac:dyDescent="0.25">
      <c r="A428" s="8" t="s">
        <v>2094</v>
      </c>
      <c r="B428" s="8">
        <v>6001</v>
      </c>
      <c r="C428" t="s">
        <v>2095</v>
      </c>
      <c r="D428" s="5">
        <v>0</v>
      </c>
    </row>
    <row r="429" spans="1:4" x14ac:dyDescent="0.25">
      <c r="A429" s="8" t="s">
        <v>2096</v>
      </c>
      <c r="B429" s="8">
        <v>6003</v>
      </c>
      <c r="C429" t="s">
        <v>2097</v>
      </c>
      <c r="D429" s="5">
        <v>0</v>
      </c>
    </row>
    <row r="430" spans="1:4" x14ac:dyDescent="0.25">
      <c r="A430" s="8" t="s">
        <v>2098</v>
      </c>
      <c r="B430" s="8">
        <v>6011</v>
      </c>
      <c r="C430" t="s">
        <v>2099</v>
      </c>
      <c r="D430" s="5">
        <v>7079</v>
      </c>
    </row>
    <row r="431" spans="1:4" x14ac:dyDescent="0.25">
      <c r="A431" s="8" t="s">
        <v>2100</v>
      </c>
      <c r="B431" s="8">
        <v>6010</v>
      </c>
      <c r="C431" t="s">
        <v>2101</v>
      </c>
      <c r="D431" s="5">
        <v>1212.316</v>
      </c>
    </row>
    <row r="432" spans="1:4" x14ac:dyDescent="0.25">
      <c r="A432" s="8" t="s">
        <v>2102</v>
      </c>
      <c r="B432" s="8">
        <v>8001</v>
      </c>
      <c r="C432" t="s">
        <v>2103</v>
      </c>
      <c r="D432" s="5">
        <v>2310</v>
      </c>
    </row>
    <row r="433" spans="1:4" x14ac:dyDescent="0.25">
      <c r="A433" s="8" t="s">
        <v>2104</v>
      </c>
      <c r="B433" s="8">
        <v>1975</v>
      </c>
      <c r="C433" t="s">
        <v>2105</v>
      </c>
      <c r="D433" s="5">
        <v>260</v>
      </c>
    </row>
    <row r="434" spans="1:4" x14ac:dyDescent="0.25">
      <c r="A434" s="8" t="s">
        <v>2106</v>
      </c>
      <c r="B434" s="8">
        <v>4501</v>
      </c>
      <c r="C434" t="s">
        <v>2107</v>
      </c>
      <c r="D434" s="5">
        <v>462.51000000000005</v>
      </c>
    </row>
    <row r="435" spans="1:4" x14ac:dyDescent="0.25">
      <c r="A435" s="8" t="s">
        <v>2108</v>
      </c>
      <c r="B435" s="8">
        <v>4502</v>
      </c>
      <c r="C435" t="s">
        <v>2109</v>
      </c>
      <c r="D435" s="5">
        <v>193.59</v>
      </c>
    </row>
    <row r="436" spans="1:4" x14ac:dyDescent="0.25">
      <c r="A436" s="8" t="s">
        <v>2110</v>
      </c>
      <c r="B436" s="8">
        <v>5001</v>
      </c>
      <c r="C436" t="s">
        <v>2111</v>
      </c>
      <c r="D436" s="5">
        <v>238</v>
      </c>
    </row>
    <row r="437" spans="1:4" x14ac:dyDescent="0.25">
      <c r="A437" s="8" t="s">
        <v>2112</v>
      </c>
      <c r="B437" s="8">
        <v>5002</v>
      </c>
      <c r="C437" t="s">
        <v>2113</v>
      </c>
    </row>
    <row r="438" spans="1:4" x14ac:dyDescent="0.25">
      <c r="A438" s="8" t="s">
        <v>2114</v>
      </c>
      <c r="B438" s="8">
        <v>5003</v>
      </c>
      <c r="C438" t="s">
        <v>2115</v>
      </c>
    </row>
    <row r="439" spans="1:4" x14ac:dyDescent="0.25">
      <c r="A439" s="8" t="s">
        <v>2116</v>
      </c>
      <c r="B439" s="8">
        <v>5004</v>
      </c>
      <c r="C439" t="s">
        <v>2117</v>
      </c>
      <c r="D439" s="5">
        <v>30</v>
      </c>
    </row>
    <row r="440" spans="1:4" x14ac:dyDescent="0.25">
      <c r="A440" s="8" t="s">
        <v>2118</v>
      </c>
      <c r="B440" s="8">
        <v>5005</v>
      </c>
      <c r="C440" t="s">
        <v>2119</v>
      </c>
      <c r="D440" s="5">
        <v>1869</v>
      </c>
    </row>
    <row r="441" spans="1:4" x14ac:dyDescent="0.25">
      <c r="A441" s="8" t="s">
        <v>2120</v>
      </c>
      <c r="B441" s="8">
        <v>5006</v>
      </c>
      <c r="C441" t="s">
        <v>2121</v>
      </c>
      <c r="D441" s="5">
        <v>1235</v>
      </c>
    </row>
    <row r="442" spans="1:4" x14ac:dyDescent="0.25">
      <c r="A442" s="8" t="s">
        <v>2122</v>
      </c>
      <c r="B442" s="8">
        <v>5007</v>
      </c>
      <c r="C442" t="s">
        <v>2105</v>
      </c>
    </row>
    <row r="443" spans="1:4" x14ac:dyDescent="0.25">
      <c r="A443" s="8" t="s">
        <v>2123</v>
      </c>
      <c r="B443" s="8">
        <v>5008</v>
      </c>
      <c r="C443" t="s">
        <v>2124</v>
      </c>
    </row>
    <row r="445" spans="1:4" x14ac:dyDescent="0.25">
      <c r="D445" s="5">
        <v>161093.3077108736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READ-ME</vt:lpstr>
      <vt:lpstr>AM_BoardingByRoute</vt:lpstr>
      <vt:lpstr>MD_BoardingByRoute</vt:lpstr>
      <vt:lpstr>SoundCast_Data</vt:lpstr>
      <vt:lpstr>RouteID_Conversion</vt:lpstr>
      <vt:lpstr>MD_Observed</vt:lpstr>
      <vt:lpstr>import_error</vt:lpstr>
    </vt:vector>
  </TitlesOfParts>
  <Company>Puget Sound Regional Council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Charnews</dc:creator>
  <cp:lastModifiedBy>Suzanne Childress</cp:lastModifiedBy>
  <cp:lastPrinted>2013-11-18T16:21:27Z</cp:lastPrinted>
  <dcterms:created xsi:type="dcterms:W3CDTF">2013-06-12T21:48:09Z</dcterms:created>
  <dcterms:modified xsi:type="dcterms:W3CDTF">2014-06-19T21:08:31Z</dcterms:modified>
</cp:coreProperties>
</file>