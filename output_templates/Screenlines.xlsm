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825" windowWidth="18720" windowHeight="7710" activeTab="1"/>
  </bookViews>
  <sheets>
    <sheet name="READ-ME" sheetId="4" r:id="rId1"/>
    <sheet name="Screenlines" sheetId="1" r:id="rId2"/>
    <sheet name="DataImport" sheetId="3" r:id="rId3"/>
  </sheets>
  <externalReferences>
    <externalReference r:id="rId4"/>
  </externalReferences>
  <definedNames>
    <definedName name="copy_results">'READ-ME'!$C$19</definedName>
    <definedName name="current_results_handle">'READ-ME'!$C$21</definedName>
    <definedName name="file_name1">'READ-ME'!$D$17</definedName>
    <definedName name="import_error">[1]SoundCast_Data!$B$1004</definedName>
    <definedName name="msg_box_results">'READ-ME'!$C$22</definedName>
    <definedName name="past_results_handle">'READ-ME'!$C$20</definedName>
  </definedNames>
  <calcPr calcId="145621"/>
</workbook>
</file>

<file path=xl/calcChain.xml><?xml version="1.0" encoding="utf-8"?>
<calcChain xmlns="http://schemas.openxmlformats.org/spreadsheetml/2006/main">
  <c r="V53" i="1" l="1"/>
  <c r="W53" i="1" s="1"/>
  <c r="V52" i="1"/>
  <c r="W52" i="1" s="1"/>
  <c r="V51" i="1"/>
  <c r="W51" i="1" s="1"/>
  <c r="V50" i="1"/>
  <c r="W50" i="1" s="1"/>
  <c r="V49" i="1"/>
  <c r="W49" i="1" s="1"/>
  <c r="V48" i="1"/>
  <c r="W48" i="1" s="1"/>
  <c r="V47" i="1"/>
  <c r="W47" i="1" s="1"/>
  <c r="V46" i="1"/>
  <c r="W46" i="1" s="1"/>
  <c r="V45" i="1"/>
  <c r="W45" i="1" s="1"/>
  <c r="V44" i="1"/>
  <c r="W44" i="1" s="1"/>
  <c r="V43" i="1"/>
  <c r="W43" i="1" s="1"/>
  <c r="V42" i="1"/>
  <c r="W42" i="1" s="1"/>
  <c r="V26" i="1"/>
  <c r="W26" i="1" l="1"/>
  <c r="V54" i="1"/>
  <c r="W54" i="1" s="1"/>
  <c r="L3" i="4"/>
  <c r="O26" i="1" l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25" i="1"/>
  <c r="P25" i="1" s="1"/>
  <c r="O9" i="1"/>
  <c r="P9" i="1" s="1"/>
  <c r="O20" i="1"/>
  <c r="P20" i="1" s="1"/>
  <c r="O19" i="1"/>
  <c r="P19" i="1" s="1"/>
  <c r="O18" i="1"/>
  <c r="P18" i="1" s="1"/>
  <c r="O17" i="1"/>
  <c r="P17" i="1" s="1"/>
  <c r="O16" i="1"/>
  <c r="P16" i="1" s="1"/>
  <c r="O15" i="1"/>
  <c r="P15" i="1" s="1"/>
  <c r="O14" i="1"/>
  <c r="P14" i="1" s="1"/>
  <c r="O13" i="1"/>
  <c r="P13" i="1" s="1"/>
  <c r="O12" i="1"/>
  <c r="P12" i="1" s="1"/>
  <c r="O11" i="1"/>
  <c r="P11" i="1" s="1"/>
  <c r="O10" i="1"/>
  <c r="P10" i="1" s="1"/>
  <c r="O8" i="1"/>
  <c r="P8" i="1" s="1"/>
  <c r="O22" i="1" l="1"/>
  <c r="O37" i="1"/>
  <c r="J37" i="1"/>
  <c r="J22" i="1"/>
  <c r="H36" i="1"/>
  <c r="G36" i="1"/>
  <c r="F36" i="1"/>
  <c r="E36" i="1"/>
  <c r="H35" i="1"/>
  <c r="G35" i="1"/>
  <c r="F35" i="1"/>
  <c r="E35" i="1"/>
  <c r="H34" i="1"/>
  <c r="G34" i="1"/>
  <c r="F34" i="1"/>
  <c r="E34" i="1"/>
  <c r="H33" i="1"/>
  <c r="G33" i="1"/>
  <c r="F33" i="1"/>
  <c r="E33" i="1"/>
  <c r="H32" i="1"/>
  <c r="G32" i="1"/>
  <c r="F32" i="1"/>
  <c r="E32" i="1"/>
  <c r="H31" i="1"/>
  <c r="G31" i="1"/>
  <c r="F31" i="1"/>
  <c r="E31" i="1"/>
  <c r="H30" i="1"/>
  <c r="G30" i="1"/>
  <c r="F30" i="1"/>
  <c r="E30" i="1"/>
  <c r="H29" i="1"/>
  <c r="G29" i="1"/>
  <c r="F29" i="1"/>
  <c r="E29" i="1"/>
  <c r="H28" i="1"/>
  <c r="G28" i="1"/>
  <c r="F28" i="1"/>
  <c r="E28" i="1"/>
  <c r="H27" i="1"/>
  <c r="G27" i="1"/>
  <c r="F27" i="1"/>
  <c r="E27" i="1"/>
  <c r="H26" i="1"/>
  <c r="G26" i="1"/>
  <c r="F26" i="1"/>
  <c r="E26" i="1"/>
  <c r="H25" i="1"/>
  <c r="G25" i="1"/>
  <c r="F25" i="1"/>
  <c r="E25" i="1"/>
  <c r="H9" i="1"/>
  <c r="G9" i="1"/>
  <c r="F9" i="1"/>
  <c r="E9" i="1"/>
  <c r="H20" i="1"/>
  <c r="G20" i="1"/>
  <c r="F20" i="1"/>
  <c r="E20" i="1"/>
  <c r="H19" i="1"/>
  <c r="G19" i="1"/>
  <c r="F19" i="1"/>
  <c r="E19" i="1"/>
  <c r="H18" i="1"/>
  <c r="G18" i="1"/>
  <c r="F18" i="1"/>
  <c r="E18" i="1"/>
  <c r="H17" i="1"/>
  <c r="G17" i="1"/>
  <c r="F17" i="1"/>
  <c r="E17" i="1"/>
  <c r="H16" i="1"/>
  <c r="G16" i="1"/>
  <c r="F16" i="1"/>
  <c r="E16" i="1"/>
  <c r="H15" i="1"/>
  <c r="G15" i="1"/>
  <c r="F15" i="1"/>
  <c r="E15" i="1"/>
  <c r="H14" i="1"/>
  <c r="G14" i="1"/>
  <c r="F14" i="1"/>
  <c r="E14" i="1"/>
  <c r="H13" i="1"/>
  <c r="G13" i="1"/>
  <c r="F13" i="1"/>
  <c r="E13" i="1"/>
  <c r="H12" i="1"/>
  <c r="G12" i="1"/>
  <c r="F12" i="1"/>
  <c r="E12" i="1"/>
  <c r="H11" i="1"/>
  <c r="G11" i="1"/>
  <c r="F11" i="1"/>
  <c r="E11" i="1"/>
  <c r="H10" i="1"/>
  <c r="G10" i="1"/>
  <c r="F10" i="1"/>
  <c r="E10" i="1"/>
  <c r="H8" i="1"/>
  <c r="G8" i="1"/>
  <c r="F8" i="1"/>
  <c r="E8" i="1"/>
  <c r="D36" i="1"/>
  <c r="D35" i="1"/>
  <c r="D34" i="1"/>
  <c r="D33" i="1"/>
  <c r="D32" i="1"/>
  <c r="D31" i="1"/>
  <c r="D30" i="1"/>
  <c r="I30" i="1" s="1"/>
  <c r="K30" i="1" s="1"/>
  <c r="V30" i="1" s="1"/>
  <c r="W30" i="1" s="1"/>
  <c r="D29" i="1"/>
  <c r="D28" i="1"/>
  <c r="D27" i="1"/>
  <c r="D26" i="1"/>
  <c r="D25" i="1"/>
  <c r="D9" i="1"/>
  <c r="D20" i="1"/>
  <c r="D19" i="1"/>
  <c r="I19" i="1" s="1"/>
  <c r="K19" i="1" s="1"/>
  <c r="D18" i="1"/>
  <c r="D17" i="1"/>
  <c r="D16" i="1"/>
  <c r="D15" i="1"/>
  <c r="D14" i="1"/>
  <c r="D13" i="1"/>
  <c r="D12" i="1"/>
  <c r="D11" i="1"/>
  <c r="I11" i="1" s="1"/>
  <c r="K11" i="1" s="1"/>
  <c r="D10" i="1"/>
  <c r="D8" i="1"/>
  <c r="I33" i="1" l="1"/>
  <c r="K33" i="1" s="1"/>
  <c r="V33" i="1" s="1"/>
  <c r="W33" i="1" s="1"/>
  <c r="I14" i="1"/>
  <c r="K14" i="1" s="1"/>
  <c r="I25" i="1"/>
  <c r="K25" i="1" s="1"/>
  <c r="V25" i="1" s="1"/>
  <c r="I13" i="1"/>
  <c r="K13" i="1" s="1"/>
  <c r="I9" i="1"/>
  <c r="K9" i="1" s="1"/>
  <c r="I32" i="1"/>
  <c r="K32" i="1" s="1"/>
  <c r="V32" i="1" s="1"/>
  <c r="W32" i="1" s="1"/>
  <c r="I12" i="1"/>
  <c r="K12" i="1" s="1"/>
  <c r="I20" i="1"/>
  <c r="K20" i="1" s="1"/>
  <c r="I31" i="1"/>
  <c r="K31" i="1" s="1"/>
  <c r="V31" i="1" s="1"/>
  <c r="W31" i="1" s="1"/>
  <c r="I34" i="1"/>
  <c r="K34" i="1" s="1"/>
  <c r="V34" i="1" s="1"/>
  <c r="W34" i="1" s="1"/>
  <c r="I16" i="1"/>
  <c r="K16" i="1" s="1"/>
  <c r="I27" i="1"/>
  <c r="K27" i="1" s="1"/>
  <c r="V27" i="1" s="1"/>
  <c r="W27" i="1" s="1"/>
  <c r="I35" i="1"/>
  <c r="K35" i="1" s="1"/>
  <c r="V35" i="1" s="1"/>
  <c r="W35" i="1" s="1"/>
  <c r="I15" i="1"/>
  <c r="K15" i="1" s="1"/>
  <c r="I8" i="1"/>
  <c r="I17" i="1"/>
  <c r="K17" i="1" s="1"/>
  <c r="I28" i="1"/>
  <c r="K28" i="1" s="1"/>
  <c r="V28" i="1" s="1"/>
  <c r="W28" i="1" s="1"/>
  <c r="I36" i="1"/>
  <c r="K36" i="1" s="1"/>
  <c r="V36" i="1" s="1"/>
  <c r="W36" i="1" s="1"/>
  <c r="I26" i="1"/>
  <c r="K26" i="1" s="1"/>
  <c r="I10" i="1"/>
  <c r="K10" i="1" s="1"/>
  <c r="I18" i="1"/>
  <c r="K18" i="1" s="1"/>
  <c r="I29" i="1"/>
  <c r="K29" i="1" s="1"/>
  <c r="V29" i="1" s="1"/>
  <c r="W29" i="1" s="1"/>
  <c r="P37" i="1"/>
  <c r="P22" i="1"/>
  <c r="H22" i="1"/>
  <c r="G22" i="1"/>
  <c r="G37" i="1"/>
  <c r="H37" i="1"/>
  <c r="F22" i="1"/>
  <c r="D22" i="1"/>
  <c r="F37" i="1"/>
  <c r="E22" i="1"/>
  <c r="E37" i="1"/>
  <c r="J38" i="1"/>
  <c r="D37" i="1"/>
  <c r="W25" i="1" l="1"/>
  <c r="F38" i="1"/>
  <c r="I37" i="1"/>
  <c r="K8" i="1"/>
  <c r="I22" i="1"/>
  <c r="K22" i="1" s="1"/>
  <c r="G38" i="1"/>
  <c r="H38" i="1"/>
  <c r="D38" i="1"/>
  <c r="E38" i="1"/>
  <c r="I38" i="1" l="1"/>
  <c r="K38" i="1" s="1"/>
  <c r="K37" i="1"/>
  <c r="V37" i="1" s="1"/>
  <c r="W37" i="1" l="1"/>
  <c r="V39" i="1"/>
  <c r="W39" i="1" s="1"/>
</calcChain>
</file>

<file path=xl/sharedStrings.xml><?xml version="1.0" encoding="utf-8"?>
<sst xmlns="http://schemas.openxmlformats.org/spreadsheetml/2006/main" count="162" uniqueCount="62">
  <si>
    <t xml:space="preserve"> </t>
  </si>
  <si>
    <t>Primary Screenline</t>
  </si>
  <si>
    <t>Tacoma - East of CBD</t>
  </si>
  <si>
    <t>Auburn</t>
  </si>
  <si>
    <t>Tukwila</t>
  </si>
  <si>
    <t>Renton</t>
  </si>
  <si>
    <t>Seattle - South of CBD</t>
  </si>
  <si>
    <t>Bellevue/ Redmond</t>
  </si>
  <si>
    <t>TransLake</t>
  </si>
  <si>
    <t>Ship Canal</t>
  </si>
  <si>
    <t>Kirkland/Redmond</t>
  </si>
  <si>
    <t>Seattle - North</t>
  </si>
  <si>
    <t>Lynnwood/Bothell</t>
  </si>
  <si>
    <t>Bothell</t>
  </si>
  <si>
    <t>Mill Creek</t>
  </si>
  <si>
    <t>CBD Cordon</t>
  </si>
  <si>
    <t>Subtotal</t>
  </si>
  <si>
    <t>Secondary Screenline</t>
  </si>
  <si>
    <t>Parkland</t>
  </si>
  <si>
    <t>Puyallup</t>
  </si>
  <si>
    <t>Tacoma Narrows</t>
  </si>
  <si>
    <t>Maple Valley</t>
  </si>
  <si>
    <t>SeaTac</t>
  </si>
  <si>
    <t>Kent</t>
  </si>
  <si>
    <t>Gig Harbor</t>
  </si>
  <si>
    <t>Kitsap - North</t>
  </si>
  <si>
    <t>Agate Pass</t>
  </si>
  <si>
    <t>Cross-Sound</t>
  </si>
  <si>
    <t>Preston, Issaquah</t>
  </si>
  <si>
    <t>Woodinville</t>
  </si>
  <si>
    <t>Grand Total</t>
  </si>
  <si>
    <t>AM</t>
  </si>
  <si>
    <t>MD</t>
  </si>
  <si>
    <t>PM</t>
  </si>
  <si>
    <t>EV</t>
  </si>
  <si>
    <t>NI</t>
  </si>
  <si>
    <t>14/15</t>
  </si>
  <si>
    <t>Estimated</t>
  </si>
  <si>
    <t>Estimated/</t>
  </si>
  <si>
    <t>Screenline Volume Comparison</t>
  </si>
  <si>
    <t>Feedback 2</t>
  </si>
  <si>
    <t>Obs/Est</t>
  </si>
  <si>
    <t>4K</t>
  </si>
  <si>
    <t>Observed Total</t>
  </si>
  <si>
    <t>Modeled Over Observed</t>
  </si>
  <si>
    <t>File Name</t>
  </si>
  <si>
    <t>Errors</t>
  </si>
  <si>
    <t>Contents and Functions</t>
  </si>
  <si>
    <t>Macros</t>
  </si>
  <si>
    <t>Screenlines.xlsm</t>
  </si>
  <si>
    <t>Compares screenline volumes</t>
  </si>
  <si>
    <t>File Name:</t>
  </si>
  <si>
    <t>screenline_volumes.csv</t>
  </si>
  <si>
    <t>Copy current results for comparison?</t>
  </si>
  <si>
    <t>Yes</t>
  </si>
  <si>
    <t>Past Results Scenario Name or Run Number</t>
  </si>
  <si>
    <t>Past Run Results</t>
  </si>
  <si>
    <t>Current Run Results</t>
  </si>
  <si>
    <t>Scenario/Run Number:</t>
  </si>
  <si>
    <t>Current Results Scenario Name or Run Number</t>
  </si>
  <si>
    <t>Show message box on completion?</t>
  </si>
  <si>
    <t>Macro requires 1 input file to be saved in the same directory as this spreadsheet. File name below must match file name in directory.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</si>
</sst>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4" applyNumberFormat="0" applyAlignment="0" applyProtection="0"/>
    <xf numFmtId="0" fontId="10" fillId="8" borderId="5" applyNumberFormat="0" applyAlignment="0" applyProtection="0"/>
    <xf numFmtId="0" fontId="11" fillId="8" borderId="4" applyNumberFormat="0" applyAlignment="0" applyProtection="0"/>
    <xf numFmtId="0" fontId="12" fillId="0" borderId="6" applyNumberFormat="0" applyFill="0" applyAlignment="0" applyProtection="0"/>
    <xf numFmtId="0" fontId="13" fillId="9" borderId="7" applyNumberFormat="0" applyAlignment="0" applyProtection="0"/>
    <xf numFmtId="0" fontId="14" fillId="0" borderId="0" applyNumberFormat="0" applyFill="0" applyBorder="0" applyAlignment="0" applyProtection="0"/>
    <xf numFmtId="0" fontId="1" fillId="10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7" fillId="34" borderId="0" applyNumberFormat="0" applyBorder="0" applyAlignment="0" applyProtection="0"/>
  </cellStyleXfs>
  <cellXfs count="102">
    <xf numFmtId="0" fontId="0" fillId="0" borderId="0" xfId="0"/>
    <xf numFmtId="0" fontId="0" fillId="0" borderId="0" xfId="0"/>
    <xf numFmtId="3" fontId="16" fillId="35" borderId="0" xfId="0" applyNumberFormat="1" applyFont="1" applyFill="1"/>
    <xf numFmtId="0" fontId="0" fillId="0" borderId="0" xfId="0" applyAlignment="1">
      <alignment horizontal="center"/>
    </xf>
    <xf numFmtId="0" fontId="0" fillId="0" borderId="0" xfId="0" applyBorder="1"/>
    <xf numFmtId="0" fontId="16" fillId="36" borderId="10" xfId="0" applyFont="1" applyFill="1" applyBorder="1"/>
    <xf numFmtId="0" fontId="0" fillId="36" borderId="11" xfId="0" applyFill="1" applyBorder="1"/>
    <xf numFmtId="0" fontId="0" fillId="36" borderId="12" xfId="0" applyFill="1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6" fillId="36" borderId="15" xfId="0" applyFont="1" applyFill="1" applyBorder="1"/>
    <xf numFmtId="0" fontId="0" fillId="36" borderId="16" xfId="0" applyFill="1" applyBorder="1"/>
    <xf numFmtId="0" fontId="0" fillId="36" borderId="17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7" xfId="0" applyFill="1" applyBorder="1"/>
    <xf numFmtId="0" fontId="0" fillId="0" borderId="13" xfId="0" applyFill="1" applyBorder="1"/>
    <xf numFmtId="0" fontId="0" fillId="0" borderId="0" xfId="0" applyFill="1" applyBorder="1"/>
    <xf numFmtId="0" fontId="0" fillId="0" borderId="14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4" xfId="0" applyFill="1" applyBorder="1"/>
    <xf numFmtId="0" fontId="0" fillId="0" borderId="0" xfId="0" applyFill="1" applyBorder="1" applyAlignment="1">
      <alignment horizontal="left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16" fillId="37" borderId="21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NumberFormat="1" applyFont="1" applyBorder="1" applyAlignment="1">
      <alignment horizontal="center"/>
    </xf>
    <xf numFmtId="2" fontId="19" fillId="0" borderId="0" xfId="0" applyNumberFormat="1" applyFont="1" applyBorder="1" applyAlignment="1">
      <alignment horizontal="center"/>
    </xf>
    <xf numFmtId="3" fontId="0" fillId="35" borderId="0" xfId="0" applyNumberFormat="1" applyFont="1" applyFill="1"/>
    <xf numFmtId="0" fontId="0" fillId="35" borderId="0" xfId="0" applyFont="1" applyFill="1"/>
    <xf numFmtId="2" fontId="0" fillId="0" borderId="0" xfId="0" applyNumberFormat="1" applyFont="1" applyAlignment="1">
      <alignment horizontal="center"/>
    </xf>
    <xf numFmtId="2" fontId="0" fillId="0" borderId="0" xfId="0" applyNumberFormat="1" applyFont="1"/>
    <xf numFmtId="0" fontId="20" fillId="0" borderId="0" xfId="0" applyFont="1"/>
    <xf numFmtId="3" fontId="20" fillId="0" borderId="0" xfId="0" applyNumberFormat="1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6" fillId="0" borderId="0" xfId="0" applyFont="1" applyFill="1" applyBorder="1" applyAlignment="1">
      <alignment horizontal="left"/>
    </xf>
    <xf numFmtId="2" fontId="19" fillId="0" borderId="21" xfId="0" applyNumberFormat="1" applyFont="1" applyBorder="1" applyAlignment="1">
      <alignment horizontal="center"/>
    </xf>
    <xf numFmtId="2" fontId="19" fillId="0" borderId="21" xfId="0" applyNumberFormat="1" applyFont="1" applyFill="1" applyBorder="1" applyAlignment="1">
      <alignment horizontal="center"/>
    </xf>
    <xf numFmtId="2" fontId="19" fillId="35" borderId="21" xfId="0" applyNumberFormat="1" applyFont="1" applyFill="1" applyBorder="1" applyAlignment="1">
      <alignment horizontal="center"/>
    </xf>
    <xf numFmtId="0" fontId="0" fillId="35" borderId="21" xfId="0" applyFont="1" applyFill="1" applyBorder="1"/>
    <xf numFmtId="0" fontId="19" fillId="0" borderId="21" xfId="0" applyFont="1" applyBorder="1"/>
    <xf numFmtId="0" fontId="19" fillId="0" borderId="21" xfId="0" applyFont="1" applyBorder="1" applyAlignment="1">
      <alignment horizontal="center"/>
    </xf>
    <xf numFmtId="3" fontId="19" fillId="0" borderId="21" xfId="0" applyNumberFormat="1" applyFont="1" applyBorder="1" applyAlignment="1">
      <alignment horizontal="center"/>
    </xf>
    <xf numFmtId="2" fontId="0" fillId="0" borderId="21" xfId="0" applyNumberFormat="1" applyFont="1" applyBorder="1" applyAlignment="1">
      <alignment horizontal="center"/>
    </xf>
    <xf numFmtId="2" fontId="0" fillId="0" borderId="21" xfId="0" applyNumberFormat="1" applyFont="1" applyBorder="1"/>
    <xf numFmtId="3" fontId="0" fillId="35" borderId="21" xfId="0" applyNumberFormat="1" applyFont="1" applyFill="1" applyBorder="1"/>
    <xf numFmtId="2" fontId="0" fillId="35" borderId="21" xfId="0" applyNumberFormat="1" applyFont="1" applyFill="1" applyBorder="1"/>
    <xf numFmtId="3" fontId="19" fillId="0" borderId="21" xfId="0" applyNumberFormat="1" applyFont="1" applyFill="1" applyBorder="1" applyAlignment="1">
      <alignment horizontal="center"/>
    </xf>
    <xf numFmtId="0" fontId="19" fillId="2" borderId="21" xfId="0" applyFont="1" applyFill="1" applyBorder="1"/>
    <xf numFmtId="0" fontId="19" fillId="2" borderId="21" xfId="0" applyFont="1" applyFill="1" applyBorder="1" applyAlignment="1">
      <alignment horizontal="center"/>
    </xf>
    <xf numFmtId="3" fontId="19" fillId="2" borderId="21" xfId="0" applyNumberFormat="1" applyFont="1" applyFill="1" applyBorder="1" applyAlignment="1">
      <alignment horizontal="center"/>
    </xf>
    <xf numFmtId="2" fontId="0" fillId="3" borderId="21" xfId="0" applyNumberFormat="1" applyFont="1" applyFill="1" applyBorder="1" applyAlignment="1">
      <alignment horizontal="center"/>
    </xf>
    <xf numFmtId="0" fontId="20" fillId="0" borderId="21" xfId="0" applyFont="1" applyBorder="1"/>
    <xf numFmtId="0" fontId="20" fillId="0" borderId="21" xfId="0" applyFont="1" applyBorder="1" applyAlignment="1">
      <alignment horizontal="center"/>
    </xf>
    <xf numFmtId="3" fontId="20" fillId="0" borderId="21" xfId="0" applyNumberFormat="1" applyFont="1" applyBorder="1" applyAlignment="1">
      <alignment horizontal="center"/>
    </xf>
    <xf numFmtId="2" fontId="16" fillId="0" borderId="21" xfId="0" applyNumberFormat="1" applyFont="1" applyBorder="1" applyAlignment="1">
      <alignment horizontal="center"/>
    </xf>
    <xf numFmtId="2" fontId="16" fillId="0" borderId="21" xfId="0" applyNumberFormat="1" applyFont="1" applyBorder="1"/>
    <xf numFmtId="3" fontId="16" fillId="35" borderId="21" xfId="0" applyNumberFormat="1" applyFont="1" applyFill="1" applyBorder="1"/>
    <xf numFmtId="2" fontId="16" fillId="35" borderId="21" xfId="0" applyNumberFormat="1" applyFont="1" applyFill="1" applyBorder="1"/>
    <xf numFmtId="164" fontId="0" fillId="0" borderId="21" xfId="0" applyNumberFormat="1" applyFont="1" applyBorder="1"/>
    <xf numFmtId="0" fontId="0" fillId="0" borderId="0" xfId="0" applyFont="1" applyFill="1" applyBorder="1"/>
    <xf numFmtId="0" fontId="0" fillId="0" borderId="0" xfId="0" applyFont="1"/>
    <xf numFmtId="0" fontId="16" fillId="36" borderId="10" xfId="0" applyFont="1" applyFill="1" applyBorder="1" applyAlignment="1">
      <alignment horizontal="left" vertical="top" wrapText="1"/>
    </xf>
    <xf numFmtId="0" fontId="16" fillId="36" borderId="11" xfId="0" applyFont="1" applyFill="1" applyBorder="1" applyAlignment="1">
      <alignment horizontal="left" vertical="top" wrapText="1"/>
    </xf>
    <xf numFmtId="0" fontId="16" fillId="36" borderId="12" xfId="0" applyFont="1" applyFill="1" applyBorder="1" applyAlignment="1">
      <alignment horizontal="left" vertical="top" wrapText="1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3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37" borderId="10" xfId="0" applyFill="1" applyBorder="1" applyAlignment="1">
      <alignment horizontal="left"/>
    </xf>
    <xf numFmtId="0" fontId="0" fillId="37" borderId="11" xfId="0" applyFill="1" applyBorder="1" applyAlignment="1">
      <alignment horizontal="left"/>
    </xf>
    <xf numFmtId="0" fontId="0" fillId="37" borderId="12" xfId="0" applyFill="1" applyBorder="1" applyAlignment="1">
      <alignment horizontal="left"/>
    </xf>
    <xf numFmtId="2" fontId="19" fillId="0" borderId="21" xfId="0" applyNumberFormat="1" applyFont="1" applyBorder="1" applyAlignment="1"/>
    <xf numFmtId="2" fontId="0" fillId="0" borderId="21" xfId="0" applyNumberFormat="1" applyFont="1" applyBorder="1" applyAlignment="1"/>
    <xf numFmtId="0" fontId="19" fillId="0" borderId="21" xfId="0" applyFont="1" applyBorder="1" applyAlignment="1"/>
    <xf numFmtId="0" fontId="0" fillId="0" borderId="21" xfId="0" applyFont="1" applyBorder="1" applyAlignment="1"/>
    <xf numFmtId="2" fontId="19" fillId="0" borderId="0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9</xdr:row>
      <xdr:rowOff>125730</xdr:rowOff>
    </xdr:from>
    <xdr:to>
      <xdr:col>4</xdr:col>
      <xdr:colOff>350520</xdr:colOff>
      <xdr:row>14</xdr:row>
      <xdr:rowOff>160020</xdr:rowOff>
    </xdr:to>
    <xdr:sp macro="[0]!ImportScreenLineData" textlink="">
      <xdr:nvSpPr>
        <xdr:cNvPr id="2" name="Rounded Rectangle 1"/>
        <xdr:cNvSpPr/>
      </xdr:nvSpPr>
      <xdr:spPr>
        <a:xfrm>
          <a:off x="434340" y="1954530"/>
          <a:ext cx="1965960" cy="948690"/>
        </a:xfrm>
        <a:prstGeom prst="roundRect">
          <a:avLst/>
        </a:prstGeom>
        <a:solidFill>
          <a:schemeClr val="accent3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Click here to</a:t>
          </a:r>
          <a:r>
            <a:rPr lang="en-US" sz="1400" b="1" baseline="0">
              <a:solidFill>
                <a:schemeClr val="bg1"/>
              </a:solidFill>
            </a:rPr>
            <a:t> import screenline summaries!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alidation\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6"/>
  <sheetViews>
    <sheetView workbookViewId="0">
      <selection activeCell="M19" sqref="M19"/>
    </sheetView>
  </sheetViews>
  <sheetFormatPr defaultColWidth="8.85546875" defaultRowHeight="15" x14ac:dyDescent="0.25"/>
  <cols>
    <col min="1" max="1" width="3.28515625" style="1" customWidth="1"/>
    <col min="2" max="2" width="3.7109375" style="1" customWidth="1"/>
    <col min="3" max="3" width="9.7109375" style="1" customWidth="1"/>
    <col min="4" max="8" width="8.85546875" style="1"/>
    <col min="9" max="9" width="11.7109375" style="1" customWidth="1"/>
    <col min="10" max="10" width="7.28515625" style="1" customWidth="1"/>
    <col min="11" max="11" width="6" style="1" customWidth="1"/>
    <col min="12" max="12" width="11.28515625" style="1" customWidth="1"/>
    <col min="13" max="16384" width="8.85546875" style="1"/>
  </cols>
  <sheetData>
    <row r="1" spans="1:15" ht="14.45" x14ac:dyDescent="0.3">
      <c r="A1" s="4"/>
      <c r="B1" s="4"/>
      <c r="C1" s="4"/>
      <c r="D1" s="4"/>
      <c r="E1" s="4"/>
      <c r="F1" s="4"/>
      <c r="G1" s="4"/>
      <c r="H1" s="4"/>
      <c r="I1" s="4"/>
      <c r="J1" s="4"/>
    </row>
    <row r="2" spans="1:15" ht="14.45" x14ac:dyDescent="0.3">
      <c r="A2" s="4"/>
      <c r="B2" s="5" t="s">
        <v>45</v>
      </c>
      <c r="C2" s="6"/>
      <c r="D2" s="6"/>
      <c r="E2" s="6"/>
      <c r="F2" s="6"/>
      <c r="G2" s="6"/>
      <c r="H2" s="6"/>
      <c r="I2" s="6"/>
      <c r="J2" s="7"/>
      <c r="L2" s="71" t="s">
        <v>46</v>
      </c>
      <c r="M2" s="72"/>
      <c r="N2" s="72"/>
      <c r="O2" s="73"/>
    </row>
    <row r="3" spans="1:15" ht="14.45" x14ac:dyDescent="0.3">
      <c r="A3" s="4"/>
      <c r="B3" s="74" t="s">
        <v>49</v>
      </c>
      <c r="C3" s="75"/>
      <c r="D3" s="75"/>
      <c r="E3" s="75"/>
      <c r="F3" s="75"/>
      <c r="G3" s="75"/>
      <c r="H3" s="75"/>
      <c r="I3" s="75"/>
      <c r="J3" s="76"/>
      <c r="L3" s="41" t="str">
        <f>import_error</f>
        <v>No Error</v>
      </c>
      <c r="M3" s="42"/>
      <c r="N3" s="42"/>
      <c r="O3" s="43"/>
    </row>
    <row r="4" spans="1:15" ht="14.45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8"/>
      <c r="M4" s="4"/>
      <c r="N4" s="4"/>
      <c r="O4" s="9"/>
    </row>
    <row r="5" spans="1:15" ht="14.45" x14ac:dyDescent="0.3">
      <c r="A5" s="4"/>
      <c r="B5" s="5" t="s">
        <v>47</v>
      </c>
      <c r="C5" s="6"/>
      <c r="D5" s="6"/>
      <c r="E5" s="6"/>
      <c r="F5" s="6"/>
      <c r="G5" s="6"/>
      <c r="H5" s="6"/>
      <c r="I5" s="6"/>
      <c r="J5" s="7"/>
      <c r="L5" s="8"/>
      <c r="M5" s="4"/>
      <c r="N5" s="4"/>
      <c r="O5" s="9"/>
    </row>
    <row r="6" spans="1:15" x14ac:dyDescent="0.25">
      <c r="A6" s="4"/>
      <c r="B6" s="77" t="s">
        <v>50</v>
      </c>
      <c r="C6" s="78"/>
      <c r="D6" s="78"/>
      <c r="E6" s="78"/>
      <c r="F6" s="78"/>
      <c r="G6" s="78"/>
      <c r="H6" s="78"/>
      <c r="I6" s="78"/>
      <c r="J6" s="79"/>
      <c r="L6" s="8"/>
      <c r="M6" s="4"/>
      <c r="N6" s="4"/>
      <c r="O6" s="9"/>
    </row>
    <row r="7" spans="1:15" x14ac:dyDescent="0.25">
      <c r="A7" s="4"/>
      <c r="B7" s="80"/>
      <c r="C7" s="81"/>
      <c r="D7" s="81"/>
      <c r="E7" s="81"/>
      <c r="F7" s="81"/>
      <c r="G7" s="81"/>
      <c r="H7" s="81"/>
      <c r="I7" s="81"/>
      <c r="J7" s="82"/>
      <c r="L7" s="10"/>
      <c r="M7" s="11"/>
      <c r="N7" s="11"/>
      <c r="O7" s="12"/>
    </row>
    <row r="8" spans="1:15" ht="14.45" x14ac:dyDescent="0.3">
      <c r="A8" s="4"/>
      <c r="B8" s="4"/>
      <c r="C8" s="4"/>
      <c r="D8" s="4"/>
      <c r="E8" s="4"/>
      <c r="F8" s="4"/>
      <c r="G8" s="4"/>
      <c r="H8" s="4"/>
      <c r="I8" s="4"/>
      <c r="J8" s="4"/>
    </row>
    <row r="9" spans="1:15" ht="14.45" x14ac:dyDescent="0.3">
      <c r="A9" s="4"/>
      <c r="B9" s="13" t="s">
        <v>48</v>
      </c>
      <c r="C9" s="14"/>
      <c r="D9" s="14"/>
      <c r="E9" s="14"/>
      <c r="F9" s="14"/>
      <c r="G9" s="14"/>
      <c r="H9" s="14"/>
      <c r="I9" s="14"/>
      <c r="J9" s="15"/>
      <c r="N9" s="4"/>
      <c r="O9" s="4"/>
    </row>
    <row r="10" spans="1:15" ht="14.45" x14ac:dyDescent="0.3">
      <c r="A10" s="4"/>
      <c r="B10" s="16"/>
      <c r="C10" s="17"/>
      <c r="D10" s="17"/>
      <c r="E10" s="17"/>
      <c r="F10" s="17"/>
      <c r="G10" s="17"/>
      <c r="H10" s="17"/>
      <c r="I10" s="17"/>
      <c r="J10" s="18"/>
      <c r="N10" s="4"/>
      <c r="O10" s="4"/>
    </row>
    <row r="11" spans="1:15" ht="14.45" customHeight="1" x14ac:dyDescent="0.25">
      <c r="A11" s="4"/>
      <c r="B11" s="19"/>
      <c r="C11" s="20"/>
      <c r="D11" s="20"/>
      <c r="E11" s="20"/>
      <c r="F11" s="83" t="s">
        <v>61</v>
      </c>
      <c r="G11" s="84"/>
      <c r="H11" s="84"/>
      <c r="I11" s="85"/>
      <c r="J11" s="21"/>
      <c r="K11" s="22"/>
      <c r="L11" s="22"/>
      <c r="M11" s="22"/>
      <c r="N11" s="22"/>
      <c r="O11" s="4"/>
    </row>
    <row r="12" spans="1:15" x14ac:dyDescent="0.25">
      <c r="B12" s="19"/>
      <c r="C12" s="20"/>
      <c r="D12" s="20"/>
      <c r="E12" s="20"/>
      <c r="F12" s="86"/>
      <c r="G12" s="87"/>
      <c r="H12" s="87"/>
      <c r="I12" s="88"/>
      <c r="J12" s="21"/>
      <c r="K12" s="22"/>
      <c r="L12" s="22"/>
      <c r="M12" s="22"/>
      <c r="N12" s="22"/>
      <c r="O12" s="4"/>
    </row>
    <row r="13" spans="1:15" x14ac:dyDescent="0.25">
      <c r="B13" s="19"/>
      <c r="C13" s="20"/>
      <c r="D13" s="20"/>
      <c r="E13" s="20"/>
      <c r="F13" s="86"/>
      <c r="G13" s="87"/>
      <c r="H13" s="87"/>
      <c r="I13" s="88"/>
      <c r="J13" s="23"/>
      <c r="N13" s="4"/>
      <c r="O13" s="4"/>
    </row>
    <row r="14" spans="1:15" x14ac:dyDescent="0.25">
      <c r="B14" s="19"/>
      <c r="C14" s="20"/>
      <c r="D14" s="20"/>
      <c r="E14" s="20"/>
      <c r="F14" s="86"/>
      <c r="G14" s="87"/>
      <c r="H14" s="87"/>
      <c r="I14" s="88"/>
      <c r="J14" s="23"/>
      <c r="N14" s="4"/>
      <c r="O14" s="4"/>
    </row>
    <row r="15" spans="1:15" x14ac:dyDescent="0.25">
      <c r="B15" s="19"/>
      <c r="C15" s="20"/>
      <c r="D15" s="20"/>
      <c r="E15" s="20"/>
      <c r="F15" s="89"/>
      <c r="G15" s="90"/>
      <c r="H15" s="90"/>
      <c r="I15" s="91"/>
      <c r="J15" s="23"/>
      <c r="N15" s="4"/>
      <c r="O15" s="4"/>
    </row>
    <row r="16" spans="1:15" ht="14.45" x14ac:dyDescent="0.3">
      <c r="B16" s="8"/>
      <c r="C16" s="20"/>
      <c r="D16" s="20"/>
      <c r="E16" s="20"/>
      <c r="F16" s="20"/>
      <c r="G16" s="20"/>
      <c r="H16" s="20"/>
      <c r="I16" s="20"/>
      <c r="J16" s="23"/>
    </row>
    <row r="17" spans="2:10" ht="14.45" x14ac:dyDescent="0.3">
      <c r="B17" s="8"/>
      <c r="C17" s="44" t="s">
        <v>51</v>
      </c>
      <c r="D17" s="92" t="s">
        <v>52</v>
      </c>
      <c r="E17" s="93"/>
      <c r="F17" s="93"/>
      <c r="G17" s="93"/>
      <c r="H17" s="93"/>
      <c r="I17" s="94"/>
      <c r="J17" s="23"/>
    </row>
    <row r="18" spans="2:10" ht="14.45" x14ac:dyDescent="0.3">
      <c r="B18" s="8"/>
      <c r="C18" s="24"/>
      <c r="D18" s="20"/>
      <c r="E18" s="20"/>
      <c r="F18" s="20"/>
      <c r="G18" s="20"/>
      <c r="H18" s="20"/>
      <c r="I18" s="20"/>
      <c r="J18" s="23"/>
    </row>
    <row r="19" spans="2:10" ht="14.45" x14ac:dyDescent="0.3">
      <c r="B19" s="8"/>
      <c r="C19" s="28" t="s">
        <v>54</v>
      </c>
      <c r="D19" s="16" t="s">
        <v>53</v>
      </c>
      <c r="E19" s="17"/>
      <c r="F19" s="17"/>
      <c r="G19" s="17"/>
      <c r="H19" s="17"/>
      <c r="I19" s="18"/>
      <c r="J19" s="23"/>
    </row>
    <row r="20" spans="2:10" ht="14.45" x14ac:dyDescent="0.3">
      <c r="B20" s="8"/>
      <c r="C20" s="28">
        <v>52</v>
      </c>
      <c r="D20" s="19" t="s">
        <v>55</v>
      </c>
      <c r="E20" s="20"/>
      <c r="F20" s="20"/>
      <c r="G20" s="20"/>
      <c r="H20" s="20"/>
      <c r="I20" s="23"/>
      <c r="J20" s="23"/>
    </row>
    <row r="21" spans="2:10" ht="14.45" x14ac:dyDescent="0.3">
      <c r="B21" s="8"/>
      <c r="C21" s="28">
        <v>53</v>
      </c>
      <c r="D21" s="19" t="s">
        <v>59</v>
      </c>
      <c r="E21" s="20"/>
      <c r="F21" s="20"/>
      <c r="G21" s="20"/>
      <c r="H21" s="20"/>
      <c r="I21" s="23"/>
      <c r="J21" s="23"/>
    </row>
    <row r="22" spans="2:10" ht="14.45" x14ac:dyDescent="0.3">
      <c r="B22" s="8"/>
      <c r="C22" s="28" t="s">
        <v>54</v>
      </c>
      <c r="D22" s="25" t="s">
        <v>60</v>
      </c>
      <c r="E22" s="26"/>
      <c r="F22" s="26"/>
      <c r="G22" s="26"/>
      <c r="H22" s="26"/>
      <c r="I22" s="27"/>
      <c r="J22" s="23"/>
    </row>
    <row r="23" spans="2:10" ht="14.45" x14ac:dyDescent="0.3">
      <c r="B23" s="25"/>
      <c r="C23" s="26"/>
      <c r="D23" s="26"/>
      <c r="E23" s="26"/>
      <c r="F23" s="26"/>
      <c r="G23" s="26"/>
      <c r="H23" s="26"/>
      <c r="I23" s="26"/>
      <c r="J23" s="27"/>
    </row>
    <row r="26" spans="2:10" x14ac:dyDescent="0.25">
      <c r="F26" s="3"/>
    </row>
  </sheetData>
  <mergeCells count="5">
    <mergeCell ref="L2:O2"/>
    <mergeCell ref="B3:J3"/>
    <mergeCell ref="B6:J7"/>
    <mergeCell ref="F11:I15"/>
    <mergeCell ref="D17:I17"/>
  </mergeCells>
  <dataValidations count="1">
    <dataValidation type="list" allowBlank="1" showInputMessage="1" showErrorMessage="1" sqref="C19 C22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Z54"/>
  <sheetViews>
    <sheetView tabSelected="1" topLeftCell="A4" workbookViewId="0">
      <pane xSplit="2" ySplit="4" topLeftCell="C8" activePane="bottomRight" state="frozen"/>
      <selection activeCell="A4" sqref="A4"/>
      <selection pane="topRight" activeCell="C4" sqref="C4"/>
      <selection pane="bottomLeft" activeCell="A5" sqref="A5"/>
      <selection pane="bottomRight" activeCell="U20" sqref="U20"/>
    </sheetView>
  </sheetViews>
  <sheetFormatPr defaultColWidth="8.85546875" defaultRowHeight="15" x14ac:dyDescent="0.25"/>
  <cols>
    <col min="1" max="1" width="2.7109375" style="30" customWidth="1"/>
    <col min="2" max="2" width="21.7109375" style="30" customWidth="1"/>
    <col min="3" max="3" width="5.5703125" style="30" bestFit="1" customWidth="1"/>
    <col min="4" max="6" width="13.85546875" style="30" hidden="1" customWidth="1"/>
    <col min="7" max="8" width="13.85546875" style="29" hidden="1" customWidth="1"/>
    <col min="9" max="11" width="13.85546875" style="30" hidden="1" customWidth="1"/>
    <col min="12" max="12" width="19.42578125" style="30" customWidth="1"/>
    <col min="13" max="13" width="12.85546875" style="30" hidden="1" customWidth="1"/>
    <col min="14" max="14" width="7.85546875" style="30" hidden="1" customWidth="1"/>
    <col min="15" max="15" width="11.85546875" style="30" customWidth="1"/>
    <col min="16" max="16" width="11" style="30" customWidth="1"/>
    <col min="17" max="24" width="8.85546875" style="30"/>
    <col min="25" max="25" width="19.5703125" style="30" customWidth="1"/>
    <col min="26" max="16384" width="8.85546875" style="30"/>
  </cols>
  <sheetData>
    <row r="1" spans="2:26" ht="21" x14ac:dyDescent="0.35">
      <c r="B1" s="101" t="s">
        <v>39</v>
      </c>
      <c r="C1" s="100"/>
      <c r="D1" s="100"/>
      <c r="E1" s="100"/>
      <c r="F1" s="100"/>
      <c r="G1" s="100"/>
      <c r="H1" s="100"/>
      <c r="I1" s="100"/>
      <c r="J1" s="100"/>
      <c r="K1" s="100"/>
      <c r="L1" s="29"/>
    </row>
    <row r="2" spans="2:26" ht="15" customHeight="1" x14ac:dyDescent="0.35">
      <c r="B2" s="31"/>
      <c r="C2" s="29"/>
      <c r="D2" s="29"/>
      <c r="E2" s="29"/>
      <c r="F2" s="29"/>
      <c r="I2" s="29"/>
      <c r="J2" s="29"/>
      <c r="K2" s="29"/>
      <c r="L2" s="29"/>
    </row>
    <row r="3" spans="2:26" x14ac:dyDescent="0.25">
      <c r="B3" s="32" t="s">
        <v>0</v>
      </c>
      <c r="C3" s="32"/>
      <c r="D3" s="99" t="s">
        <v>37</v>
      </c>
      <c r="E3" s="100"/>
      <c r="F3" s="100"/>
      <c r="G3" s="100"/>
      <c r="H3" s="100"/>
      <c r="I3" s="33">
        <v>2006</v>
      </c>
      <c r="J3" s="33">
        <v>2006</v>
      </c>
      <c r="K3" s="29" t="s">
        <v>38</v>
      </c>
      <c r="L3" s="29"/>
    </row>
    <row r="4" spans="2:26" x14ac:dyDescent="0.25">
      <c r="B4" s="32"/>
      <c r="C4" s="32"/>
      <c r="D4" s="34"/>
      <c r="E4" s="29"/>
      <c r="F4" s="29"/>
      <c r="I4" s="33"/>
      <c r="J4" s="33"/>
      <c r="K4" s="29"/>
      <c r="L4" s="29"/>
      <c r="M4" s="30" t="s">
        <v>56</v>
      </c>
      <c r="O4" s="2" t="s">
        <v>57</v>
      </c>
      <c r="P4" s="35"/>
    </row>
    <row r="5" spans="2:26" x14ac:dyDescent="0.25">
      <c r="L5" s="30" t="s">
        <v>58</v>
      </c>
      <c r="M5" s="30">
        <v>52</v>
      </c>
      <c r="O5" s="35"/>
      <c r="P5" s="35"/>
    </row>
    <row r="6" spans="2:26" x14ac:dyDescent="0.25">
      <c r="O6" s="35"/>
      <c r="P6" s="35"/>
    </row>
    <row r="7" spans="2:26" x14ac:dyDescent="0.25">
      <c r="B7" s="95" t="s">
        <v>1</v>
      </c>
      <c r="C7" s="96"/>
      <c r="D7" s="45" t="s">
        <v>31</v>
      </c>
      <c r="E7" s="45" t="s">
        <v>32</v>
      </c>
      <c r="F7" s="45" t="s">
        <v>33</v>
      </c>
      <c r="G7" s="45" t="s">
        <v>34</v>
      </c>
      <c r="H7" s="45" t="s">
        <v>35</v>
      </c>
      <c r="I7" s="45" t="s">
        <v>42</v>
      </c>
      <c r="J7" s="45" t="s">
        <v>43</v>
      </c>
      <c r="K7" s="46" t="s">
        <v>44</v>
      </c>
      <c r="L7" s="95" t="s">
        <v>1</v>
      </c>
      <c r="M7" s="96"/>
      <c r="N7" s="46" t="s">
        <v>41</v>
      </c>
      <c r="O7" s="47" t="s">
        <v>40</v>
      </c>
      <c r="P7" s="48" t="s">
        <v>41</v>
      </c>
    </row>
    <row r="8" spans="2:26" x14ac:dyDescent="0.25">
      <c r="B8" s="49" t="s">
        <v>2</v>
      </c>
      <c r="C8" s="50">
        <v>4</v>
      </c>
      <c r="D8" s="51" t="e">
        <f>SUMIF(#REF!,Screenlines!C8,#REF!)</f>
        <v>#REF!</v>
      </c>
      <c r="E8" s="51" t="e">
        <f>SUMIF(#REF!,Screenlines!C8,#REF!)</f>
        <v>#REF!</v>
      </c>
      <c r="F8" s="51" t="e">
        <f>SUMIF(#REF!,Screenlines!C8,#REF!)</f>
        <v>#REF!</v>
      </c>
      <c r="G8" s="51" t="e">
        <f>SUMIF(#REF!,Screenlines!C8,#REF!)</f>
        <v>#REF!</v>
      </c>
      <c r="H8" s="51" t="e">
        <f>SUMIF(#REF!,Screenlines!C8,#REF!)</f>
        <v>#REF!</v>
      </c>
      <c r="I8" s="51" t="e">
        <f>SUM(D8:H8)</f>
        <v>#REF!</v>
      </c>
      <c r="J8" s="51">
        <v>297693</v>
      </c>
      <c r="K8" s="52" t="e">
        <f t="shared" ref="K8:K20" si="0">I8/J8</f>
        <v>#REF!</v>
      </c>
      <c r="L8" s="49" t="s">
        <v>2</v>
      </c>
      <c r="M8" s="50">
        <v>4</v>
      </c>
      <c r="N8" s="53">
        <v>0.97275506654170574</v>
      </c>
      <c r="O8" s="54">
        <f>SUMIF(DataImport!$A$1:$A$66,Screenlines!C8,DataImport!$B$1:$B$66)</f>
        <v>300417.785156</v>
      </c>
      <c r="P8" s="55">
        <f>O8/J8</f>
        <v>1.0091530037857792</v>
      </c>
      <c r="Y8" s="53" t="s">
        <v>1</v>
      </c>
      <c r="Z8" s="68" t="s">
        <v>41</v>
      </c>
    </row>
    <row r="9" spans="2:26" x14ac:dyDescent="0.25">
      <c r="B9" s="49" t="s">
        <v>3</v>
      </c>
      <c r="C9" s="50" t="s">
        <v>36</v>
      </c>
      <c r="D9" s="51" t="e">
        <f>SUMIF(#REF!,14,#REF!)+SUMIF(#REF!,15,#REF!)</f>
        <v>#REF!</v>
      </c>
      <c r="E9" s="51" t="e">
        <f>SUMIF(#REF!,14,#REF!)+SUMIF(#REF!,15,#REF!)</f>
        <v>#REF!</v>
      </c>
      <c r="F9" s="51" t="e">
        <f>SUMIF(#REF!,14,#REF!)+SUMIF(#REF!,15,#REF!)</f>
        <v>#REF!</v>
      </c>
      <c r="G9" s="51" t="e">
        <f>SUMIF(#REF!,14,#REF!)+SUMIF(#REF!,15,#REF!)</f>
        <v>#REF!</v>
      </c>
      <c r="H9" s="51" t="e">
        <f>SUMIF(#REF!,14,#REF!)+SUMIF(#REF!,15,#REF!)</f>
        <v>#REF!</v>
      </c>
      <c r="I9" s="51" t="e">
        <f t="shared" ref="I9:I20" si="1">SUM(D9:H9)</f>
        <v>#REF!</v>
      </c>
      <c r="J9" s="56">
        <v>509582</v>
      </c>
      <c r="K9" s="52" t="e">
        <f t="shared" si="0"/>
        <v>#REF!</v>
      </c>
      <c r="L9" s="49" t="s">
        <v>3</v>
      </c>
      <c r="M9" s="50" t="s">
        <v>36</v>
      </c>
      <c r="N9" s="53">
        <v>1.0061389872110869</v>
      </c>
      <c r="O9" s="54">
        <f>DataImport!B14+DataImport!B15</f>
        <v>536848.83691499999</v>
      </c>
      <c r="P9" s="55">
        <f t="shared" ref="P9:P20" si="2">O9/J9</f>
        <v>1.0535082418825625</v>
      </c>
      <c r="Y9" s="53" t="s">
        <v>2</v>
      </c>
      <c r="Z9" s="68">
        <v>0.86894543256979173</v>
      </c>
    </row>
    <row r="10" spans="2:26" x14ac:dyDescent="0.25">
      <c r="B10" s="49" t="s">
        <v>4</v>
      </c>
      <c r="C10" s="50">
        <v>22</v>
      </c>
      <c r="D10" s="51" t="e">
        <f>SUMIF(#REF!,Screenlines!C10,#REF!)</f>
        <v>#REF!</v>
      </c>
      <c r="E10" s="51" t="e">
        <f>SUMIF(#REF!,Screenlines!C10,#REF!)</f>
        <v>#REF!</v>
      </c>
      <c r="F10" s="51" t="e">
        <f>SUMIF(#REF!,Screenlines!C10,#REF!)</f>
        <v>#REF!</v>
      </c>
      <c r="G10" s="51" t="e">
        <f>SUMIF(#REF!,Screenlines!C10,#REF!)</f>
        <v>#REF!</v>
      </c>
      <c r="H10" s="51" t="e">
        <f>SUMIF(#REF!,Screenlines!C10,#REF!)</f>
        <v>#REF!</v>
      </c>
      <c r="I10" s="51" t="e">
        <f t="shared" si="1"/>
        <v>#REF!</v>
      </c>
      <c r="J10" s="51">
        <v>223871</v>
      </c>
      <c r="K10" s="52" t="e">
        <f t="shared" si="0"/>
        <v>#REF!</v>
      </c>
      <c r="L10" s="49" t="s">
        <v>4</v>
      </c>
      <c r="M10" s="50">
        <v>22</v>
      </c>
      <c r="N10" s="53">
        <v>0.90441202309812352</v>
      </c>
      <c r="O10" s="54">
        <f>SUMIF(DataImport!$A$1:$A$66,Screenlines!C10,DataImport!$B$1:$B$66)</f>
        <v>229901.361814</v>
      </c>
      <c r="P10" s="55">
        <f t="shared" si="2"/>
        <v>1.026936770792108</v>
      </c>
      <c r="Y10" s="53" t="s">
        <v>3</v>
      </c>
      <c r="Z10" s="68">
        <v>0.98309053252665712</v>
      </c>
    </row>
    <row r="11" spans="2:26" x14ac:dyDescent="0.25">
      <c r="B11" s="49" t="s">
        <v>5</v>
      </c>
      <c r="C11" s="50">
        <v>23</v>
      </c>
      <c r="D11" s="51" t="e">
        <f>SUMIF(#REF!,Screenlines!C11,#REF!)</f>
        <v>#REF!</v>
      </c>
      <c r="E11" s="51" t="e">
        <f>SUMIF(#REF!,Screenlines!C11,#REF!)</f>
        <v>#REF!</v>
      </c>
      <c r="F11" s="51" t="e">
        <f>SUMIF(#REF!,Screenlines!C11,#REF!)</f>
        <v>#REF!</v>
      </c>
      <c r="G11" s="51" t="e">
        <f>SUMIF(#REF!,Screenlines!C11,#REF!)</f>
        <v>#REF!</v>
      </c>
      <c r="H11" s="51" t="e">
        <f>SUMIF(#REF!,Screenlines!C11,#REF!)</f>
        <v>#REF!</v>
      </c>
      <c r="I11" s="51" t="e">
        <f t="shared" si="1"/>
        <v>#REF!</v>
      </c>
      <c r="J11" s="51">
        <v>65723</v>
      </c>
      <c r="K11" s="52" t="e">
        <f t="shared" si="0"/>
        <v>#REF!</v>
      </c>
      <c r="L11" s="49" t="s">
        <v>5</v>
      </c>
      <c r="M11" s="50">
        <v>23</v>
      </c>
      <c r="N11" s="53">
        <v>0.88868371188168527</v>
      </c>
      <c r="O11" s="54">
        <f>SUMIF(DataImport!$A$1:$A$66,Screenlines!C11,DataImport!$B$1:$B$66)</f>
        <v>66102.175476999997</v>
      </c>
      <c r="P11" s="55">
        <f t="shared" si="2"/>
        <v>1.0057692965476317</v>
      </c>
      <c r="Q11" s="69"/>
      <c r="Y11" s="53" t="s">
        <v>4</v>
      </c>
      <c r="Z11" s="68">
        <v>0.9261563657552786</v>
      </c>
    </row>
    <row r="12" spans="2:26" x14ac:dyDescent="0.25">
      <c r="B12" s="49" t="s">
        <v>6</v>
      </c>
      <c r="C12" s="50">
        <v>29</v>
      </c>
      <c r="D12" s="51" t="e">
        <f>SUMIF(#REF!,Screenlines!C12,#REF!)</f>
        <v>#REF!</v>
      </c>
      <c r="E12" s="51" t="e">
        <f>SUMIF(#REF!,Screenlines!C12,#REF!)</f>
        <v>#REF!</v>
      </c>
      <c r="F12" s="51" t="e">
        <f>SUMIF(#REF!,Screenlines!C12,#REF!)</f>
        <v>#REF!</v>
      </c>
      <c r="G12" s="51" t="e">
        <f>SUMIF(#REF!,Screenlines!C12,#REF!)</f>
        <v>#REF!</v>
      </c>
      <c r="H12" s="51" t="e">
        <f>SUMIF(#REF!,Screenlines!C12,#REF!)</f>
        <v>#REF!</v>
      </c>
      <c r="I12" s="51" t="e">
        <f t="shared" si="1"/>
        <v>#REF!</v>
      </c>
      <c r="J12" s="51">
        <v>489382</v>
      </c>
      <c r="K12" s="52" t="e">
        <f t="shared" si="0"/>
        <v>#REF!</v>
      </c>
      <c r="L12" s="49" t="s">
        <v>6</v>
      </c>
      <c r="M12" s="50">
        <v>29</v>
      </c>
      <c r="N12" s="53">
        <v>1.269684819799257</v>
      </c>
      <c r="O12" s="54">
        <f>SUMIF(DataImport!$A$1:$A$66,Screenlines!C12,DataImport!$B$1:$B$66)</f>
        <v>591570.36132999999</v>
      </c>
      <c r="P12" s="55">
        <f t="shared" si="2"/>
        <v>1.2088110337732079</v>
      </c>
      <c r="Q12" s="69"/>
      <c r="Y12" s="53" t="s">
        <v>5</v>
      </c>
      <c r="Z12" s="68">
        <v>0.92189123506230541</v>
      </c>
    </row>
    <row r="13" spans="2:26" x14ac:dyDescent="0.25">
      <c r="B13" s="49" t="s">
        <v>7</v>
      </c>
      <c r="C13" s="50">
        <v>30</v>
      </c>
      <c r="D13" s="51" t="e">
        <f>SUMIF(#REF!,Screenlines!C13,#REF!)</f>
        <v>#REF!</v>
      </c>
      <c r="E13" s="51" t="e">
        <f>SUMIF(#REF!,Screenlines!C13,#REF!)</f>
        <v>#REF!</v>
      </c>
      <c r="F13" s="51" t="e">
        <f>SUMIF(#REF!,Screenlines!C13,#REF!)</f>
        <v>#REF!</v>
      </c>
      <c r="G13" s="51" t="e">
        <f>SUMIF(#REF!,Screenlines!C13,#REF!)</f>
        <v>#REF!</v>
      </c>
      <c r="H13" s="51" t="e">
        <f>SUMIF(#REF!,Screenlines!C13,#REF!)</f>
        <v>#REF!</v>
      </c>
      <c r="I13" s="51" t="e">
        <f t="shared" si="1"/>
        <v>#REF!</v>
      </c>
      <c r="J13" s="51">
        <v>370010</v>
      </c>
      <c r="K13" s="52" t="e">
        <f t="shared" si="0"/>
        <v>#REF!</v>
      </c>
      <c r="L13" s="49" t="s">
        <v>7</v>
      </c>
      <c r="M13" s="50">
        <v>30</v>
      </c>
      <c r="N13" s="53">
        <v>0.97811860764573932</v>
      </c>
      <c r="O13" s="54">
        <f>SUMIF(DataImport!$A$1:$A$66,Screenlines!C13,DataImport!$B$1:$B$66)</f>
        <v>353629.03418100002</v>
      </c>
      <c r="P13" s="55">
        <f t="shared" si="2"/>
        <v>0.95572831594010976</v>
      </c>
      <c r="Q13" s="69"/>
      <c r="Y13" s="53" t="s">
        <v>6</v>
      </c>
      <c r="Z13" s="68">
        <v>1.1332596080669088</v>
      </c>
    </row>
    <row r="14" spans="2:26" x14ac:dyDescent="0.25">
      <c r="B14" s="49" t="s">
        <v>8</v>
      </c>
      <c r="C14" s="50">
        <v>32</v>
      </c>
      <c r="D14" s="51" t="e">
        <f>SUMIF(#REF!,Screenlines!C14,#REF!)</f>
        <v>#REF!</v>
      </c>
      <c r="E14" s="51" t="e">
        <f>SUMIF(#REF!,Screenlines!C14,#REF!)</f>
        <v>#REF!</v>
      </c>
      <c r="F14" s="51" t="e">
        <f>SUMIF(#REF!,Screenlines!C14,#REF!)</f>
        <v>#REF!</v>
      </c>
      <c r="G14" s="51" t="e">
        <f>SUMIF(#REF!,Screenlines!C14,#REF!)</f>
        <v>#REF!</v>
      </c>
      <c r="H14" s="51" t="e">
        <f>SUMIF(#REF!,Screenlines!C14,#REF!)</f>
        <v>#REF!</v>
      </c>
      <c r="I14" s="51" t="e">
        <f t="shared" si="1"/>
        <v>#REF!</v>
      </c>
      <c r="J14" s="51">
        <v>265617.755</v>
      </c>
      <c r="K14" s="52" t="e">
        <f t="shared" si="0"/>
        <v>#REF!</v>
      </c>
      <c r="L14" s="49" t="s">
        <v>8</v>
      </c>
      <c r="M14" s="50">
        <v>32</v>
      </c>
      <c r="N14" s="53">
        <v>1.0748964504763623</v>
      </c>
      <c r="O14" s="54">
        <f>SUMIF(DataImport!$A$1:$A$66,Screenlines!C14,DataImport!$B$1:$B$66)</f>
        <v>305899.22265700001</v>
      </c>
      <c r="P14" s="55">
        <f t="shared" si="2"/>
        <v>1.1516520145914191</v>
      </c>
      <c r="Q14" s="69"/>
      <c r="Y14" s="53" t="s">
        <v>7</v>
      </c>
      <c r="Z14" s="68">
        <v>0.88594589293262349</v>
      </c>
    </row>
    <row r="15" spans="2:26" x14ac:dyDescent="0.25">
      <c r="B15" s="49" t="s">
        <v>9</v>
      </c>
      <c r="C15" s="50">
        <v>35</v>
      </c>
      <c r="D15" s="51" t="e">
        <f>SUMIF(#REF!,Screenlines!C15,#REF!)</f>
        <v>#REF!</v>
      </c>
      <c r="E15" s="51" t="e">
        <f>SUMIF(#REF!,Screenlines!C15,#REF!)</f>
        <v>#REF!</v>
      </c>
      <c r="F15" s="51" t="e">
        <f>SUMIF(#REF!,Screenlines!C15,#REF!)</f>
        <v>#REF!</v>
      </c>
      <c r="G15" s="51" t="e">
        <f>SUMIF(#REF!,Screenlines!C15,#REF!)</f>
        <v>#REF!</v>
      </c>
      <c r="H15" s="51" t="e">
        <f>SUMIF(#REF!,Screenlines!C15,#REF!)</f>
        <v>#REF!</v>
      </c>
      <c r="I15" s="51" t="e">
        <f t="shared" si="1"/>
        <v>#REF!</v>
      </c>
      <c r="J15" s="51">
        <v>537910</v>
      </c>
      <c r="K15" s="52" t="e">
        <f t="shared" si="0"/>
        <v>#REF!</v>
      </c>
      <c r="L15" s="49" t="s">
        <v>9</v>
      </c>
      <c r="M15" s="50">
        <v>35</v>
      </c>
      <c r="N15" s="53">
        <v>1.0214809873250172</v>
      </c>
      <c r="O15" s="54">
        <f>SUMIF(DataImport!$A$1:$A$66,Screenlines!C15,DataImport!$B$1:$B$66)</f>
        <v>460985.70117199997</v>
      </c>
      <c r="P15" s="55">
        <f t="shared" si="2"/>
        <v>0.85699410899964668</v>
      </c>
      <c r="Q15" s="69"/>
      <c r="U15" s="30">
        <v>61000</v>
      </c>
      <c r="Y15" s="53" t="s">
        <v>8</v>
      </c>
      <c r="Z15" s="68">
        <v>1.1035091904492604</v>
      </c>
    </row>
    <row r="16" spans="2:26" x14ac:dyDescent="0.25">
      <c r="B16" s="49" t="s">
        <v>10</v>
      </c>
      <c r="C16" s="50">
        <v>37</v>
      </c>
      <c r="D16" s="51" t="e">
        <f>SUMIF(#REF!,Screenlines!C16,#REF!)</f>
        <v>#REF!</v>
      </c>
      <c r="E16" s="51" t="e">
        <f>SUMIF(#REF!,Screenlines!C16,#REF!)</f>
        <v>#REF!</v>
      </c>
      <c r="F16" s="51" t="e">
        <f>SUMIF(#REF!,Screenlines!C16,#REF!)</f>
        <v>#REF!</v>
      </c>
      <c r="G16" s="51" t="e">
        <f>SUMIF(#REF!,Screenlines!C16,#REF!)</f>
        <v>#REF!</v>
      </c>
      <c r="H16" s="51" t="e">
        <f>SUMIF(#REF!,Screenlines!C16,#REF!)</f>
        <v>#REF!</v>
      </c>
      <c r="I16" s="51" t="e">
        <f t="shared" si="1"/>
        <v>#REF!</v>
      </c>
      <c r="J16" s="51">
        <v>451152</v>
      </c>
      <c r="K16" s="52" t="e">
        <f t="shared" si="0"/>
        <v>#REF!</v>
      </c>
      <c r="L16" s="49" t="s">
        <v>10</v>
      </c>
      <c r="M16" s="50">
        <v>37</v>
      </c>
      <c r="N16" s="53">
        <v>0.91675432420780578</v>
      </c>
      <c r="O16" s="54">
        <f>SUMIF(DataImport!$A$1:$A$66,Screenlines!C16,DataImport!$B$1:$B$66)</f>
        <v>426528.545897</v>
      </c>
      <c r="P16" s="55">
        <f t="shared" si="2"/>
        <v>0.94542093550953998</v>
      </c>
      <c r="Q16" s="69"/>
      <c r="Y16" s="53" t="s">
        <v>9</v>
      </c>
      <c r="Z16" s="68">
        <v>0.83352729633024114</v>
      </c>
    </row>
    <row r="17" spans="2:26" x14ac:dyDescent="0.25">
      <c r="B17" s="49" t="s">
        <v>11</v>
      </c>
      <c r="C17" s="50">
        <v>41</v>
      </c>
      <c r="D17" s="51" t="e">
        <f>SUMIF(#REF!,Screenlines!C17,#REF!)</f>
        <v>#REF!</v>
      </c>
      <c r="E17" s="51" t="e">
        <f>SUMIF(#REF!,Screenlines!C17,#REF!)</f>
        <v>#REF!</v>
      </c>
      <c r="F17" s="51" t="e">
        <f>SUMIF(#REF!,Screenlines!C17,#REF!)</f>
        <v>#REF!</v>
      </c>
      <c r="G17" s="51" t="e">
        <f>SUMIF(#REF!,Screenlines!C17,#REF!)</f>
        <v>#REF!</v>
      </c>
      <c r="H17" s="51" t="e">
        <f>SUMIF(#REF!,Screenlines!C17,#REF!)</f>
        <v>#REF!</v>
      </c>
      <c r="I17" s="51" t="e">
        <f t="shared" si="1"/>
        <v>#REF!</v>
      </c>
      <c r="J17" s="51">
        <v>368812</v>
      </c>
      <c r="K17" s="52" t="e">
        <f t="shared" si="0"/>
        <v>#REF!</v>
      </c>
      <c r="L17" s="49" t="s">
        <v>11</v>
      </c>
      <c r="M17" s="50">
        <v>41</v>
      </c>
      <c r="N17" s="53">
        <v>0.93616405936357816</v>
      </c>
      <c r="O17" s="54">
        <f>SUMIF(DataImport!$A$1:$A$66,Screenlines!C17,DataImport!$B$1:$B$66)</f>
        <v>362413.67675899999</v>
      </c>
      <c r="P17" s="55">
        <f t="shared" si="2"/>
        <v>0.98265153183464748</v>
      </c>
      <c r="Q17" s="69"/>
      <c r="Y17" s="53" t="s">
        <v>10</v>
      </c>
      <c r="Z17" s="68">
        <v>0.90274023283061811</v>
      </c>
    </row>
    <row r="18" spans="2:26" x14ac:dyDescent="0.25">
      <c r="B18" s="49" t="s">
        <v>12</v>
      </c>
      <c r="C18" s="50">
        <v>43</v>
      </c>
      <c r="D18" s="51" t="e">
        <f>SUMIF(#REF!,Screenlines!C18,#REF!)</f>
        <v>#REF!</v>
      </c>
      <c r="E18" s="51" t="e">
        <f>SUMIF(#REF!,Screenlines!C18,#REF!)</f>
        <v>#REF!</v>
      </c>
      <c r="F18" s="51" t="e">
        <f>SUMIF(#REF!,Screenlines!C18,#REF!)</f>
        <v>#REF!</v>
      </c>
      <c r="G18" s="51" t="e">
        <f>SUMIF(#REF!,Screenlines!C18,#REF!)</f>
        <v>#REF!</v>
      </c>
      <c r="H18" s="51" t="e">
        <f>SUMIF(#REF!,Screenlines!C18,#REF!)</f>
        <v>#REF!</v>
      </c>
      <c r="I18" s="51" t="e">
        <f t="shared" si="1"/>
        <v>#REF!</v>
      </c>
      <c r="J18" s="51">
        <v>265934</v>
      </c>
      <c r="K18" s="52" t="e">
        <f t="shared" si="0"/>
        <v>#REF!</v>
      </c>
      <c r="L18" s="49" t="s">
        <v>12</v>
      </c>
      <c r="M18" s="50">
        <v>43</v>
      </c>
      <c r="N18" s="53">
        <v>1.0365513733783571</v>
      </c>
      <c r="O18" s="54">
        <f>SUMIF(DataImport!$A$1:$A$66,Screenlines!C18,DataImport!$B$1:$B$66)</f>
        <v>295819.17187700002</v>
      </c>
      <c r="P18" s="55">
        <f t="shared" si="2"/>
        <v>1.1123781535155339</v>
      </c>
      <c r="Q18" s="69"/>
      <c r="Y18" s="53" t="s">
        <v>11</v>
      </c>
      <c r="Z18" s="68">
        <v>0.97464468685942973</v>
      </c>
    </row>
    <row r="19" spans="2:26" x14ac:dyDescent="0.25">
      <c r="B19" s="49" t="s">
        <v>13</v>
      </c>
      <c r="C19" s="50">
        <v>44</v>
      </c>
      <c r="D19" s="51" t="e">
        <f>SUMIF(#REF!,Screenlines!C19,#REF!)</f>
        <v>#REF!</v>
      </c>
      <c r="E19" s="51" t="e">
        <f>SUMIF(#REF!,Screenlines!C19,#REF!)</f>
        <v>#REF!</v>
      </c>
      <c r="F19" s="51" t="e">
        <f>SUMIF(#REF!,Screenlines!C19,#REF!)</f>
        <v>#REF!</v>
      </c>
      <c r="G19" s="51" t="e">
        <f>SUMIF(#REF!,Screenlines!C19,#REF!)</f>
        <v>#REF!</v>
      </c>
      <c r="H19" s="51" t="e">
        <f>SUMIF(#REF!,Screenlines!C19,#REF!)</f>
        <v>#REF!</v>
      </c>
      <c r="I19" s="51" t="e">
        <f t="shared" si="1"/>
        <v>#REF!</v>
      </c>
      <c r="J19" s="51">
        <v>265982</v>
      </c>
      <c r="K19" s="52" t="e">
        <f t="shared" si="0"/>
        <v>#REF!</v>
      </c>
      <c r="L19" s="49" t="s">
        <v>13</v>
      </c>
      <c r="M19" s="50">
        <v>44</v>
      </c>
      <c r="N19" s="53">
        <v>1.14139005632712</v>
      </c>
      <c r="O19" s="54">
        <f>SUMIF(DataImport!$A$1:$A$66,Screenlines!C19,DataImport!$B$1:$B$66)</f>
        <v>321013.31738199998</v>
      </c>
      <c r="P19" s="55">
        <f t="shared" si="2"/>
        <v>1.2068986524727237</v>
      </c>
      <c r="Q19" s="69"/>
      <c r="Y19" s="53" t="s">
        <v>12</v>
      </c>
      <c r="Z19" s="68">
        <v>1.1519674708085463</v>
      </c>
    </row>
    <row r="20" spans="2:26" x14ac:dyDescent="0.25">
      <c r="B20" s="49" t="s">
        <v>14</v>
      </c>
      <c r="C20" s="50">
        <v>46</v>
      </c>
      <c r="D20" s="51" t="e">
        <f>SUMIF(#REF!,Screenlines!C20,#REF!)</f>
        <v>#REF!</v>
      </c>
      <c r="E20" s="51" t="e">
        <f>SUMIF(#REF!,Screenlines!C20,#REF!)</f>
        <v>#REF!</v>
      </c>
      <c r="F20" s="51" t="e">
        <f>SUMIF(#REF!,Screenlines!C20,#REF!)</f>
        <v>#REF!</v>
      </c>
      <c r="G20" s="51" t="e">
        <f>SUMIF(#REF!,Screenlines!C20,#REF!)</f>
        <v>#REF!</v>
      </c>
      <c r="H20" s="51" t="e">
        <f>SUMIF(#REF!,Screenlines!C20,#REF!)</f>
        <v>#REF!</v>
      </c>
      <c r="I20" s="51" t="e">
        <f t="shared" si="1"/>
        <v>#REF!</v>
      </c>
      <c r="J20" s="51">
        <v>360206</v>
      </c>
      <c r="K20" s="52" t="e">
        <f t="shared" si="0"/>
        <v>#REF!</v>
      </c>
      <c r="L20" s="49" t="s">
        <v>14</v>
      </c>
      <c r="M20" s="50">
        <v>46</v>
      </c>
      <c r="N20" s="53">
        <v>1.067831234826738</v>
      </c>
      <c r="O20" s="54">
        <f>SUMIF(DataImport!$A$1:$A$66,Screenlines!C20,DataImport!$B$1:$B$66)</f>
        <v>397614.79297000001</v>
      </c>
      <c r="P20" s="55">
        <f t="shared" si="2"/>
        <v>1.1038538863039484</v>
      </c>
      <c r="Q20" s="69"/>
      <c r="Y20" s="53" t="s">
        <v>13</v>
      </c>
      <c r="Z20" s="68">
        <v>1.2536003192584462</v>
      </c>
    </row>
    <row r="21" spans="2:26" x14ac:dyDescent="0.25">
      <c r="B21" s="57" t="s">
        <v>15</v>
      </c>
      <c r="C21" s="58">
        <v>80</v>
      </c>
      <c r="D21" s="59"/>
      <c r="E21" s="59"/>
      <c r="F21" s="59"/>
      <c r="G21" s="59"/>
      <c r="H21" s="59"/>
      <c r="I21" s="59"/>
      <c r="J21" s="59"/>
      <c r="K21" s="60"/>
      <c r="L21" s="57" t="s">
        <v>15</v>
      </c>
      <c r="M21" s="58">
        <v>80</v>
      </c>
      <c r="N21" s="53"/>
      <c r="O21" s="48"/>
      <c r="P21" s="48"/>
      <c r="Y21" s="53" t="s">
        <v>14</v>
      </c>
      <c r="Z21" s="68">
        <v>1.0781245662204406</v>
      </c>
    </row>
    <row r="22" spans="2:26" x14ac:dyDescent="0.25">
      <c r="B22" s="61" t="s">
        <v>16</v>
      </c>
      <c r="C22" s="62"/>
      <c r="D22" s="63" t="e">
        <f>SUM(D8:D20)</f>
        <v>#REF!</v>
      </c>
      <c r="E22" s="63" t="e">
        <f t="shared" ref="E22:I22" si="3">SUM(E8:E20)</f>
        <v>#REF!</v>
      </c>
      <c r="F22" s="63" t="e">
        <f t="shared" si="3"/>
        <v>#REF!</v>
      </c>
      <c r="G22" s="63" t="e">
        <f t="shared" si="3"/>
        <v>#REF!</v>
      </c>
      <c r="H22" s="63" t="e">
        <f t="shared" si="3"/>
        <v>#REF!</v>
      </c>
      <c r="I22" s="63" t="e">
        <f t="shared" si="3"/>
        <v>#REF!</v>
      </c>
      <c r="J22" s="63">
        <f>SUM(J8:J20)</f>
        <v>4471874.7549999999</v>
      </c>
      <c r="K22" s="64" t="e">
        <f>I22/J22</f>
        <v>#REF!</v>
      </c>
      <c r="L22" s="61" t="s">
        <v>16</v>
      </c>
      <c r="M22" s="62"/>
      <c r="N22" s="65">
        <v>0.89221618896860189</v>
      </c>
      <c r="O22" s="66">
        <f>SUM(O8:O21)</f>
        <v>4648743.9835869996</v>
      </c>
      <c r="P22" s="67">
        <f>O22/J22</f>
        <v>1.0395514718718906</v>
      </c>
      <c r="Y22" s="53" t="s">
        <v>15</v>
      </c>
      <c r="Z22" s="68"/>
    </row>
    <row r="23" spans="2:26" x14ac:dyDescent="0.25">
      <c r="B23" s="49"/>
      <c r="C23" s="50"/>
      <c r="D23" s="51"/>
      <c r="E23" s="51"/>
      <c r="F23" s="51"/>
      <c r="G23" s="51"/>
      <c r="H23" s="51"/>
      <c r="I23" s="51"/>
      <c r="J23" s="51"/>
      <c r="K23" s="52"/>
      <c r="L23" s="49"/>
      <c r="M23" s="50"/>
      <c r="N23" s="53"/>
      <c r="O23" s="48"/>
      <c r="P23" s="48"/>
      <c r="Y23" s="53" t="s">
        <v>16</v>
      </c>
      <c r="Z23" s="68">
        <v>0.99428462407641771</v>
      </c>
    </row>
    <row r="24" spans="2:26" x14ac:dyDescent="0.25">
      <c r="B24" s="97" t="s">
        <v>17</v>
      </c>
      <c r="C24" s="98"/>
      <c r="D24" s="51"/>
      <c r="E24" s="51"/>
      <c r="F24" s="51"/>
      <c r="G24" s="51"/>
      <c r="H24" s="51"/>
      <c r="I24" s="51"/>
      <c r="J24" s="51"/>
      <c r="K24" s="52"/>
      <c r="L24" s="97" t="s">
        <v>17</v>
      </c>
      <c r="M24" s="98"/>
      <c r="N24" s="53"/>
      <c r="O24" s="48"/>
      <c r="P24" s="48"/>
      <c r="S24" s="95" t="s">
        <v>1</v>
      </c>
      <c r="T24" s="96"/>
      <c r="U24" s="46" t="s">
        <v>41</v>
      </c>
      <c r="V24" s="47" t="s">
        <v>40</v>
      </c>
      <c r="W24" s="48" t="s">
        <v>41</v>
      </c>
      <c r="Y24" s="53"/>
      <c r="Z24" s="68"/>
    </row>
    <row r="25" spans="2:26" x14ac:dyDescent="0.25">
      <c r="B25" s="49" t="s">
        <v>18</v>
      </c>
      <c r="C25" s="50">
        <v>2</v>
      </c>
      <c r="D25" s="51" t="e">
        <f>SUMIF(#REF!,Screenlines!C25,#REF!)</f>
        <v>#REF!</v>
      </c>
      <c r="E25" s="51" t="e">
        <f>SUMIF(#REF!,Screenlines!C25,#REF!)</f>
        <v>#REF!</v>
      </c>
      <c r="F25" s="51" t="e">
        <f>SUMIF(#REF!,Screenlines!C25,#REF!)</f>
        <v>#REF!</v>
      </c>
      <c r="G25" s="51" t="e">
        <f>SUMIF(#REF!,Screenlines!C25,#REF!)</f>
        <v>#REF!</v>
      </c>
      <c r="H25" s="51" t="e">
        <f>SUMIF(#REF!,Screenlines!C25,#REF!)</f>
        <v>#REF!</v>
      </c>
      <c r="I25" s="51" t="e">
        <f t="shared" ref="I25:I36" si="4">SUM(D25:H25)</f>
        <v>#REF!</v>
      </c>
      <c r="J25" s="51">
        <v>261062</v>
      </c>
      <c r="K25" s="52" t="e">
        <f t="shared" ref="K25:K38" si="5">I25/J25</f>
        <v>#REF!</v>
      </c>
      <c r="L25" s="49" t="s">
        <v>18</v>
      </c>
      <c r="M25" s="50">
        <v>2</v>
      </c>
      <c r="N25" s="53">
        <v>0.88659392931181091</v>
      </c>
      <c r="O25" s="54">
        <f>SUMIF(DataImport!$A$1:$A$66,Screenlines!C25,DataImport!$B$1:$B$66)</f>
        <v>238990.45117099999</v>
      </c>
      <c r="P25" s="55">
        <f t="shared" ref="P25:P37" si="6">O25/J25</f>
        <v>0.91545476235913303</v>
      </c>
      <c r="S25" s="49" t="s">
        <v>2</v>
      </c>
      <c r="T25" s="50">
        <v>4</v>
      </c>
      <c r="U25" s="53">
        <v>0.97275506654170574</v>
      </c>
      <c r="V25" s="54">
        <f>SUMIF(DataImport!$A$1:$A$66,Screenlines!K25,DataImport!$B$1:$B$66)</f>
        <v>0</v>
      </c>
      <c r="W25" s="55" t="e">
        <f t="shared" ref="W25:W37" si="7">V25/Q25</f>
        <v>#DIV/0!</v>
      </c>
      <c r="Y25" s="53" t="s">
        <v>17</v>
      </c>
      <c r="Z25" s="68"/>
    </row>
    <row r="26" spans="2:26" x14ac:dyDescent="0.25">
      <c r="B26" s="49" t="s">
        <v>19</v>
      </c>
      <c r="C26" s="50">
        <v>3</v>
      </c>
      <c r="D26" s="51" t="e">
        <f>SUMIF(#REF!,Screenlines!C26,#REF!)</f>
        <v>#REF!</v>
      </c>
      <c r="E26" s="51" t="e">
        <f>SUMIF(#REF!,Screenlines!C26,#REF!)</f>
        <v>#REF!</v>
      </c>
      <c r="F26" s="51" t="e">
        <f>SUMIF(#REF!,Screenlines!C26,#REF!)</f>
        <v>#REF!</v>
      </c>
      <c r="G26" s="51" t="e">
        <f>SUMIF(#REF!,Screenlines!C26,#REF!)</f>
        <v>#REF!</v>
      </c>
      <c r="H26" s="51" t="e">
        <f>SUMIF(#REF!,Screenlines!C26,#REF!)</f>
        <v>#REF!</v>
      </c>
      <c r="I26" s="51" t="e">
        <f t="shared" si="4"/>
        <v>#REF!</v>
      </c>
      <c r="J26" s="51">
        <v>130529</v>
      </c>
      <c r="K26" s="52" t="e">
        <f t="shared" si="5"/>
        <v>#REF!</v>
      </c>
      <c r="L26" s="49" t="s">
        <v>19</v>
      </c>
      <c r="M26" s="50">
        <v>3</v>
      </c>
      <c r="N26" s="53">
        <v>0.91125601159895508</v>
      </c>
      <c r="O26" s="54">
        <f>SUMIF(DataImport!$A$1:$A$66,Screenlines!C26,DataImport!$B$1:$B$66)</f>
        <v>114601.98779299999</v>
      </c>
      <c r="P26" s="55">
        <f t="shared" si="6"/>
        <v>0.87798104477165984</v>
      </c>
      <c r="S26" s="49" t="s">
        <v>3</v>
      </c>
      <c r="T26" s="50" t="s">
        <v>36</v>
      </c>
      <c r="U26" s="53">
        <v>1.0061389872110869</v>
      </c>
      <c r="V26" s="54">
        <f>DataImport!J31+DataImport!J32</f>
        <v>0</v>
      </c>
      <c r="W26" s="55" t="e">
        <f t="shared" si="7"/>
        <v>#DIV/0!</v>
      </c>
      <c r="Y26" s="53" t="s">
        <v>18</v>
      </c>
      <c r="Z26" s="68">
        <v>0.93264956539442734</v>
      </c>
    </row>
    <row r="27" spans="2:26" x14ac:dyDescent="0.25">
      <c r="B27" s="49" t="s">
        <v>20</v>
      </c>
      <c r="C27" s="50">
        <v>7</v>
      </c>
      <c r="D27" s="51" t="e">
        <f>SUMIF(#REF!,Screenlines!C27,#REF!)</f>
        <v>#REF!</v>
      </c>
      <c r="E27" s="51" t="e">
        <f>SUMIF(#REF!,Screenlines!C27,#REF!)</f>
        <v>#REF!</v>
      </c>
      <c r="F27" s="51" t="e">
        <f>SUMIF(#REF!,Screenlines!C27,#REF!)</f>
        <v>#REF!</v>
      </c>
      <c r="G27" s="51" t="e">
        <f>SUMIF(#REF!,Screenlines!C27,#REF!)</f>
        <v>#REF!</v>
      </c>
      <c r="H27" s="51" t="e">
        <f>SUMIF(#REF!,Screenlines!C27,#REF!)</f>
        <v>#REF!</v>
      </c>
      <c r="I27" s="51" t="e">
        <f t="shared" si="4"/>
        <v>#REF!</v>
      </c>
      <c r="J27" s="51">
        <v>87846</v>
      </c>
      <c r="K27" s="52" t="e">
        <f t="shared" si="5"/>
        <v>#REF!</v>
      </c>
      <c r="L27" s="49" t="s">
        <v>20</v>
      </c>
      <c r="M27" s="50">
        <v>7</v>
      </c>
      <c r="N27" s="53">
        <v>1.3849770934817749</v>
      </c>
      <c r="O27" s="54">
        <f>SUMIF(DataImport!$A$1:$A$66,Screenlines!C27,DataImport!$B$1:$B$66)</f>
        <v>116994.86523700001</v>
      </c>
      <c r="P27" s="55">
        <f t="shared" si="6"/>
        <v>1.3318177860915694</v>
      </c>
      <c r="S27" s="49" t="s">
        <v>4</v>
      </c>
      <c r="T27" s="50">
        <v>22</v>
      </c>
      <c r="U27" s="53">
        <v>0.90441202309812352</v>
      </c>
      <c r="V27" s="54">
        <f>SUMIF(DataImport!$A$1:$A$66,Screenlines!K27,DataImport!$B$1:$B$66)</f>
        <v>0</v>
      </c>
      <c r="W27" s="55" t="e">
        <f t="shared" si="7"/>
        <v>#DIV/0!</v>
      </c>
      <c r="Y27" s="53" t="s">
        <v>19</v>
      </c>
      <c r="Z27" s="68">
        <v>0.91755709129771923</v>
      </c>
    </row>
    <row r="28" spans="2:26" x14ac:dyDescent="0.25">
      <c r="B28" s="49" t="s">
        <v>21</v>
      </c>
      <c r="C28" s="50">
        <v>18</v>
      </c>
      <c r="D28" s="51" t="e">
        <f>SUMIF(#REF!,Screenlines!C28,#REF!)</f>
        <v>#REF!</v>
      </c>
      <c r="E28" s="51" t="e">
        <f>SUMIF(#REF!,Screenlines!C28,#REF!)</f>
        <v>#REF!</v>
      </c>
      <c r="F28" s="51" t="e">
        <f>SUMIF(#REF!,Screenlines!C28,#REF!)</f>
        <v>#REF!</v>
      </c>
      <c r="G28" s="51" t="e">
        <f>SUMIF(#REF!,Screenlines!C28,#REF!)</f>
        <v>#REF!</v>
      </c>
      <c r="H28" s="51" t="e">
        <f>SUMIF(#REF!,Screenlines!C28,#REF!)</f>
        <v>#REF!</v>
      </c>
      <c r="I28" s="51" t="e">
        <f t="shared" si="4"/>
        <v>#REF!</v>
      </c>
      <c r="J28" s="51">
        <v>58970</v>
      </c>
      <c r="K28" s="52" t="e">
        <f t="shared" si="5"/>
        <v>#REF!</v>
      </c>
      <c r="L28" s="49" t="s">
        <v>21</v>
      </c>
      <c r="M28" s="50">
        <v>18</v>
      </c>
      <c r="N28" s="53">
        <v>1.2461809318467016</v>
      </c>
      <c r="O28" s="54">
        <f>SUMIF(DataImport!$A$1:$A$66,Screenlines!C28,DataImport!$B$1:$B$66)</f>
        <v>75270.207641000001</v>
      </c>
      <c r="P28" s="55">
        <f t="shared" si="6"/>
        <v>1.2764152559097846</v>
      </c>
      <c r="Q28" s="70"/>
      <c r="S28" s="49" t="s">
        <v>5</v>
      </c>
      <c r="T28" s="50">
        <v>23</v>
      </c>
      <c r="U28" s="53">
        <v>0.88868371188168527</v>
      </c>
      <c r="V28" s="54">
        <f>SUMIF(DataImport!$A$1:$A$66,Screenlines!K28,DataImport!$B$1:$B$66)</f>
        <v>0</v>
      </c>
      <c r="W28" s="55" t="e">
        <f t="shared" si="7"/>
        <v>#DIV/0!</v>
      </c>
      <c r="Y28" s="53" t="s">
        <v>20</v>
      </c>
      <c r="Z28" s="68">
        <v>1.2599734777679121</v>
      </c>
    </row>
    <row r="29" spans="2:26" x14ac:dyDescent="0.25">
      <c r="B29" s="49" t="s">
        <v>22</v>
      </c>
      <c r="C29" s="50">
        <v>19</v>
      </c>
      <c r="D29" s="51" t="e">
        <f>SUMIF(#REF!,Screenlines!C29,#REF!)</f>
        <v>#REF!</v>
      </c>
      <c r="E29" s="51" t="e">
        <f>SUMIF(#REF!,Screenlines!C29,#REF!)</f>
        <v>#REF!</v>
      </c>
      <c r="F29" s="51" t="e">
        <f>SUMIF(#REF!,Screenlines!C29,#REF!)</f>
        <v>#REF!</v>
      </c>
      <c r="G29" s="51" t="e">
        <f>SUMIF(#REF!,Screenlines!C29,#REF!)</f>
        <v>#REF!</v>
      </c>
      <c r="H29" s="51" t="e">
        <f>SUMIF(#REF!,Screenlines!C29,#REF!)</f>
        <v>#REF!</v>
      </c>
      <c r="I29" s="51" t="e">
        <f t="shared" si="4"/>
        <v>#REF!</v>
      </c>
      <c r="J29" s="51">
        <v>66983</v>
      </c>
      <c r="K29" s="52" t="e">
        <f t="shared" si="5"/>
        <v>#REF!</v>
      </c>
      <c r="L29" s="49" t="s">
        <v>22</v>
      </c>
      <c r="M29" s="50">
        <v>19</v>
      </c>
      <c r="N29" s="53">
        <v>1.0319347568188943</v>
      </c>
      <c r="O29" s="54">
        <f>SUMIF(DataImport!$A$1:$A$66,Screenlines!C29,DataImport!$B$1:$B$66)</f>
        <v>64671.049315999997</v>
      </c>
      <c r="P29" s="55">
        <f t="shared" si="6"/>
        <v>0.96548451571294203</v>
      </c>
      <c r="Q29" s="70"/>
      <c r="S29" s="49" t="s">
        <v>6</v>
      </c>
      <c r="T29" s="50">
        <v>29</v>
      </c>
      <c r="U29" s="53">
        <v>1.269684819799257</v>
      </c>
      <c r="V29" s="54">
        <f>SUMIF(DataImport!$A$1:$A$66,Screenlines!K29,DataImport!$B$1:$B$66)</f>
        <v>0</v>
      </c>
      <c r="W29" s="55" t="e">
        <f t="shared" si="7"/>
        <v>#DIV/0!</v>
      </c>
      <c r="Y29" s="53" t="s">
        <v>21</v>
      </c>
      <c r="Z29" s="68">
        <v>1.1388911668475497</v>
      </c>
    </row>
    <row r="30" spans="2:26" x14ac:dyDescent="0.25">
      <c r="B30" s="49" t="s">
        <v>23</v>
      </c>
      <c r="C30" s="50">
        <v>20</v>
      </c>
      <c r="D30" s="51" t="e">
        <f>SUMIF(#REF!,Screenlines!C30,#REF!)</f>
        <v>#REF!</v>
      </c>
      <c r="E30" s="51" t="e">
        <f>SUMIF(#REF!,Screenlines!C30,#REF!)</f>
        <v>#REF!</v>
      </c>
      <c r="F30" s="51" t="e">
        <f>SUMIF(#REF!,Screenlines!C30,#REF!)</f>
        <v>#REF!</v>
      </c>
      <c r="G30" s="51" t="e">
        <f>SUMIF(#REF!,Screenlines!C30,#REF!)</f>
        <v>#REF!</v>
      </c>
      <c r="H30" s="51" t="e">
        <f>SUMIF(#REF!,Screenlines!C30,#REF!)</f>
        <v>#REF!</v>
      </c>
      <c r="I30" s="51" t="e">
        <f t="shared" si="4"/>
        <v>#REF!</v>
      </c>
      <c r="J30" s="51">
        <v>504607</v>
      </c>
      <c r="K30" s="52" t="e">
        <f t="shared" si="5"/>
        <v>#REF!</v>
      </c>
      <c r="L30" s="49" t="s">
        <v>23</v>
      </c>
      <c r="M30" s="50">
        <v>20</v>
      </c>
      <c r="N30" s="53">
        <v>0.97058047773019396</v>
      </c>
      <c r="O30" s="54">
        <f>SUMIF(DataImport!$A$1:$A$66,Screenlines!C30,DataImport!$B$1:$B$66)</f>
        <v>530687.44922099996</v>
      </c>
      <c r="P30" s="55">
        <f t="shared" si="6"/>
        <v>1.051684675838821</v>
      </c>
      <c r="Q30" s="70"/>
      <c r="S30" s="49" t="s">
        <v>7</v>
      </c>
      <c r="T30" s="50">
        <v>30</v>
      </c>
      <c r="U30" s="53">
        <v>0.97811860764573932</v>
      </c>
      <c r="V30" s="54">
        <f>SUMIF(DataImport!$A$1:$A$66,Screenlines!K30,DataImport!$B$1:$B$66)</f>
        <v>0</v>
      </c>
      <c r="W30" s="55" t="e">
        <f t="shared" si="7"/>
        <v>#DIV/0!</v>
      </c>
      <c r="Y30" s="53" t="s">
        <v>22</v>
      </c>
      <c r="Z30" s="68">
        <v>0.82327611253601662</v>
      </c>
    </row>
    <row r="31" spans="2:26" x14ac:dyDescent="0.25">
      <c r="B31" s="49" t="s">
        <v>24</v>
      </c>
      <c r="C31" s="50">
        <v>54</v>
      </c>
      <c r="D31" s="51" t="e">
        <f>SUMIF(#REF!,Screenlines!C31,#REF!)</f>
        <v>#REF!</v>
      </c>
      <c r="E31" s="51" t="e">
        <f>SUMIF(#REF!,Screenlines!C31,#REF!)</f>
        <v>#REF!</v>
      </c>
      <c r="F31" s="51" t="e">
        <f>SUMIF(#REF!,Screenlines!C31,#REF!)</f>
        <v>#REF!</v>
      </c>
      <c r="G31" s="51" t="e">
        <f>SUMIF(#REF!,Screenlines!C31,#REF!)</f>
        <v>#REF!</v>
      </c>
      <c r="H31" s="51" t="e">
        <f>SUMIF(#REF!,Screenlines!C31,#REF!)</f>
        <v>#REF!</v>
      </c>
      <c r="I31" s="51" t="e">
        <f t="shared" si="4"/>
        <v>#REF!</v>
      </c>
      <c r="J31" s="51">
        <v>60135</v>
      </c>
      <c r="K31" s="52" t="e">
        <f t="shared" si="5"/>
        <v>#REF!</v>
      </c>
      <c r="L31" s="49" t="s">
        <v>24</v>
      </c>
      <c r="M31" s="50">
        <v>54</v>
      </c>
      <c r="N31" s="53">
        <v>1.4424590122890164</v>
      </c>
      <c r="O31" s="54">
        <f>SUMIF(DataImport!$A$1:$A$66,Screenlines!C31,DataImport!$B$1:$B$66)</f>
        <v>86880.102050999994</v>
      </c>
      <c r="P31" s="55">
        <f t="shared" si="6"/>
        <v>1.444751011075081</v>
      </c>
      <c r="Q31" s="70"/>
      <c r="S31" s="49" t="s">
        <v>8</v>
      </c>
      <c r="T31" s="50">
        <v>32</v>
      </c>
      <c r="U31" s="53">
        <v>1.0748964504763623</v>
      </c>
      <c r="V31" s="54">
        <f>SUMIF(DataImport!$A$1:$A$66,Screenlines!K31,DataImport!$B$1:$B$66)</f>
        <v>0</v>
      </c>
      <c r="W31" s="55" t="e">
        <f t="shared" si="7"/>
        <v>#DIV/0!</v>
      </c>
      <c r="Y31" s="53" t="s">
        <v>23</v>
      </c>
      <c r="Z31" s="68">
        <v>0.9122624566900579</v>
      </c>
    </row>
    <row r="32" spans="2:26" x14ac:dyDescent="0.25">
      <c r="B32" s="49" t="s">
        <v>25</v>
      </c>
      <c r="C32" s="50">
        <v>57</v>
      </c>
      <c r="D32" s="51" t="e">
        <f>SUMIF(#REF!,Screenlines!C32,#REF!)</f>
        <v>#REF!</v>
      </c>
      <c r="E32" s="51" t="e">
        <f>SUMIF(#REF!,Screenlines!C32,#REF!)</f>
        <v>#REF!</v>
      </c>
      <c r="F32" s="51" t="e">
        <f>SUMIF(#REF!,Screenlines!C32,#REF!)</f>
        <v>#REF!</v>
      </c>
      <c r="G32" s="51" t="e">
        <f>SUMIF(#REF!,Screenlines!C32,#REF!)</f>
        <v>#REF!</v>
      </c>
      <c r="H32" s="51" t="e">
        <f>SUMIF(#REF!,Screenlines!C32,#REF!)</f>
        <v>#REF!</v>
      </c>
      <c r="I32" s="51" t="e">
        <f t="shared" si="4"/>
        <v>#REF!</v>
      </c>
      <c r="J32" s="51">
        <v>106798</v>
      </c>
      <c r="K32" s="52" t="e">
        <f t="shared" si="5"/>
        <v>#REF!</v>
      </c>
      <c r="L32" s="49" t="s">
        <v>25</v>
      </c>
      <c r="M32" s="50">
        <v>57</v>
      </c>
      <c r="N32" s="53">
        <v>0.74490813930972499</v>
      </c>
      <c r="O32" s="54">
        <f>SUMIF(DataImport!$A$1:$A$66,Screenlines!C32,DataImport!$B$1:$B$66)</f>
        <v>73009.488282999999</v>
      </c>
      <c r="P32" s="55">
        <f t="shared" si="6"/>
        <v>0.68362224276671846</v>
      </c>
      <c r="Q32" s="70"/>
      <c r="S32" s="49" t="s">
        <v>9</v>
      </c>
      <c r="T32" s="50">
        <v>35</v>
      </c>
      <c r="U32" s="53">
        <v>1.0214809873250172</v>
      </c>
      <c r="V32" s="54">
        <f>SUMIF(DataImport!$A$1:$A$66,Screenlines!K32,DataImport!$B$1:$B$66)</f>
        <v>0</v>
      </c>
      <c r="W32" s="55" t="e">
        <f t="shared" si="7"/>
        <v>#DIV/0!</v>
      </c>
      <c r="Y32" s="53" t="s">
        <v>24</v>
      </c>
      <c r="Z32" s="68">
        <v>1.2443338507192152</v>
      </c>
    </row>
    <row r="33" spans="2:26" x14ac:dyDescent="0.25">
      <c r="B33" s="49" t="s">
        <v>26</v>
      </c>
      <c r="C33" s="50">
        <v>58</v>
      </c>
      <c r="D33" s="51" t="e">
        <f>SUMIF(#REF!,Screenlines!C33,#REF!)</f>
        <v>#REF!</v>
      </c>
      <c r="E33" s="51" t="e">
        <f>SUMIF(#REF!,Screenlines!C33,#REF!)</f>
        <v>#REF!</v>
      </c>
      <c r="F33" s="51" t="e">
        <f>SUMIF(#REF!,Screenlines!C33,#REF!)</f>
        <v>#REF!</v>
      </c>
      <c r="G33" s="51" t="e">
        <f>SUMIF(#REF!,Screenlines!C33,#REF!)</f>
        <v>#REF!</v>
      </c>
      <c r="H33" s="51" t="e">
        <f>SUMIF(#REF!,Screenlines!C33,#REF!)</f>
        <v>#REF!</v>
      </c>
      <c r="I33" s="51" t="e">
        <f t="shared" si="4"/>
        <v>#REF!</v>
      </c>
      <c r="J33" s="51">
        <v>20000</v>
      </c>
      <c r="K33" s="52" t="e">
        <f t="shared" si="5"/>
        <v>#REF!</v>
      </c>
      <c r="L33" s="49" t="s">
        <v>26</v>
      </c>
      <c r="M33" s="50">
        <v>58</v>
      </c>
      <c r="N33" s="53">
        <v>0.94378433834999997</v>
      </c>
      <c r="O33" s="54">
        <f>SUMIF(DataImport!$A$1:$A$66,Screenlines!C33,DataImport!$B$1:$B$66)</f>
        <v>19230.076172000001</v>
      </c>
      <c r="P33" s="55">
        <f t="shared" si="6"/>
        <v>0.96150380860000006</v>
      </c>
      <c r="Q33" s="70"/>
      <c r="S33" s="49" t="s">
        <v>10</v>
      </c>
      <c r="T33" s="50">
        <v>37</v>
      </c>
      <c r="U33" s="53">
        <v>0.91675432420780578</v>
      </c>
      <c r="V33" s="54">
        <f>SUMIF(DataImport!$A$1:$A$66,Screenlines!K33,DataImport!$B$1:$B$66)</f>
        <v>0</v>
      </c>
      <c r="W33" s="55" t="e">
        <f t="shared" si="7"/>
        <v>#DIV/0!</v>
      </c>
      <c r="Y33" s="53" t="s">
        <v>25</v>
      </c>
      <c r="Z33" s="68">
        <v>0.75381832113897174</v>
      </c>
    </row>
    <row r="34" spans="2:26" x14ac:dyDescent="0.25">
      <c r="B34" s="49" t="s">
        <v>27</v>
      </c>
      <c r="C34" s="50">
        <v>60</v>
      </c>
      <c r="D34" s="51" t="e">
        <f>SUMIF(#REF!,Screenlines!C34,#REF!)</f>
        <v>#REF!</v>
      </c>
      <c r="E34" s="51" t="e">
        <f>SUMIF(#REF!,Screenlines!C34,#REF!)</f>
        <v>#REF!</v>
      </c>
      <c r="F34" s="51" t="e">
        <f>SUMIF(#REF!,Screenlines!C34,#REF!)</f>
        <v>#REF!</v>
      </c>
      <c r="G34" s="51" t="e">
        <f>SUMIF(#REF!,Screenlines!C34,#REF!)</f>
        <v>#REF!</v>
      </c>
      <c r="H34" s="51" t="e">
        <f>SUMIF(#REF!,Screenlines!C34,#REF!)</f>
        <v>#REF!</v>
      </c>
      <c r="I34" s="51" t="e">
        <f t="shared" si="4"/>
        <v>#REF!</v>
      </c>
      <c r="J34" s="51">
        <v>25219</v>
      </c>
      <c r="K34" s="52" t="e">
        <f t="shared" si="5"/>
        <v>#REF!</v>
      </c>
      <c r="L34" s="49" t="s">
        <v>27</v>
      </c>
      <c r="M34" s="50">
        <v>60</v>
      </c>
      <c r="N34" s="53">
        <v>0.66595643161901752</v>
      </c>
      <c r="O34" s="54">
        <f>SUMIF(DataImport!$A$1:$A$66,Screenlines!C34,DataImport!$B$1:$B$66)</f>
        <v>21304.712767000001</v>
      </c>
      <c r="P34" s="55">
        <f t="shared" si="6"/>
        <v>0.84478816634283682</v>
      </c>
      <c r="Q34" s="70"/>
      <c r="S34" s="49" t="s">
        <v>11</v>
      </c>
      <c r="T34" s="50">
        <v>41</v>
      </c>
      <c r="U34" s="53">
        <v>0.93616405936357816</v>
      </c>
      <c r="V34" s="54">
        <f>SUMIF(DataImport!$A$1:$A$66,Screenlines!K34,DataImport!$B$1:$B$66)</f>
        <v>0</v>
      </c>
      <c r="W34" s="55" t="e">
        <f t="shared" si="7"/>
        <v>#DIV/0!</v>
      </c>
      <c r="Y34" s="53" t="s">
        <v>26</v>
      </c>
      <c r="Z34" s="68">
        <v>1.07289523925</v>
      </c>
    </row>
    <row r="35" spans="2:26" x14ac:dyDescent="0.25">
      <c r="B35" s="49" t="s">
        <v>28</v>
      </c>
      <c r="C35" s="50">
        <v>66</v>
      </c>
      <c r="D35" s="51" t="e">
        <f>SUMIF(#REF!,Screenlines!C35,#REF!)</f>
        <v>#REF!</v>
      </c>
      <c r="E35" s="51" t="e">
        <f>SUMIF(#REF!,Screenlines!C35,#REF!)</f>
        <v>#REF!</v>
      </c>
      <c r="F35" s="51" t="e">
        <f>SUMIF(#REF!,Screenlines!C35,#REF!)</f>
        <v>#REF!</v>
      </c>
      <c r="G35" s="51" t="e">
        <f>SUMIF(#REF!,Screenlines!C35,#REF!)</f>
        <v>#REF!</v>
      </c>
      <c r="H35" s="51" t="e">
        <f>SUMIF(#REF!,Screenlines!C35,#REF!)</f>
        <v>#REF!</v>
      </c>
      <c r="I35" s="51" t="e">
        <f t="shared" si="4"/>
        <v>#REF!</v>
      </c>
      <c r="J35" s="51">
        <v>84674</v>
      </c>
      <c r="K35" s="52" t="e">
        <f t="shared" si="5"/>
        <v>#REF!</v>
      </c>
      <c r="L35" s="49" t="s">
        <v>28</v>
      </c>
      <c r="M35" s="50">
        <v>66</v>
      </c>
      <c r="N35" s="53">
        <v>0.82182127085055623</v>
      </c>
      <c r="O35" s="54">
        <f>SUMIF(DataImport!$A$1:$A$66,Screenlines!C35,DataImport!$B$1:$B$66)</f>
        <v>92261.356446000005</v>
      </c>
      <c r="P35" s="55">
        <f t="shared" si="6"/>
        <v>1.0896066850036612</v>
      </c>
      <c r="Q35" s="70"/>
      <c r="S35" s="49" t="s">
        <v>12</v>
      </c>
      <c r="T35" s="50">
        <v>43</v>
      </c>
      <c r="U35" s="53">
        <v>1.0365513733783571</v>
      </c>
      <c r="V35" s="54">
        <f>SUMIF(DataImport!$A$1:$A$66,Screenlines!K35,DataImport!$B$1:$B$66)</f>
        <v>0</v>
      </c>
      <c r="W35" s="55" t="e">
        <f t="shared" si="7"/>
        <v>#DIV/0!</v>
      </c>
      <c r="Y35" s="53" t="s">
        <v>27</v>
      </c>
      <c r="Z35" s="68">
        <v>0.24246180903287165</v>
      </c>
    </row>
    <row r="36" spans="2:26" x14ac:dyDescent="0.25">
      <c r="B36" s="49" t="s">
        <v>29</v>
      </c>
      <c r="C36" s="50">
        <v>71</v>
      </c>
      <c r="D36" s="51" t="e">
        <f>SUMIF(#REF!,Screenlines!C36,#REF!)</f>
        <v>#REF!</v>
      </c>
      <c r="E36" s="51" t="e">
        <f>SUMIF(#REF!,Screenlines!C36,#REF!)</f>
        <v>#REF!</v>
      </c>
      <c r="F36" s="51" t="e">
        <f>SUMIF(#REF!,Screenlines!C36,#REF!)</f>
        <v>#REF!</v>
      </c>
      <c r="G36" s="51" t="e">
        <f>SUMIF(#REF!,Screenlines!C36,#REF!)</f>
        <v>#REF!</v>
      </c>
      <c r="H36" s="51" t="e">
        <f>SUMIF(#REF!,Screenlines!C36,#REF!)</f>
        <v>#REF!</v>
      </c>
      <c r="I36" s="51" t="e">
        <f t="shared" si="4"/>
        <v>#REF!</v>
      </c>
      <c r="J36" s="51">
        <v>99360</v>
      </c>
      <c r="K36" s="52" t="e">
        <f t="shared" si="5"/>
        <v>#REF!</v>
      </c>
      <c r="L36" s="49" t="s">
        <v>29</v>
      </c>
      <c r="M36" s="50">
        <v>71</v>
      </c>
      <c r="N36" s="53">
        <v>1.0624797827194041</v>
      </c>
      <c r="O36" s="54">
        <f>SUMIF(DataImport!$A$1:$A$66,Screenlines!C36,DataImport!$B$1:$B$66)</f>
        <v>131007.58886699899</v>
      </c>
      <c r="P36" s="55">
        <f t="shared" si="6"/>
        <v>1.3185143807065116</v>
      </c>
      <c r="Q36" s="70"/>
      <c r="S36" s="49" t="s">
        <v>13</v>
      </c>
      <c r="T36" s="50">
        <v>44</v>
      </c>
      <c r="U36" s="53">
        <v>1.14139005632712</v>
      </c>
      <c r="V36" s="54">
        <f>SUMIF(DataImport!$A$1:$A$66,Screenlines!K36,DataImport!$B$1:$B$66)</f>
        <v>0</v>
      </c>
      <c r="W36" s="55" t="e">
        <f t="shared" si="7"/>
        <v>#DIV/0!</v>
      </c>
      <c r="Y36" s="53" t="s">
        <v>28</v>
      </c>
      <c r="Z36" s="68">
        <v>1.06548733332546</v>
      </c>
    </row>
    <row r="37" spans="2:26" x14ac:dyDescent="0.25">
      <c r="B37" s="61" t="s">
        <v>16</v>
      </c>
      <c r="C37" s="61"/>
      <c r="D37" s="63" t="e">
        <f>SUM(D25:D36)</f>
        <v>#REF!</v>
      </c>
      <c r="E37" s="63" t="e">
        <f>SUM(E25:E36)</f>
        <v>#REF!</v>
      </c>
      <c r="F37" s="63" t="e">
        <f t="shared" ref="F37:I37" si="8">SUM(F25:F36)</f>
        <v>#REF!</v>
      </c>
      <c r="G37" s="63" t="e">
        <f t="shared" si="8"/>
        <v>#REF!</v>
      </c>
      <c r="H37" s="63" t="e">
        <f t="shared" si="8"/>
        <v>#REF!</v>
      </c>
      <c r="I37" s="63" t="e">
        <f t="shared" si="8"/>
        <v>#REF!</v>
      </c>
      <c r="J37" s="63">
        <f>SUM(J25:J36)</f>
        <v>1506183</v>
      </c>
      <c r="K37" s="64" t="e">
        <f t="shared" si="5"/>
        <v>#REF!</v>
      </c>
      <c r="L37" s="61" t="s">
        <v>16</v>
      </c>
      <c r="M37" s="61"/>
      <c r="N37" s="65">
        <v>0.93772495422866931</v>
      </c>
      <c r="O37" s="66">
        <f>SUM(O25:O36)</f>
        <v>1564909.3349649988</v>
      </c>
      <c r="P37" s="67">
        <f t="shared" si="6"/>
        <v>1.0389901724856798</v>
      </c>
      <c r="S37" s="49" t="s">
        <v>14</v>
      </c>
      <c r="T37" s="50">
        <v>46</v>
      </c>
      <c r="U37" s="53">
        <v>1.067831234826738</v>
      </c>
      <c r="V37" s="54">
        <f>SUMIF(DataImport!$A$1:$A$66,Screenlines!K37,DataImport!$B$1:$B$66)</f>
        <v>0</v>
      </c>
      <c r="W37" s="55" t="e">
        <f t="shared" si="7"/>
        <v>#DIV/0!</v>
      </c>
      <c r="Y37" s="53" t="s">
        <v>29</v>
      </c>
      <c r="Z37" s="68">
        <v>1.3597687627415458</v>
      </c>
    </row>
    <row r="38" spans="2:26" x14ac:dyDescent="0.25">
      <c r="B38" s="39" t="s">
        <v>30</v>
      </c>
      <c r="C38" s="39"/>
      <c r="D38" s="40" t="e">
        <f>D22+D37</f>
        <v>#REF!</v>
      </c>
      <c r="E38" s="40" t="e">
        <f>E37+E22</f>
        <v>#REF!</v>
      </c>
      <c r="F38" s="40" t="e">
        <f t="shared" ref="F38:I38" si="9">F37+F22</f>
        <v>#REF!</v>
      </c>
      <c r="G38" s="40" t="e">
        <f t="shared" si="9"/>
        <v>#REF!</v>
      </c>
      <c r="H38" s="40" t="e">
        <f t="shared" si="9"/>
        <v>#REF!</v>
      </c>
      <c r="I38" s="40" t="e">
        <f t="shared" si="9"/>
        <v>#REF!</v>
      </c>
      <c r="J38" s="40">
        <f>J22+J37</f>
        <v>5978057.7549999999</v>
      </c>
      <c r="K38" s="37" t="e">
        <f t="shared" si="5"/>
        <v>#REF!</v>
      </c>
      <c r="L38" s="39" t="s">
        <v>30</v>
      </c>
      <c r="M38" s="39"/>
      <c r="N38" s="38"/>
      <c r="O38" s="36"/>
      <c r="P38" s="36"/>
      <c r="S38" s="57" t="s">
        <v>15</v>
      </c>
      <c r="T38" s="58">
        <v>80</v>
      </c>
      <c r="U38" s="53"/>
      <c r="V38" s="48"/>
      <c r="W38" s="48"/>
      <c r="Y38" s="53" t="s">
        <v>16</v>
      </c>
      <c r="Z38" s="68">
        <v>0.97252677199649706</v>
      </c>
    </row>
    <row r="39" spans="2:26" x14ac:dyDescent="0.25">
      <c r="S39" s="61" t="s">
        <v>16</v>
      </c>
      <c r="T39" s="62"/>
      <c r="U39" s="65">
        <v>0.89221618896860189</v>
      </c>
      <c r="V39" s="66">
        <f>SUM(V25:V38)</f>
        <v>0</v>
      </c>
      <c r="W39" s="67" t="e">
        <f>V39/Q39</f>
        <v>#DIV/0!</v>
      </c>
    </row>
    <row r="40" spans="2:26" x14ac:dyDescent="0.25">
      <c r="S40" s="49"/>
      <c r="T40" s="50"/>
      <c r="U40" s="53"/>
      <c r="V40" s="48"/>
      <c r="W40" s="48"/>
    </row>
    <row r="41" spans="2:26" x14ac:dyDescent="0.25">
      <c r="S41" s="97" t="s">
        <v>17</v>
      </c>
      <c r="T41" s="98"/>
      <c r="U41" s="53"/>
      <c r="V41" s="48"/>
      <c r="W41" s="48"/>
    </row>
    <row r="42" spans="2:26" x14ac:dyDescent="0.25">
      <c r="S42" s="49" t="s">
        <v>18</v>
      </c>
      <c r="T42" s="50">
        <v>2</v>
      </c>
      <c r="U42" s="53">
        <v>0.88659392931181091</v>
      </c>
      <c r="V42" s="54">
        <f>SUMIF(DataImport!$A$1:$A$66,Screenlines!K42,DataImport!$B$1:$B$66)</f>
        <v>0</v>
      </c>
      <c r="W42" s="55" t="e">
        <f t="shared" ref="W42:W54" si="10">V42/Q42</f>
        <v>#DIV/0!</v>
      </c>
    </row>
    <row r="43" spans="2:26" x14ac:dyDescent="0.25">
      <c r="S43" s="49" t="s">
        <v>19</v>
      </c>
      <c r="T43" s="50">
        <v>3</v>
      </c>
      <c r="U43" s="53">
        <v>0.91125601159895508</v>
      </c>
      <c r="V43" s="54">
        <f>SUMIF(DataImport!$A$1:$A$66,Screenlines!K43,DataImport!$B$1:$B$66)</f>
        <v>0</v>
      </c>
      <c r="W43" s="55" t="e">
        <f t="shared" si="10"/>
        <v>#DIV/0!</v>
      </c>
    </row>
    <row r="44" spans="2:26" x14ac:dyDescent="0.25">
      <c r="S44" s="49" t="s">
        <v>20</v>
      </c>
      <c r="T44" s="50">
        <v>7</v>
      </c>
      <c r="U44" s="53">
        <v>1.3849770934817749</v>
      </c>
      <c r="V44" s="54">
        <f>SUMIF(DataImport!$A$1:$A$66,Screenlines!K44,DataImport!$B$1:$B$66)</f>
        <v>0</v>
      </c>
      <c r="W44" s="55" t="e">
        <f t="shared" si="10"/>
        <v>#DIV/0!</v>
      </c>
    </row>
    <row r="45" spans="2:26" x14ac:dyDescent="0.25">
      <c r="S45" s="49" t="s">
        <v>21</v>
      </c>
      <c r="T45" s="50">
        <v>18</v>
      </c>
      <c r="U45" s="53">
        <v>1.2461809318467016</v>
      </c>
      <c r="V45" s="54">
        <f>SUMIF(DataImport!$A$1:$A$66,Screenlines!K45,DataImport!$B$1:$B$66)</f>
        <v>0</v>
      </c>
      <c r="W45" s="55" t="e">
        <f t="shared" si="10"/>
        <v>#DIV/0!</v>
      </c>
    </row>
    <row r="46" spans="2:26" x14ac:dyDescent="0.25">
      <c r="S46" s="49" t="s">
        <v>22</v>
      </c>
      <c r="T46" s="50">
        <v>19</v>
      </c>
      <c r="U46" s="53">
        <v>1.0319347568188943</v>
      </c>
      <c r="V46" s="54">
        <f>SUMIF(DataImport!$A$1:$A$66,Screenlines!K46,DataImport!$B$1:$B$66)</f>
        <v>0</v>
      </c>
      <c r="W46" s="55" t="e">
        <f t="shared" si="10"/>
        <v>#DIV/0!</v>
      </c>
    </row>
    <row r="47" spans="2:26" x14ac:dyDescent="0.25">
      <c r="S47" s="49" t="s">
        <v>23</v>
      </c>
      <c r="T47" s="50">
        <v>20</v>
      </c>
      <c r="U47" s="53">
        <v>0.97058047773019396</v>
      </c>
      <c r="V47" s="54">
        <f>SUMIF(DataImport!$A$1:$A$66,Screenlines!K47,DataImport!$B$1:$B$66)</f>
        <v>0</v>
      </c>
      <c r="W47" s="55" t="e">
        <f t="shared" si="10"/>
        <v>#DIV/0!</v>
      </c>
    </row>
    <row r="48" spans="2:26" x14ac:dyDescent="0.25">
      <c r="S48" s="49" t="s">
        <v>24</v>
      </c>
      <c r="T48" s="50">
        <v>54</v>
      </c>
      <c r="U48" s="53">
        <v>1.4424590122890164</v>
      </c>
      <c r="V48" s="54">
        <f>SUMIF(DataImport!$A$1:$A$66,Screenlines!K48,DataImport!$B$1:$B$66)</f>
        <v>0</v>
      </c>
      <c r="W48" s="55" t="e">
        <f t="shared" si="10"/>
        <v>#DIV/0!</v>
      </c>
    </row>
    <row r="49" spans="19:23" x14ac:dyDescent="0.25">
      <c r="S49" s="49" t="s">
        <v>25</v>
      </c>
      <c r="T49" s="50">
        <v>57</v>
      </c>
      <c r="U49" s="53">
        <v>0.74490813930972499</v>
      </c>
      <c r="V49" s="54">
        <f>SUMIF(DataImport!$A$1:$A$66,Screenlines!K49,DataImport!$B$1:$B$66)</f>
        <v>0</v>
      </c>
      <c r="W49" s="55" t="e">
        <f t="shared" si="10"/>
        <v>#DIV/0!</v>
      </c>
    </row>
    <row r="50" spans="19:23" x14ac:dyDescent="0.25">
      <c r="S50" s="49" t="s">
        <v>26</v>
      </c>
      <c r="T50" s="50">
        <v>58</v>
      </c>
      <c r="U50" s="53">
        <v>0.94378433834999997</v>
      </c>
      <c r="V50" s="54">
        <f>SUMIF(DataImport!$A$1:$A$66,Screenlines!K50,DataImport!$B$1:$B$66)</f>
        <v>0</v>
      </c>
      <c r="W50" s="55" t="e">
        <f t="shared" si="10"/>
        <v>#DIV/0!</v>
      </c>
    </row>
    <row r="51" spans="19:23" x14ac:dyDescent="0.25">
      <c r="S51" s="49" t="s">
        <v>27</v>
      </c>
      <c r="T51" s="50">
        <v>60</v>
      </c>
      <c r="U51" s="53">
        <v>0.66595643161901752</v>
      </c>
      <c r="V51" s="54">
        <f>SUMIF(DataImport!$A$1:$A$66,Screenlines!K51,DataImport!$B$1:$B$66)</f>
        <v>0</v>
      </c>
      <c r="W51" s="55" t="e">
        <f t="shared" si="10"/>
        <v>#DIV/0!</v>
      </c>
    </row>
    <row r="52" spans="19:23" x14ac:dyDescent="0.25">
      <c r="S52" s="49" t="s">
        <v>28</v>
      </c>
      <c r="T52" s="50">
        <v>66</v>
      </c>
      <c r="U52" s="53">
        <v>0.82182127085055623</v>
      </c>
      <c r="V52" s="54">
        <f>SUMIF(DataImport!$A$1:$A$66,Screenlines!K52,DataImport!$B$1:$B$66)</f>
        <v>0</v>
      </c>
      <c r="W52" s="55" t="e">
        <f t="shared" si="10"/>
        <v>#DIV/0!</v>
      </c>
    </row>
    <row r="53" spans="19:23" x14ac:dyDescent="0.25">
      <c r="S53" s="49" t="s">
        <v>29</v>
      </c>
      <c r="T53" s="50">
        <v>71</v>
      </c>
      <c r="U53" s="53">
        <v>1.0624797827194041</v>
      </c>
      <c r="V53" s="54">
        <f>SUMIF(DataImport!$A$1:$A$66,Screenlines!K53,DataImport!$B$1:$B$66)</f>
        <v>0</v>
      </c>
      <c r="W53" s="55" t="e">
        <f t="shared" si="10"/>
        <v>#DIV/0!</v>
      </c>
    </row>
    <row r="54" spans="19:23" x14ac:dyDescent="0.25">
      <c r="S54" s="61" t="s">
        <v>16</v>
      </c>
      <c r="T54" s="61"/>
      <c r="U54" s="65">
        <v>0.93772495422866931</v>
      </c>
      <c r="V54" s="66">
        <f>SUM(V42:V53)</f>
        <v>0</v>
      </c>
      <c r="W54" s="67" t="e">
        <f t="shared" si="10"/>
        <v>#DIV/0!</v>
      </c>
    </row>
  </sheetData>
  <mergeCells count="8">
    <mergeCell ref="S24:T24"/>
    <mergeCell ref="S41:T41"/>
    <mergeCell ref="D3:H3"/>
    <mergeCell ref="B7:C7"/>
    <mergeCell ref="B1:K1"/>
    <mergeCell ref="B24:C24"/>
    <mergeCell ref="L7:M7"/>
    <mergeCell ref="L24:M2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6"/>
  <sheetViews>
    <sheetView workbookViewId="0">
      <selection activeCell="F22" sqref="F22"/>
    </sheetView>
  </sheetViews>
  <sheetFormatPr defaultRowHeight="15" x14ac:dyDescent="0.25"/>
  <sheetData>
    <row r="1" spans="1:2" x14ac:dyDescent="0.25">
      <c r="A1" s="1">
        <v>56</v>
      </c>
      <c r="B1" s="1">
        <v>24899.870115999998</v>
      </c>
    </row>
    <row r="2" spans="1:2" x14ac:dyDescent="0.25">
      <c r="A2" s="1">
        <v>54</v>
      </c>
      <c r="B2" s="1">
        <v>86880.102050999994</v>
      </c>
    </row>
    <row r="3" spans="1:2" x14ac:dyDescent="0.25">
      <c r="A3" s="1">
        <v>51</v>
      </c>
      <c r="B3" s="1">
        <v>312681.23144399998</v>
      </c>
    </row>
    <row r="4" spans="1:2" x14ac:dyDescent="0.25">
      <c r="A4" s="1">
        <v>22</v>
      </c>
      <c r="B4" s="1">
        <v>229901.361814</v>
      </c>
    </row>
    <row r="5" spans="1:2" x14ac:dyDescent="0.25">
      <c r="A5" s="1">
        <v>36</v>
      </c>
      <c r="B5" s="1">
        <v>44634.766725000001</v>
      </c>
    </row>
    <row r="6" spans="1:2" x14ac:dyDescent="0.25">
      <c r="A6" s="1">
        <v>60</v>
      </c>
      <c r="B6" s="1">
        <v>21304.712767000001</v>
      </c>
    </row>
    <row r="7" spans="1:2" x14ac:dyDescent="0.25">
      <c r="A7" s="1">
        <v>19</v>
      </c>
      <c r="B7" s="1">
        <v>64671.049315999997</v>
      </c>
    </row>
    <row r="8" spans="1:2" x14ac:dyDescent="0.25">
      <c r="A8" s="1">
        <v>64</v>
      </c>
      <c r="B8" s="1">
        <v>100019.254882999</v>
      </c>
    </row>
    <row r="9" spans="1:2" x14ac:dyDescent="0.25">
      <c r="A9" s="1">
        <v>35</v>
      </c>
      <c r="B9" s="1">
        <v>460985.70117199997</v>
      </c>
    </row>
    <row r="10" spans="1:2" x14ac:dyDescent="0.25">
      <c r="A10" s="1">
        <v>66</v>
      </c>
      <c r="B10" s="1">
        <v>92261.356446000005</v>
      </c>
    </row>
    <row r="11" spans="1:2" x14ac:dyDescent="0.25">
      <c r="A11" s="1">
        <v>34</v>
      </c>
      <c r="B11" s="1">
        <v>466401.46191599901</v>
      </c>
    </row>
    <row r="12" spans="1:2" x14ac:dyDescent="0.25">
      <c r="A12" s="1">
        <v>24</v>
      </c>
      <c r="B12" s="1">
        <v>271426.17773399898</v>
      </c>
    </row>
    <row r="13" spans="1:2" x14ac:dyDescent="0.25">
      <c r="A13" s="1">
        <v>25</v>
      </c>
      <c r="B13" s="1">
        <v>118277.548339</v>
      </c>
    </row>
    <row r="14" spans="1:2" x14ac:dyDescent="0.25">
      <c r="A14" s="1">
        <v>26</v>
      </c>
      <c r="B14" s="1">
        <v>234245.79394599999</v>
      </c>
    </row>
    <row r="15" spans="1:2" x14ac:dyDescent="0.25">
      <c r="A15" s="1">
        <v>27</v>
      </c>
      <c r="B15" s="1">
        <v>302603.042969</v>
      </c>
    </row>
    <row r="16" spans="1:2" x14ac:dyDescent="0.25">
      <c r="A16" s="1">
        <v>20</v>
      </c>
      <c r="B16" s="1">
        <v>530687.44922099996</v>
      </c>
    </row>
    <row r="17" spans="1:2" x14ac:dyDescent="0.25">
      <c r="A17" s="1">
        <v>21</v>
      </c>
      <c r="B17" s="1">
        <v>123432.316651</v>
      </c>
    </row>
    <row r="18" spans="1:2" x14ac:dyDescent="0.25">
      <c r="A18" s="1">
        <v>48</v>
      </c>
      <c r="B18" s="1">
        <v>84219.158690999902</v>
      </c>
    </row>
    <row r="19" spans="1:2" x14ac:dyDescent="0.25">
      <c r="A19" s="1">
        <v>49</v>
      </c>
      <c r="B19" s="1">
        <v>71092.221557999903</v>
      </c>
    </row>
    <row r="20" spans="1:2" x14ac:dyDescent="0.25">
      <c r="A20" s="1">
        <v>46</v>
      </c>
      <c r="B20" s="1">
        <v>397614.79297000001</v>
      </c>
    </row>
    <row r="21" spans="1:2" x14ac:dyDescent="0.25">
      <c r="A21" s="1">
        <v>23</v>
      </c>
      <c r="B21" s="1">
        <v>66102.175476999997</v>
      </c>
    </row>
    <row r="22" spans="1:2" x14ac:dyDescent="0.25">
      <c r="A22" s="1">
        <v>44</v>
      </c>
      <c r="B22" s="1">
        <v>321013.31738199998</v>
      </c>
    </row>
    <row r="23" spans="1:2" x14ac:dyDescent="0.25">
      <c r="A23" s="1">
        <v>45</v>
      </c>
      <c r="B23" s="1">
        <v>133056.13818400001</v>
      </c>
    </row>
    <row r="24" spans="1:2" x14ac:dyDescent="0.25">
      <c r="A24" s="1">
        <v>42</v>
      </c>
      <c r="B24" s="1">
        <v>340696.38085900003</v>
      </c>
    </row>
    <row r="25" spans="1:2" x14ac:dyDescent="0.25">
      <c r="A25" s="1">
        <v>43</v>
      </c>
      <c r="B25" s="1">
        <v>295819.17187700002</v>
      </c>
    </row>
    <row r="26" spans="1:2" x14ac:dyDescent="0.25">
      <c r="A26" s="1">
        <v>40</v>
      </c>
      <c r="B26" s="1">
        <v>78465.619873000003</v>
      </c>
    </row>
    <row r="27" spans="1:2" x14ac:dyDescent="0.25">
      <c r="A27" s="1">
        <v>41</v>
      </c>
      <c r="B27" s="1">
        <v>362413.67675899999</v>
      </c>
    </row>
    <row r="28" spans="1:2" x14ac:dyDescent="0.25">
      <c r="A28" s="1">
        <v>1</v>
      </c>
      <c r="B28" s="1">
        <v>187331.93945199999</v>
      </c>
    </row>
    <row r="29" spans="1:2" x14ac:dyDescent="0.25">
      <c r="A29" s="1">
        <v>3</v>
      </c>
      <c r="B29" s="1">
        <v>114601.98779299999</v>
      </c>
    </row>
    <row r="30" spans="1:2" x14ac:dyDescent="0.25">
      <c r="A30" s="1">
        <v>2</v>
      </c>
      <c r="B30" s="1">
        <v>238990.45117099999</v>
      </c>
    </row>
    <row r="31" spans="1:2" x14ac:dyDescent="0.25">
      <c r="A31" s="1">
        <v>5</v>
      </c>
      <c r="B31" s="1">
        <v>279094.976563</v>
      </c>
    </row>
    <row r="32" spans="1:2" x14ac:dyDescent="0.25">
      <c r="A32" s="1">
        <v>4</v>
      </c>
      <c r="B32" s="1">
        <v>300417.785156</v>
      </c>
    </row>
    <row r="33" spans="1:2" x14ac:dyDescent="0.25">
      <c r="A33" s="1">
        <v>7</v>
      </c>
      <c r="B33" s="1">
        <v>116994.86523700001</v>
      </c>
    </row>
    <row r="34" spans="1:2" x14ac:dyDescent="0.25">
      <c r="A34" s="1">
        <v>6</v>
      </c>
      <c r="B34" s="1">
        <v>192983.75439300001</v>
      </c>
    </row>
    <row r="35" spans="1:2" x14ac:dyDescent="0.25">
      <c r="A35" s="1">
        <v>9</v>
      </c>
      <c r="B35" s="1">
        <v>88354.590576000002</v>
      </c>
    </row>
    <row r="36" spans="1:2" x14ac:dyDescent="0.25">
      <c r="A36" s="1">
        <v>8</v>
      </c>
      <c r="B36" s="1">
        <v>170389.30615299899</v>
      </c>
    </row>
    <row r="37" spans="1:2" x14ac:dyDescent="0.25">
      <c r="A37" s="1">
        <v>78</v>
      </c>
      <c r="B37" s="1">
        <v>5732.3069690000002</v>
      </c>
    </row>
    <row r="38" spans="1:2" x14ac:dyDescent="0.25">
      <c r="A38" s="1">
        <v>28</v>
      </c>
      <c r="B38" s="1">
        <v>262927.367187</v>
      </c>
    </row>
    <row r="39" spans="1:2" x14ac:dyDescent="0.25">
      <c r="A39" s="1">
        <v>77</v>
      </c>
      <c r="B39" s="1">
        <v>49675.991822000004</v>
      </c>
    </row>
    <row r="40" spans="1:2" x14ac:dyDescent="0.25">
      <c r="A40" s="1">
        <v>76</v>
      </c>
      <c r="B40" s="1">
        <v>60285.304565999999</v>
      </c>
    </row>
    <row r="41" spans="1:2" x14ac:dyDescent="0.25">
      <c r="A41" s="1">
        <v>75</v>
      </c>
      <c r="B41" s="1">
        <v>15158.2806699999</v>
      </c>
    </row>
    <row r="42" spans="1:2" x14ac:dyDescent="0.25">
      <c r="A42" s="1">
        <v>12</v>
      </c>
      <c r="B42" s="1">
        <v>138829.12548699899</v>
      </c>
    </row>
    <row r="43" spans="1:2" x14ac:dyDescent="0.25">
      <c r="A43" s="1">
        <v>71</v>
      </c>
      <c r="B43" s="1">
        <v>131007.58886699899</v>
      </c>
    </row>
    <row r="44" spans="1:2" x14ac:dyDescent="0.25">
      <c r="A44" s="1">
        <v>70</v>
      </c>
      <c r="B44" s="1">
        <v>200886.10498199999</v>
      </c>
    </row>
    <row r="45" spans="1:2" x14ac:dyDescent="0.25">
      <c r="A45" s="1">
        <v>29</v>
      </c>
      <c r="B45" s="1">
        <v>591570.36132999999</v>
      </c>
    </row>
    <row r="46" spans="1:2" x14ac:dyDescent="0.25">
      <c r="A46" s="1">
        <v>14</v>
      </c>
      <c r="B46" s="1">
        <v>271428.98437600001</v>
      </c>
    </row>
    <row r="47" spans="1:2" x14ac:dyDescent="0.25">
      <c r="A47" s="1">
        <v>11</v>
      </c>
      <c r="B47" s="1">
        <v>194323.62744099999</v>
      </c>
    </row>
    <row r="48" spans="1:2" x14ac:dyDescent="0.25">
      <c r="A48" s="1">
        <v>10</v>
      </c>
      <c r="B48" s="1">
        <v>293715.47851399903</v>
      </c>
    </row>
    <row r="49" spans="1:2" x14ac:dyDescent="0.25">
      <c r="A49" s="1">
        <v>13</v>
      </c>
      <c r="B49" s="1">
        <v>141594.58398299999</v>
      </c>
    </row>
    <row r="50" spans="1:2" x14ac:dyDescent="0.25">
      <c r="A50" s="1">
        <v>38</v>
      </c>
      <c r="B50" s="1">
        <v>424267.95898400003</v>
      </c>
    </row>
    <row r="51" spans="1:2" x14ac:dyDescent="0.25">
      <c r="A51" s="1">
        <v>15</v>
      </c>
      <c r="B51" s="1">
        <v>294948.72461099998</v>
      </c>
    </row>
    <row r="52" spans="1:2" x14ac:dyDescent="0.25">
      <c r="A52" s="1">
        <v>58</v>
      </c>
      <c r="B52" s="1">
        <v>19230.076172000001</v>
      </c>
    </row>
    <row r="53" spans="1:2" x14ac:dyDescent="0.25">
      <c r="A53" s="1">
        <v>17</v>
      </c>
      <c r="B53" s="1">
        <v>96004.192748000001</v>
      </c>
    </row>
    <row r="54" spans="1:2" x14ac:dyDescent="0.25">
      <c r="A54" s="1">
        <v>16</v>
      </c>
      <c r="B54" s="1">
        <v>146934.53271399901</v>
      </c>
    </row>
    <row r="55" spans="1:2" x14ac:dyDescent="0.25">
      <c r="A55" s="1">
        <v>33</v>
      </c>
      <c r="B55" s="1">
        <v>212426.19824</v>
      </c>
    </row>
    <row r="56" spans="1:2" x14ac:dyDescent="0.25">
      <c r="A56" s="1">
        <v>32</v>
      </c>
      <c r="B56" s="1">
        <v>305899.22265700001</v>
      </c>
    </row>
    <row r="57" spans="1:2" x14ac:dyDescent="0.25">
      <c r="A57" s="1">
        <v>57</v>
      </c>
      <c r="B57" s="1">
        <v>73009.488282999999</v>
      </c>
    </row>
    <row r="58" spans="1:2" x14ac:dyDescent="0.25">
      <c r="A58" s="1">
        <v>30</v>
      </c>
      <c r="B58" s="1">
        <v>353629.03418100002</v>
      </c>
    </row>
    <row r="59" spans="1:2" x14ac:dyDescent="0.25">
      <c r="A59" s="1">
        <v>37</v>
      </c>
      <c r="B59" s="1">
        <v>426528.545897</v>
      </c>
    </row>
    <row r="60" spans="1:2" x14ac:dyDescent="0.25">
      <c r="A60" s="1">
        <v>50</v>
      </c>
      <c r="B60" s="1">
        <v>59514.741577000001</v>
      </c>
    </row>
    <row r="61" spans="1:2" x14ac:dyDescent="0.25">
      <c r="A61" s="1">
        <v>53</v>
      </c>
      <c r="B61" s="1">
        <v>167207.39160099899</v>
      </c>
    </row>
    <row r="62" spans="1:2" x14ac:dyDescent="0.25">
      <c r="A62" s="1">
        <v>52</v>
      </c>
      <c r="B62" s="1">
        <v>77675.138305999993</v>
      </c>
    </row>
    <row r="63" spans="1:2" x14ac:dyDescent="0.25">
      <c r="A63" s="1">
        <v>55</v>
      </c>
      <c r="B63" s="1">
        <v>47292.024416</v>
      </c>
    </row>
    <row r="64" spans="1:2" x14ac:dyDescent="0.25">
      <c r="A64" s="1">
        <v>18</v>
      </c>
      <c r="B64" s="1">
        <v>75270.207641000001</v>
      </c>
    </row>
    <row r="65" spans="1:2" x14ac:dyDescent="0.25">
      <c r="A65" s="1">
        <v>31</v>
      </c>
      <c r="B65" s="1">
        <v>225718.895507999</v>
      </c>
    </row>
    <row r="66" spans="1:2" x14ac:dyDescent="0.25">
      <c r="A66" s="1">
        <v>65</v>
      </c>
      <c r="B66" s="1">
        <v>77580.245483000006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READ-ME</vt:lpstr>
      <vt:lpstr>Screenlines</vt:lpstr>
      <vt:lpstr>DataImport</vt:lpstr>
      <vt:lpstr>copy_results</vt:lpstr>
      <vt:lpstr>current_results_handle</vt:lpstr>
      <vt:lpstr>file_name1</vt:lpstr>
      <vt:lpstr>msg_box_results</vt:lpstr>
      <vt:lpstr>past_results_handle</vt:lpstr>
    </vt:vector>
  </TitlesOfParts>
  <Company>Puget Sound Regional Council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Johnson</dc:creator>
  <cp:lastModifiedBy>Suzanne Childress</cp:lastModifiedBy>
  <dcterms:created xsi:type="dcterms:W3CDTF">2012-06-27T16:03:20Z</dcterms:created>
  <dcterms:modified xsi:type="dcterms:W3CDTF">2014-06-10T21:08:32Z</dcterms:modified>
</cp:coreProperties>
</file>