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25" yWindow="615" windowWidth="10620" windowHeight="5565" activeTab="1"/>
  </bookViews>
  <sheets>
    <sheet name="READ-ME" sheetId="3" r:id="rId1"/>
    <sheet name="NetworkSummaryStats" sheetId="2" r:id="rId2"/>
    <sheet name="DataImport" sheetId="1" r:id="rId3"/>
  </sheets>
  <externalReferences>
    <externalReference r:id="rId4"/>
  </externalReferences>
  <definedNames>
    <definedName name="copy_results">'READ-ME'!$C$19</definedName>
    <definedName name="current_results_handle">'READ-ME'!$C$21</definedName>
    <definedName name="file_name1">'READ-ME'!$D$17</definedName>
    <definedName name="import_error">[1]SoundCast_Data!$B$1004</definedName>
    <definedName name="msg_box_results">'READ-ME'!$C$22</definedName>
    <definedName name="past_results_handle">'READ-ME'!$C$20</definedName>
  </definedNames>
  <calcPr calcId="145621"/>
</workbook>
</file>

<file path=xl/calcChain.xml><?xml version="1.0" encoding="utf-8"?>
<calcChain xmlns="http://schemas.openxmlformats.org/spreadsheetml/2006/main">
  <c r="D17" i="2" l="1"/>
  <c r="D5" i="2"/>
  <c r="D41" i="2" l="1"/>
  <c r="D9" i="2"/>
  <c r="D8" i="2"/>
  <c r="D7" i="2"/>
  <c r="D6" i="2"/>
  <c r="D21" i="2" l="1"/>
  <c r="D20" i="2"/>
  <c r="D19" i="2"/>
  <c r="D18" i="2"/>
  <c r="C16" i="1" l="1"/>
  <c r="L3" i="3" l="1"/>
  <c r="D55" i="2" l="1"/>
  <c r="D54" i="2"/>
  <c r="D53" i="2"/>
  <c r="D50" i="2"/>
  <c r="D49" i="2"/>
  <c r="D48" i="2"/>
  <c r="D37" i="2"/>
  <c r="D36" i="2"/>
  <c r="D33" i="2"/>
  <c r="D32" i="2"/>
  <c r="D31" i="2"/>
  <c r="D30" i="2"/>
  <c r="D29" i="2"/>
  <c r="D26" i="2"/>
  <c r="D25" i="2"/>
  <c r="D24" i="2"/>
  <c r="D14" i="2"/>
  <c r="D13" i="2"/>
  <c r="D12" i="2"/>
  <c r="D10" i="2" l="1"/>
  <c r="D43" i="2"/>
  <c r="D56" i="2" s="1"/>
  <c r="D51" i="2"/>
  <c r="D44" i="2"/>
  <c r="D59" i="2"/>
  <c r="D42" i="2"/>
  <c r="D58" i="2"/>
  <c r="D39" i="2"/>
  <c r="D34" i="2"/>
  <c r="D45" i="2"/>
  <c r="D60" i="2"/>
  <c r="D22" i="2"/>
  <c r="D27" i="2"/>
  <c r="D15" i="2"/>
  <c r="D46" i="2" l="1"/>
  <c r="D61" i="2"/>
</calcChain>
</file>

<file path=xl/sharedStrings.xml><?xml version="1.0" encoding="utf-8"?>
<sst xmlns="http://schemas.openxmlformats.org/spreadsheetml/2006/main" count="138" uniqueCount="72">
  <si>
    <t>tod</t>
  </si>
  <si>
    <t>TP_4k</t>
  </si>
  <si>
    <t>arterial_vmt</t>
  </si>
  <si>
    <t>connectors_vmt</t>
  </si>
  <si>
    <t>highway_vmt</t>
  </si>
  <si>
    <t>arterial_vht</t>
  </si>
  <si>
    <t>connectors_vht</t>
  </si>
  <si>
    <t>highway_vht</t>
  </si>
  <si>
    <t>arterial_delay</t>
  </si>
  <si>
    <t>connectors_delay</t>
  </si>
  <si>
    <t>highway_delay</t>
  </si>
  <si>
    <t>9to10</t>
  </si>
  <si>
    <t>md</t>
  </si>
  <si>
    <t>16to17</t>
  </si>
  <si>
    <t>pm</t>
  </si>
  <si>
    <t>15to16</t>
  </si>
  <si>
    <t>20to5</t>
  </si>
  <si>
    <t>ni</t>
  </si>
  <si>
    <t>7to8</t>
  </si>
  <si>
    <t>am</t>
  </si>
  <si>
    <t>14to15</t>
  </si>
  <si>
    <t>8to9</t>
  </si>
  <si>
    <t>18to20</t>
  </si>
  <si>
    <t>ev</t>
  </si>
  <si>
    <t>17to18</t>
  </si>
  <si>
    <t>6to7</t>
  </si>
  <si>
    <t>5to6</t>
  </si>
  <si>
    <t>10to14</t>
  </si>
  <si>
    <t>VMT</t>
  </si>
  <si>
    <t>AM</t>
  </si>
  <si>
    <t>MD</t>
  </si>
  <si>
    <t>PM</t>
  </si>
  <si>
    <t>EV</t>
  </si>
  <si>
    <t>NT</t>
  </si>
  <si>
    <t>Total</t>
  </si>
  <si>
    <t>Freeways</t>
  </si>
  <si>
    <t>Arterials</t>
  </si>
  <si>
    <t>Connectors</t>
  </si>
  <si>
    <t>VHT</t>
  </si>
  <si>
    <t>Delay</t>
  </si>
  <si>
    <t>Average Speed</t>
  </si>
  <si>
    <t>Daily</t>
  </si>
  <si>
    <t>4k model times</t>
  </si>
  <si>
    <t>6-9 am</t>
  </si>
  <si>
    <t>6-9am</t>
  </si>
  <si>
    <t>SoundCast</t>
  </si>
  <si>
    <t>9-3 pm</t>
  </si>
  <si>
    <t>3-6 pm</t>
  </si>
  <si>
    <t>6-10 pm</t>
  </si>
  <si>
    <t>6-8 pm</t>
  </si>
  <si>
    <t>File Name</t>
  </si>
  <si>
    <t>Errors</t>
  </si>
  <si>
    <t>Contents and Functions</t>
  </si>
  <si>
    <t>Macros</t>
  </si>
  <si>
    <t>Macro requires 1 input file to be saved in the same directory as this spreadsheet. File name below must match file name in directory.</t>
  </si>
  <si>
    <t>File Name:</t>
  </si>
  <si>
    <t>Yes</t>
  </si>
  <si>
    <t>Copy current results for comparison?</t>
  </si>
  <si>
    <t>Past Results Scenario Name or Run Number</t>
  </si>
  <si>
    <t>Current Results Scenario Name or Run Number</t>
  </si>
  <si>
    <t>Show message box on completion?</t>
  </si>
  <si>
    <t>SoundCastNetStats.xlsm</t>
  </si>
  <si>
    <t>Compares total network VMT, VHT, delay, and average speeds across TODs.</t>
  </si>
  <si>
    <t>Current Run Results</t>
  </si>
  <si>
    <t>Scenario/Run Number</t>
  </si>
  <si>
    <t>network_summary.csv</t>
  </si>
  <si>
    <t>(Emme ver 4.1)</t>
  </si>
  <si>
    <t>Base</t>
  </si>
  <si>
    <t>run15</t>
  </si>
  <si>
    <t>10 pm- 6 am</t>
  </si>
  <si>
    <t>8 pm- 6 am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</si>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</sst>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0.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1"/>
      <name val="Arial"/>
      <family val="2"/>
    </font>
    <font>
      <b/>
      <i/>
      <sz val="10"/>
      <color theme="1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6B8B7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5">
    <xf numFmtId="0" fontId="0" fillId="0" borderId="0" xfId="0"/>
    <xf numFmtId="0" fontId="0" fillId="34" borderId="0" xfId="0" applyFill="1"/>
    <xf numFmtId="0" fontId="18" fillId="34" borderId="0" xfId="42" applyFill="1"/>
    <xf numFmtId="0" fontId="20" fillId="34" borderId="0" xfId="42" applyFont="1" applyFill="1"/>
    <xf numFmtId="0" fontId="16" fillId="34" borderId="0" xfId="0" applyFont="1" applyFill="1"/>
    <xf numFmtId="3" fontId="0" fillId="0" borderId="0" xfId="0" applyNumberFormat="1"/>
    <xf numFmtId="164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 applyBorder="1"/>
    <xf numFmtId="0" fontId="16" fillId="35" borderId="10" xfId="0" applyFont="1" applyFill="1" applyBorder="1"/>
    <xf numFmtId="0" fontId="0" fillId="35" borderId="11" xfId="0" applyFill="1" applyBorder="1"/>
    <xf numFmtId="0" fontId="0" fillId="35" borderId="12" xfId="0" applyFill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6" fillId="35" borderId="13" xfId="0" applyFont="1" applyFill="1" applyBorder="1"/>
    <xf numFmtId="0" fontId="0" fillId="35" borderId="14" xfId="0" applyFill="1" applyBorder="1"/>
    <xf numFmtId="0" fontId="0" fillId="35" borderId="15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0" xfId="0" applyFill="1" applyBorder="1"/>
    <xf numFmtId="0" fontId="0" fillId="0" borderId="1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7" xfId="0" applyFill="1" applyBorder="1"/>
    <xf numFmtId="0" fontId="16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6" fillId="36" borderId="21" xfId="0" applyFont="1" applyFill="1" applyBorder="1" applyAlignment="1">
      <alignment horizontal="center"/>
    </xf>
    <xf numFmtId="0" fontId="0" fillId="0" borderId="18" xfId="0" applyFill="1" applyBorder="1"/>
    <xf numFmtId="0" fontId="0" fillId="0" borderId="19" xfId="0" applyFill="1" applyBorder="1"/>
    <xf numFmtId="0" fontId="0" fillId="0" borderId="20" xfId="0" applyFill="1" applyBorder="1"/>
    <xf numFmtId="0" fontId="0" fillId="0" borderId="0" xfId="0" applyAlignment="1">
      <alignment horizontal="center"/>
    </xf>
    <xf numFmtId="0" fontId="0" fillId="0" borderId="22" xfId="0" applyBorder="1"/>
    <xf numFmtId="0" fontId="0" fillId="0" borderId="23" xfId="0" applyBorder="1"/>
    <xf numFmtId="0" fontId="18" fillId="34" borderId="16" xfId="42" applyFill="1" applyBorder="1"/>
    <xf numFmtId="0" fontId="18" fillId="34" borderId="18" xfId="42" applyFill="1" applyBorder="1"/>
    <xf numFmtId="0" fontId="21" fillId="0" borderId="24" xfId="0" applyFont="1" applyBorder="1"/>
    <xf numFmtId="0" fontId="21" fillId="0" borderId="25" xfId="0" applyFont="1" applyBorder="1"/>
    <xf numFmtId="0" fontId="0" fillId="0" borderId="26" xfId="0" applyBorder="1"/>
    <xf numFmtId="16" fontId="0" fillId="0" borderId="27" xfId="0" applyNumberFormat="1" applyBorder="1"/>
    <xf numFmtId="3" fontId="16" fillId="0" borderId="0" xfId="0" applyNumberFormat="1" applyFont="1"/>
    <xf numFmtId="164" fontId="16" fillId="0" borderId="0" xfId="0" applyNumberFormat="1" applyFont="1"/>
    <xf numFmtId="0" fontId="20" fillId="34" borderId="21" xfId="42" applyFont="1" applyFill="1" applyBorder="1"/>
    <xf numFmtId="0" fontId="18" fillId="34" borderId="21" xfId="42" applyFill="1" applyBorder="1"/>
    <xf numFmtId="3" fontId="0" fillId="0" borderId="21" xfId="0" applyNumberFormat="1" applyBorder="1"/>
    <xf numFmtId="9" fontId="0" fillId="0" borderId="0" xfId="45" applyFont="1"/>
    <xf numFmtId="3" fontId="0" fillId="37" borderId="0" xfId="0" applyNumberFormat="1" applyFill="1"/>
    <xf numFmtId="9" fontId="0" fillId="37" borderId="0" xfId="45" applyFont="1" applyFill="1"/>
    <xf numFmtId="0" fontId="22" fillId="0" borderId="0" xfId="0" applyFont="1"/>
    <xf numFmtId="3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3" fontId="0" fillId="0" borderId="21" xfId="0" applyNumberFormat="1" applyFill="1" applyBorder="1"/>
    <xf numFmtId="3" fontId="16" fillId="0" borderId="21" xfId="0" applyNumberFormat="1" applyFont="1" applyFill="1" applyBorder="1"/>
    <xf numFmtId="0" fontId="0" fillId="34" borderId="21" xfId="0" applyFill="1" applyBorder="1"/>
    <xf numFmtId="0" fontId="23" fillId="38" borderId="21" xfId="0" applyFont="1" applyFill="1" applyBorder="1" applyAlignment="1">
      <alignment horizontal="center" vertical="center"/>
    </xf>
    <xf numFmtId="10" fontId="16" fillId="33" borderId="21" xfId="0" applyNumberFormat="1" applyFont="1" applyFill="1" applyBorder="1" applyAlignment="1">
      <alignment horizontal="center" wrapText="1"/>
    </xf>
    <xf numFmtId="0" fontId="24" fillId="38" borderId="21" xfId="0" applyFont="1" applyFill="1" applyBorder="1" applyAlignment="1">
      <alignment horizontal="center" vertical="center"/>
    </xf>
    <xf numFmtId="14" fontId="0" fillId="33" borderId="21" xfId="0" applyNumberFormat="1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26" fillId="38" borderId="21" xfId="0" applyFont="1" applyFill="1" applyBorder="1" applyAlignment="1">
      <alignment horizontal="center" vertical="center"/>
    </xf>
    <xf numFmtId="0" fontId="16" fillId="33" borderId="21" xfId="0" applyNumberFormat="1" applyFont="1" applyFill="1" applyBorder="1" applyAlignment="1">
      <alignment horizontal="center" wrapText="1"/>
    </xf>
    <xf numFmtId="3" fontId="25" fillId="0" borderId="21" xfId="0" applyNumberFormat="1" applyFont="1" applyBorder="1" applyAlignment="1">
      <alignment horizontal="center" vertical="center"/>
    </xf>
    <xf numFmtId="0" fontId="16" fillId="34" borderId="21" xfId="0" applyFont="1" applyFill="1" applyBorder="1"/>
    <xf numFmtId="0" fontId="22" fillId="0" borderId="21" xfId="0" applyFont="1" applyBorder="1"/>
    <xf numFmtId="0" fontId="16" fillId="35" borderId="10" xfId="0" applyFont="1" applyFill="1" applyBorder="1" applyAlignment="1">
      <alignment horizontal="left" vertical="top" wrapText="1"/>
    </xf>
    <xf numFmtId="0" fontId="16" fillId="35" borderId="11" xfId="0" applyFont="1" applyFill="1" applyBorder="1" applyAlignment="1">
      <alignment horizontal="left" vertical="top" wrapText="1"/>
    </xf>
    <xf numFmtId="0" fontId="16" fillId="35" borderId="12" xfId="0" applyFont="1" applyFill="1" applyBorder="1" applyAlignment="1">
      <alignment horizontal="left" vertical="top" wrapText="1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0" fillId="0" borderId="13" xfId="0" applyFill="1" applyBorder="1" applyAlignment="1">
      <alignment horizontal="left" vertical="top" wrapText="1"/>
    </xf>
    <xf numFmtId="0" fontId="0" fillId="0" borderId="14" xfId="0" applyFill="1" applyBorder="1" applyAlignment="1">
      <alignment horizontal="left" vertical="top" wrapText="1"/>
    </xf>
    <xf numFmtId="0" fontId="0" fillId="0" borderId="15" xfId="0" applyFill="1" applyBorder="1" applyAlignment="1">
      <alignment horizontal="left" vertical="top" wrapText="1"/>
    </xf>
    <xf numFmtId="0" fontId="0" fillId="0" borderId="16" xfId="0" applyFill="1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0" borderId="17" xfId="0" applyFill="1" applyBorder="1" applyAlignment="1">
      <alignment horizontal="left" vertical="top" wrapText="1"/>
    </xf>
    <xf numFmtId="0" fontId="0" fillId="0" borderId="18" xfId="0" applyFill="1" applyBorder="1" applyAlignment="1">
      <alignment horizontal="left" vertical="top" wrapText="1"/>
    </xf>
    <xf numFmtId="0" fontId="0" fillId="0" borderId="19" xfId="0" applyFill="1" applyBorder="1" applyAlignment="1">
      <alignment horizontal="left" vertical="top" wrapText="1"/>
    </xf>
    <xf numFmtId="0" fontId="0" fillId="0" borderId="20" xfId="0" applyFill="1" applyBorder="1" applyAlignment="1">
      <alignment horizontal="left" vertical="top" wrapText="1"/>
    </xf>
    <xf numFmtId="0" fontId="0" fillId="36" borderId="10" xfId="0" applyFill="1" applyBorder="1" applyAlignment="1">
      <alignment horizontal="left"/>
    </xf>
    <xf numFmtId="0" fontId="0" fillId="36" borderId="11" xfId="0" applyFill="1" applyBorder="1" applyAlignment="1">
      <alignment horizontal="left"/>
    </xf>
    <xf numFmtId="0" fontId="0" fillId="36" borderId="12" xfId="0" applyFill="1" applyBorder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" xfId="45" builtinId="5"/>
    <cellStyle name="Percent 2" xfId="44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</xdr:colOff>
      <xdr:row>9</xdr:row>
      <xdr:rowOff>125730</xdr:rowOff>
    </xdr:from>
    <xdr:to>
      <xdr:col>4</xdr:col>
      <xdr:colOff>350520</xdr:colOff>
      <xdr:row>14</xdr:row>
      <xdr:rowOff>160020</xdr:rowOff>
    </xdr:to>
    <xdr:sp macro="[0]!ImportNetStatsData" textlink="">
      <xdr:nvSpPr>
        <xdr:cNvPr id="3" name="Rounded Rectangle 2"/>
        <xdr:cNvSpPr/>
      </xdr:nvSpPr>
      <xdr:spPr>
        <a:xfrm>
          <a:off x="434340" y="1771650"/>
          <a:ext cx="1661160" cy="948690"/>
        </a:xfrm>
        <a:prstGeom prst="roundRect">
          <a:avLst/>
        </a:prstGeom>
        <a:solidFill>
          <a:schemeClr val="accent3"/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Click here to</a:t>
          </a:r>
          <a:r>
            <a:rPr lang="en-US" sz="1400" b="1" baseline="0">
              <a:solidFill>
                <a:schemeClr val="bg1"/>
              </a:solidFill>
            </a:rPr>
            <a:t> import network summary stats!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alidation/Transit_Summa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-ME"/>
      <sheetName val="AM_BoardingByRoute"/>
      <sheetName val="MD_BoardingByRoute"/>
      <sheetName val="SoundCast_Data"/>
      <sheetName val="RouteID_Conversion"/>
    </sheetNames>
    <sheetDataSet>
      <sheetData sheetId="0"/>
      <sheetData sheetId="1"/>
      <sheetData sheetId="2"/>
      <sheetData sheetId="3">
        <row r="1004">
          <cell r="B1004" t="str">
            <v>No Error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6"/>
  <sheetViews>
    <sheetView topLeftCell="A4" workbookViewId="0">
      <selection activeCell="D17" sqref="D17:I17"/>
    </sheetView>
  </sheetViews>
  <sheetFormatPr defaultColWidth="8.85546875" defaultRowHeight="15" x14ac:dyDescent="0.25"/>
  <cols>
    <col min="1" max="1" width="3.28515625" style="7" customWidth="1"/>
    <col min="2" max="2" width="3.7109375" style="7" customWidth="1"/>
    <col min="3" max="3" width="9.7109375" style="7" customWidth="1"/>
    <col min="4" max="8" width="8.85546875" style="7"/>
    <col min="9" max="9" width="11.7109375" style="7" customWidth="1"/>
    <col min="10" max="10" width="7.28515625" style="7" customWidth="1"/>
    <col min="11" max="11" width="6" style="7" customWidth="1"/>
    <col min="12" max="12" width="11.28515625" style="7" customWidth="1"/>
    <col min="13" max="16384" width="8.85546875" style="7"/>
  </cols>
  <sheetData>
    <row r="1" spans="1:15" ht="14.45" x14ac:dyDescent="0.3">
      <c r="A1" s="9"/>
      <c r="B1" s="9"/>
      <c r="C1" s="9"/>
      <c r="D1" s="9"/>
      <c r="E1" s="9"/>
      <c r="F1" s="9"/>
      <c r="G1" s="9"/>
      <c r="H1" s="9"/>
      <c r="I1" s="9"/>
      <c r="J1" s="9"/>
    </row>
    <row r="2" spans="1:15" ht="14.45" x14ac:dyDescent="0.3">
      <c r="A2" s="9"/>
      <c r="B2" s="10" t="s">
        <v>50</v>
      </c>
      <c r="C2" s="11"/>
      <c r="D2" s="11">
        <v>53</v>
      </c>
      <c r="E2" s="11"/>
      <c r="F2" s="11"/>
      <c r="G2" s="11"/>
      <c r="H2" s="11"/>
      <c r="I2" s="11"/>
      <c r="J2" s="12"/>
      <c r="L2" s="71" t="s">
        <v>51</v>
      </c>
      <c r="M2" s="72"/>
      <c r="N2" s="72"/>
      <c r="O2" s="73"/>
    </row>
    <row r="3" spans="1:15" ht="14.45" x14ac:dyDescent="0.3">
      <c r="A3" s="9"/>
      <c r="B3" s="74" t="s">
        <v>61</v>
      </c>
      <c r="C3" s="75"/>
      <c r="D3" s="75"/>
      <c r="E3" s="75"/>
      <c r="F3" s="75"/>
      <c r="G3" s="75"/>
      <c r="H3" s="75"/>
      <c r="I3" s="75"/>
      <c r="J3" s="76"/>
      <c r="L3" s="13" t="str">
        <f>import_error</f>
        <v>No Error</v>
      </c>
      <c r="M3" s="14"/>
      <c r="N3" s="14"/>
      <c r="O3" s="15"/>
    </row>
    <row r="4" spans="1:15" ht="14.45" x14ac:dyDescent="0.3">
      <c r="A4" s="9"/>
      <c r="B4" s="9"/>
      <c r="C4" s="9"/>
      <c r="D4" s="9"/>
      <c r="E4" s="9"/>
      <c r="F4" s="9"/>
      <c r="G4" s="9"/>
      <c r="H4" s="9"/>
      <c r="I4" s="9"/>
      <c r="J4" s="9"/>
      <c r="L4" s="16"/>
      <c r="M4" s="9"/>
      <c r="N4" s="9"/>
      <c r="O4" s="17"/>
    </row>
    <row r="5" spans="1:15" ht="14.45" x14ac:dyDescent="0.3">
      <c r="A5" s="9"/>
      <c r="B5" s="10" t="s">
        <v>52</v>
      </c>
      <c r="C5" s="11"/>
      <c r="D5" s="11"/>
      <c r="E5" s="11"/>
      <c r="F5" s="11"/>
      <c r="G5" s="11"/>
      <c r="H5" s="11"/>
      <c r="I5" s="11"/>
      <c r="J5" s="12"/>
      <c r="L5" s="16"/>
      <c r="M5" s="9"/>
      <c r="N5" s="9"/>
      <c r="O5" s="17"/>
    </row>
    <row r="6" spans="1:15" x14ac:dyDescent="0.25">
      <c r="A6" s="9"/>
      <c r="B6" s="77" t="s">
        <v>62</v>
      </c>
      <c r="C6" s="78"/>
      <c r="D6" s="78"/>
      <c r="E6" s="78"/>
      <c r="F6" s="78"/>
      <c r="G6" s="78"/>
      <c r="H6" s="78"/>
      <c r="I6" s="78"/>
      <c r="J6" s="79"/>
      <c r="L6" s="16"/>
      <c r="M6" s="9"/>
      <c r="N6" s="9"/>
      <c r="O6" s="17"/>
    </row>
    <row r="7" spans="1:15" x14ac:dyDescent="0.25">
      <c r="A7" s="9"/>
      <c r="B7" s="80"/>
      <c r="C7" s="81"/>
      <c r="D7" s="81"/>
      <c r="E7" s="81"/>
      <c r="F7" s="81"/>
      <c r="G7" s="81"/>
      <c r="H7" s="81"/>
      <c r="I7" s="81"/>
      <c r="J7" s="82"/>
      <c r="L7" s="18"/>
      <c r="M7" s="19"/>
      <c r="N7" s="19"/>
      <c r="O7" s="20"/>
    </row>
    <row r="8" spans="1:15" ht="14.45" x14ac:dyDescent="0.3">
      <c r="A8" s="9"/>
      <c r="B8" s="9"/>
      <c r="C8" s="9"/>
      <c r="D8" s="9"/>
      <c r="E8" s="9"/>
      <c r="F8" s="9"/>
      <c r="G8" s="9"/>
      <c r="H8" s="9"/>
      <c r="I8" s="9"/>
      <c r="J8" s="9"/>
    </row>
    <row r="9" spans="1:15" ht="14.45" x14ac:dyDescent="0.3">
      <c r="A9" s="9"/>
      <c r="B9" s="21" t="s">
        <v>53</v>
      </c>
      <c r="C9" s="22"/>
      <c r="D9" s="22"/>
      <c r="E9" s="22"/>
      <c r="F9" s="22"/>
      <c r="G9" s="22"/>
      <c r="H9" s="22"/>
      <c r="I9" s="22"/>
      <c r="J9" s="23"/>
      <c r="N9" s="9"/>
      <c r="O9" s="9"/>
    </row>
    <row r="10" spans="1:15" ht="14.45" x14ac:dyDescent="0.3">
      <c r="A10" s="9"/>
      <c r="B10" s="24"/>
      <c r="C10" s="25"/>
      <c r="D10" s="25"/>
      <c r="E10" s="25"/>
      <c r="F10" s="25"/>
      <c r="G10" s="25"/>
      <c r="H10" s="25"/>
      <c r="I10" s="25"/>
      <c r="J10" s="26"/>
      <c r="N10" s="9"/>
      <c r="O10" s="9"/>
    </row>
    <row r="11" spans="1:15" ht="14.45" customHeight="1" x14ac:dyDescent="0.25">
      <c r="A11" s="9"/>
      <c r="B11" s="27"/>
      <c r="C11" s="28"/>
      <c r="D11" s="28"/>
      <c r="E11" s="28"/>
      <c r="F11" s="83" t="s">
        <v>54</v>
      </c>
      <c r="G11" s="84"/>
      <c r="H11" s="84"/>
      <c r="I11" s="85"/>
      <c r="J11" s="29"/>
      <c r="K11" s="30"/>
      <c r="L11" s="30"/>
      <c r="M11" s="30"/>
      <c r="N11" s="30"/>
      <c r="O11" s="9"/>
    </row>
    <row r="12" spans="1:15" x14ac:dyDescent="0.25">
      <c r="B12" s="27"/>
      <c r="C12" s="28"/>
      <c r="D12" s="28"/>
      <c r="E12" s="28"/>
      <c r="F12" s="86"/>
      <c r="G12" s="87"/>
      <c r="H12" s="87"/>
      <c r="I12" s="88"/>
      <c r="J12" s="29"/>
      <c r="K12" s="30"/>
      <c r="L12" s="30"/>
      <c r="M12" s="30"/>
      <c r="N12" s="30"/>
      <c r="O12" s="9"/>
    </row>
    <row r="13" spans="1:15" x14ac:dyDescent="0.25">
      <c r="B13" s="27"/>
      <c r="C13" s="28"/>
      <c r="D13" s="28"/>
      <c r="E13" s="28"/>
      <c r="F13" s="86"/>
      <c r="G13" s="87"/>
      <c r="H13" s="87"/>
      <c r="I13" s="88"/>
      <c r="J13" s="31"/>
      <c r="N13" s="9"/>
      <c r="O13" s="9"/>
    </row>
    <row r="14" spans="1:15" x14ac:dyDescent="0.25">
      <c r="B14" s="27"/>
      <c r="C14" s="28"/>
      <c r="D14" s="28"/>
      <c r="E14" s="28"/>
      <c r="F14" s="86"/>
      <c r="G14" s="87"/>
      <c r="H14" s="87"/>
      <c r="I14" s="88"/>
      <c r="J14" s="31"/>
      <c r="N14" s="9"/>
      <c r="O14" s="9"/>
    </row>
    <row r="15" spans="1:15" x14ac:dyDescent="0.25">
      <c r="B15" s="27"/>
      <c r="C15" s="28"/>
      <c r="D15" s="28"/>
      <c r="E15" s="28"/>
      <c r="F15" s="89"/>
      <c r="G15" s="90"/>
      <c r="H15" s="90"/>
      <c r="I15" s="91"/>
      <c r="J15" s="31"/>
      <c r="N15" s="9"/>
      <c r="O15" s="9"/>
    </row>
    <row r="16" spans="1:15" ht="14.45" x14ac:dyDescent="0.3">
      <c r="B16" s="16"/>
      <c r="C16" s="28"/>
      <c r="D16" s="28"/>
      <c r="E16" s="28"/>
      <c r="F16" s="28"/>
      <c r="G16" s="28"/>
      <c r="H16" s="28"/>
      <c r="I16" s="28"/>
      <c r="J16" s="31"/>
    </row>
    <row r="17" spans="2:10" x14ac:dyDescent="0.25">
      <c r="B17" s="16"/>
      <c r="C17" s="32" t="s">
        <v>55</v>
      </c>
      <c r="D17" s="92" t="s">
        <v>65</v>
      </c>
      <c r="E17" s="93"/>
      <c r="F17" s="93"/>
      <c r="G17" s="93"/>
      <c r="H17" s="93"/>
      <c r="I17" s="94"/>
      <c r="J17" s="31"/>
    </row>
    <row r="18" spans="2:10" x14ac:dyDescent="0.25">
      <c r="B18" s="16"/>
      <c r="C18" s="33"/>
      <c r="D18" s="28"/>
      <c r="E18" s="28"/>
      <c r="F18" s="28"/>
      <c r="G18" s="28"/>
      <c r="H18" s="28"/>
      <c r="I18" s="28"/>
      <c r="J18" s="31"/>
    </row>
    <row r="19" spans="2:10" x14ac:dyDescent="0.25">
      <c r="B19" s="16"/>
      <c r="C19" s="34" t="s">
        <v>71</v>
      </c>
      <c r="D19" s="24" t="s">
        <v>57</v>
      </c>
      <c r="E19" s="25"/>
      <c r="F19" s="25"/>
      <c r="G19" s="25"/>
      <c r="H19" s="25"/>
      <c r="I19" s="26"/>
      <c r="J19" s="31"/>
    </row>
    <row r="20" spans="2:10" x14ac:dyDescent="0.25">
      <c r="B20" s="16"/>
      <c r="C20" s="34">
        <v>52</v>
      </c>
      <c r="D20" s="27" t="s">
        <v>58</v>
      </c>
      <c r="E20" s="28"/>
      <c r="F20" s="28"/>
      <c r="G20" s="28"/>
      <c r="H20" s="28"/>
      <c r="I20" s="31"/>
      <c r="J20" s="31"/>
    </row>
    <row r="21" spans="2:10" x14ac:dyDescent="0.25">
      <c r="B21" s="16"/>
      <c r="C21" s="34">
        <v>53</v>
      </c>
      <c r="D21" s="27" t="s">
        <v>59</v>
      </c>
      <c r="E21" s="28"/>
      <c r="F21" s="28"/>
      <c r="G21" s="28"/>
      <c r="H21" s="28"/>
      <c r="I21" s="31"/>
      <c r="J21" s="31"/>
    </row>
    <row r="22" spans="2:10" x14ac:dyDescent="0.25">
      <c r="B22" s="16"/>
      <c r="C22" s="34" t="s">
        <v>56</v>
      </c>
      <c r="D22" s="35" t="s">
        <v>60</v>
      </c>
      <c r="E22" s="36"/>
      <c r="F22" s="36"/>
      <c r="G22" s="36"/>
      <c r="H22" s="36"/>
      <c r="I22" s="37"/>
      <c r="J22" s="31"/>
    </row>
    <row r="23" spans="2:10" x14ac:dyDescent="0.25">
      <c r="B23" s="35"/>
      <c r="C23" s="36"/>
      <c r="D23" s="36"/>
      <c r="E23" s="36"/>
      <c r="F23" s="36"/>
      <c r="G23" s="36"/>
      <c r="H23" s="36"/>
      <c r="I23" s="36"/>
      <c r="J23" s="37"/>
    </row>
    <row r="26" spans="2:10" x14ac:dyDescent="0.25">
      <c r="F26" s="38"/>
    </row>
  </sheetData>
  <mergeCells count="5">
    <mergeCell ref="L2:O2"/>
    <mergeCell ref="B3:J3"/>
    <mergeCell ref="B6:J7"/>
    <mergeCell ref="F11:I15"/>
    <mergeCell ref="D17:I17"/>
  </mergeCells>
  <dataValidations count="1">
    <dataValidation type="list" allowBlank="1" showInputMessage="1" showErrorMessage="1" sqref="C19 C22">
      <formula1>"Yes,No"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1"/>
  <sheetViews>
    <sheetView tabSelected="1" topLeftCell="A31" workbookViewId="0">
      <selection activeCell="G24" sqref="G24"/>
    </sheetView>
  </sheetViews>
  <sheetFormatPr defaultRowHeight="15" x14ac:dyDescent="0.25"/>
  <cols>
    <col min="1" max="1" width="16.42578125" customWidth="1"/>
    <col min="2" max="2" width="24.7109375" customWidth="1"/>
    <col min="3" max="3" width="24" style="7" customWidth="1"/>
    <col min="4" max="4" width="23.7109375" customWidth="1"/>
    <col min="7" max="7" width="14.5703125" customWidth="1"/>
    <col min="8" max="8" width="10.140625" bestFit="1" customWidth="1"/>
  </cols>
  <sheetData>
    <row r="1" spans="1:8" x14ac:dyDescent="0.25">
      <c r="A1" s="60"/>
      <c r="B1" s="60"/>
      <c r="C1" s="61">
        <v>2010</v>
      </c>
      <c r="D1" s="62" t="s">
        <v>64</v>
      </c>
    </row>
    <row r="2" spans="1:8" x14ac:dyDescent="0.25">
      <c r="A2" s="60"/>
      <c r="B2" s="60"/>
      <c r="C2" s="63" t="s">
        <v>66</v>
      </c>
      <c r="D2" s="64">
        <v>41761</v>
      </c>
      <c r="E2">
        <v>52</v>
      </c>
      <c r="F2">
        <v>53</v>
      </c>
    </row>
    <row r="3" spans="1:8" x14ac:dyDescent="0.25">
      <c r="A3" s="60"/>
      <c r="B3" s="60"/>
      <c r="C3" s="63" t="s">
        <v>67</v>
      </c>
      <c r="D3" s="65">
        <v>2010</v>
      </c>
    </row>
    <row r="4" spans="1:8" s="39" customFormat="1" ht="15.75" thickBot="1" x14ac:dyDescent="0.3">
      <c r="A4" s="50"/>
      <c r="B4" s="50"/>
      <c r="C4" s="66" t="s">
        <v>68</v>
      </c>
      <c r="D4" s="67" t="s">
        <v>63</v>
      </c>
      <c r="F4" s="40"/>
      <c r="G4" s="44" t="s">
        <v>42</v>
      </c>
      <c r="H4" s="43" t="s">
        <v>45</v>
      </c>
    </row>
    <row r="5" spans="1:8" ht="15.75" thickTop="1" x14ac:dyDescent="0.25">
      <c r="A5" s="49" t="s">
        <v>28</v>
      </c>
      <c r="B5" s="50" t="s">
        <v>29</v>
      </c>
      <c r="C5" s="68">
        <v>13056796</v>
      </c>
      <c r="D5" s="51">
        <f>SUM(DataImport!C2:E4)</f>
        <v>12299947.71875</v>
      </c>
      <c r="E5" t="s">
        <v>29</v>
      </c>
      <c r="F5" s="41" t="s">
        <v>29</v>
      </c>
      <c r="G5" s="45" t="s">
        <v>43</v>
      </c>
      <c r="H5" s="17" t="s">
        <v>44</v>
      </c>
    </row>
    <row r="6" spans="1:8" x14ac:dyDescent="0.25">
      <c r="A6" s="49"/>
      <c r="B6" s="50" t="s">
        <v>30</v>
      </c>
      <c r="C6" s="68">
        <v>27822904</v>
      </c>
      <c r="D6" s="58">
        <f>SUM(DataImport!C6:E8)</f>
        <v>27309856.046875</v>
      </c>
      <c r="E6" t="s">
        <v>30</v>
      </c>
      <c r="F6" s="41" t="s">
        <v>30</v>
      </c>
      <c r="G6" s="45" t="s">
        <v>46</v>
      </c>
      <c r="H6" s="17" t="s">
        <v>46</v>
      </c>
    </row>
    <row r="7" spans="1:8" x14ac:dyDescent="0.25">
      <c r="A7" s="49"/>
      <c r="B7" s="50" t="s">
        <v>31</v>
      </c>
      <c r="C7" s="68">
        <v>17604296</v>
      </c>
      <c r="D7" s="58">
        <f>SUM(DataImport!C11:E13)</f>
        <v>17059606.15625</v>
      </c>
      <c r="E7" t="s">
        <v>31</v>
      </c>
      <c r="F7" s="41" t="s">
        <v>31</v>
      </c>
      <c r="G7" s="45" t="s">
        <v>47</v>
      </c>
      <c r="H7" s="17" t="s">
        <v>47</v>
      </c>
    </row>
    <row r="8" spans="1:8" x14ac:dyDescent="0.25">
      <c r="A8" s="49"/>
      <c r="B8" s="50" t="s">
        <v>32</v>
      </c>
      <c r="C8" s="68">
        <v>14724769</v>
      </c>
      <c r="D8" s="58">
        <f>SUM(DataImport!C5:E5)</f>
        <v>9064158.4375</v>
      </c>
      <c r="E8" t="s">
        <v>32</v>
      </c>
      <c r="F8" s="41" t="s">
        <v>32</v>
      </c>
      <c r="G8" s="45" t="s">
        <v>48</v>
      </c>
      <c r="H8" s="17" t="s">
        <v>49</v>
      </c>
    </row>
    <row r="9" spans="1:8" x14ac:dyDescent="0.25">
      <c r="A9" s="49"/>
      <c r="B9" s="50" t="s">
        <v>33</v>
      </c>
      <c r="C9" s="68">
        <v>7152245</v>
      </c>
      <c r="D9" s="58">
        <f>SUM(DataImport!C9:E10)</f>
        <v>11538393.382812001</v>
      </c>
      <c r="E9" t="s">
        <v>33</v>
      </c>
      <c r="F9" s="42" t="s">
        <v>33</v>
      </c>
      <c r="G9" s="46" t="s">
        <v>69</v>
      </c>
      <c r="H9" s="20" t="s">
        <v>70</v>
      </c>
    </row>
    <row r="10" spans="1:8" x14ac:dyDescent="0.25">
      <c r="A10" s="49"/>
      <c r="B10" s="49" t="s">
        <v>34</v>
      </c>
      <c r="C10" s="68">
        <v>80361010</v>
      </c>
      <c r="D10" s="59">
        <f>SUM(D5:D9)</f>
        <v>77271961.742186993</v>
      </c>
    </row>
    <row r="11" spans="1:8" x14ac:dyDescent="0.25">
      <c r="A11" s="69"/>
      <c r="B11" s="60"/>
      <c r="C11" s="70"/>
      <c r="D11" s="58"/>
    </row>
    <row r="12" spans="1:8" x14ac:dyDescent="0.25">
      <c r="A12" s="49" t="s">
        <v>28</v>
      </c>
      <c r="B12" s="50" t="s">
        <v>35</v>
      </c>
      <c r="C12" s="68">
        <v>40348317</v>
      </c>
      <c r="D12" s="58">
        <f>SUM(DataImport!E2:E13)</f>
        <v>39930807</v>
      </c>
      <c r="E12" s="5"/>
      <c r="F12" s="52"/>
    </row>
    <row r="13" spans="1:8" x14ac:dyDescent="0.25">
      <c r="A13" s="49"/>
      <c r="B13" s="50" t="s">
        <v>36</v>
      </c>
      <c r="C13" s="68">
        <v>34560728</v>
      </c>
      <c r="D13" s="58">
        <f>SUM(DataImport!C2:C13)</f>
        <v>32259285</v>
      </c>
      <c r="E13" s="53"/>
      <c r="F13" s="54"/>
    </row>
    <row r="14" spans="1:8" x14ac:dyDescent="0.25">
      <c r="A14" s="49"/>
      <c r="B14" s="50" t="s">
        <v>37</v>
      </c>
      <c r="C14" s="68">
        <v>5452110</v>
      </c>
      <c r="D14" s="58">
        <f>SUM(DataImport!D2:D13)</f>
        <v>5081869.7421869999</v>
      </c>
      <c r="E14" s="53"/>
      <c r="F14" s="54"/>
    </row>
    <row r="15" spans="1:8" x14ac:dyDescent="0.25">
      <c r="A15" s="49"/>
      <c r="B15" s="49" t="s">
        <v>34</v>
      </c>
      <c r="C15" s="68">
        <v>80361155</v>
      </c>
      <c r="D15" s="59">
        <f>SUM(D12:D14)</f>
        <v>77271961.742186993</v>
      </c>
    </row>
    <row r="16" spans="1:8" x14ac:dyDescent="0.25">
      <c r="A16" s="4"/>
      <c r="B16" s="1"/>
      <c r="C16" s="55"/>
      <c r="D16" s="5"/>
    </row>
    <row r="17" spans="1:4" x14ac:dyDescent="0.25">
      <c r="A17" s="3" t="s">
        <v>38</v>
      </c>
      <c r="B17" s="2" t="s">
        <v>29</v>
      </c>
      <c r="C17" s="56">
        <v>453214</v>
      </c>
      <c r="D17" s="5">
        <f>SUM(DataImport!F2:H4)</f>
        <v>424247.58398300002</v>
      </c>
    </row>
    <row r="18" spans="1:4" x14ac:dyDescent="0.25">
      <c r="A18" s="3"/>
      <c r="B18" s="2" t="s">
        <v>30</v>
      </c>
      <c r="C18" s="56">
        <v>1000042</v>
      </c>
      <c r="D18" s="5">
        <f>SUM(DataImport!F7:H9)</f>
        <v>1107909.5664050002</v>
      </c>
    </row>
    <row r="19" spans="1:4" x14ac:dyDescent="0.25">
      <c r="A19" s="3"/>
      <c r="B19" s="2" t="s">
        <v>31</v>
      </c>
      <c r="C19" s="56">
        <v>714001</v>
      </c>
      <c r="D19" s="5">
        <f>SUM(DataImport!F11:H13)</f>
        <v>688719.757813</v>
      </c>
    </row>
    <row r="20" spans="1:4" x14ac:dyDescent="0.25">
      <c r="A20" s="3"/>
      <c r="B20" s="2" t="s">
        <v>32</v>
      </c>
      <c r="C20" s="56">
        <v>529550</v>
      </c>
      <c r="D20" s="5">
        <f>SUM(DataImport!F6:H6)</f>
        <v>151854.95312600001</v>
      </c>
    </row>
    <row r="21" spans="1:4" x14ac:dyDescent="0.25">
      <c r="A21" s="3"/>
      <c r="B21" s="2" t="s">
        <v>33</v>
      </c>
      <c r="C21" s="56">
        <v>189983</v>
      </c>
      <c r="D21" s="5">
        <f>SUM(DataImport!F10:H10)</f>
        <v>54549.880371000007</v>
      </c>
    </row>
    <row r="22" spans="1:4" x14ac:dyDescent="0.25">
      <c r="A22" s="3"/>
      <c r="B22" s="3" t="s">
        <v>34</v>
      </c>
      <c r="C22" s="56">
        <v>2886791</v>
      </c>
      <c r="D22" s="47">
        <f>SUM(D17:D21)</f>
        <v>2427281.7416980001</v>
      </c>
    </row>
    <row r="23" spans="1:4" x14ac:dyDescent="0.25">
      <c r="A23" s="4"/>
      <c r="B23" s="1"/>
      <c r="C23" s="55"/>
      <c r="D23" s="5"/>
    </row>
    <row r="24" spans="1:4" x14ac:dyDescent="0.25">
      <c r="A24" s="3" t="s">
        <v>38</v>
      </c>
      <c r="B24" s="2" t="s">
        <v>35</v>
      </c>
      <c r="C24" s="56">
        <v>987858</v>
      </c>
      <c r="D24" s="5">
        <f>SUM(DataImport!H2:H13)</f>
        <v>999599.52734199993</v>
      </c>
    </row>
    <row r="25" spans="1:4" x14ac:dyDescent="0.25">
      <c r="A25" s="3"/>
      <c r="B25" s="2" t="s">
        <v>36</v>
      </c>
      <c r="C25" s="56">
        <v>1549082</v>
      </c>
      <c r="D25" s="5">
        <f>SUM(DataImport!F2:F13)</f>
        <v>1429682.8632809999</v>
      </c>
    </row>
    <row r="26" spans="1:4" x14ac:dyDescent="0.25">
      <c r="A26" s="3"/>
      <c r="B26" s="2" t="s">
        <v>37</v>
      </c>
      <c r="C26" s="56">
        <v>349867</v>
      </c>
      <c r="D26" s="5">
        <f>SUM(DataImport!G2:G13)</f>
        <v>337735.26513700001</v>
      </c>
    </row>
    <row r="27" spans="1:4" x14ac:dyDescent="0.25">
      <c r="A27" s="3"/>
      <c r="B27" s="3" t="s">
        <v>34</v>
      </c>
      <c r="C27" s="56">
        <v>2886807</v>
      </c>
      <c r="D27" s="47">
        <f>SUM(D24:D26)</f>
        <v>2767017.65576</v>
      </c>
    </row>
    <row r="28" spans="1:4" x14ac:dyDescent="0.25">
      <c r="A28" s="4"/>
      <c r="B28" s="1"/>
      <c r="C28" s="55"/>
      <c r="D28" s="5"/>
    </row>
    <row r="29" spans="1:4" x14ac:dyDescent="0.25">
      <c r="A29" s="3" t="s">
        <v>39</v>
      </c>
      <c r="B29" s="2" t="s">
        <v>29</v>
      </c>
      <c r="C29" s="56">
        <v>133918</v>
      </c>
      <c r="D29" s="5">
        <f>SUM(DataImport!I2:I4,DataImport!K2:K4)</f>
        <v>125141.13476700001</v>
      </c>
    </row>
    <row r="30" spans="1:4" x14ac:dyDescent="0.25">
      <c r="A30" s="3"/>
      <c r="B30" s="2" t="s">
        <v>30</v>
      </c>
      <c r="C30" s="56">
        <v>283154</v>
      </c>
      <c r="D30" s="5">
        <f>SUM(DataImport!I6:I8,DataImport!K6:K8)</f>
        <v>272761.32226499997</v>
      </c>
    </row>
    <row r="31" spans="1:4" x14ac:dyDescent="0.25">
      <c r="A31" s="3"/>
      <c r="B31" s="2" t="s">
        <v>31</v>
      </c>
      <c r="C31" s="56">
        <v>265400</v>
      </c>
      <c r="D31" s="5">
        <f>SUM(DataImport!I11:I13,DataImport!K11:K13)</f>
        <v>252560.95703200001</v>
      </c>
    </row>
    <row r="32" spans="1:4" x14ac:dyDescent="0.25">
      <c r="A32" s="3"/>
      <c r="B32" s="2" t="s">
        <v>32</v>
      </c>
      <c r="C32" s="56">
        <v>150279</v>
      </c>
      <c r="D32" s="5">
        <f>SUM(DataImport!I5,DataImport!K5)</f>
        <v>104406.984375</v>
      </c>
    </row>
    <row r="33" spans="1:4" x14ac:dyDescent="0.25">
      <c r="A33" s="3"/>
      <c r="B33" s="2" t="s">
        <v>33</v>
      </c>
      <c r="C33" s="56">
        <v>28741</v>
      </c>
      <c r="D33" s="5">
        <f>SUM(DataImport!I9:I10,DataImport!K9:K10)</f>
        <v>70095.207762999999</v>
      </c>
    </row>
    <row r="34" spans="1:4" x14ac:dyDescent="0.25">
      <c r="A34" s="3"/>
      <c r="B34" s="3" t="s">
        <v>34</v>
      </c>
      <c r="C34" s="56">
        <v>861491</v>
      </c>
      <c r="D34" s="47">
        <f>SUM(D29:D33)</f>
        <v>824965.60620199994</v>
      </c>
    </row>
    <row r="35" spans="1:4" x14ac:dyDescent="0.25">
      <c r="A35" s="4"/>
      <c r="B35" s="1"/>
      <c r="C35" s="55"/>
      <c r="D35" s="5"/>
    </row>
    <row r="36" spans="1:4" x14ac:dyDescent="0.25">
      <c r="A36" s="3" t="s">
        <v>39</v>
      </c>
      <c r="B36" s="2" t="s">
        <v>35</v>
      </c>
      <c r="C36" s="56">
        <v>266561</v>
      </c>
      <c r="D36" s="5">
        <f>SUM(DataImport!K2:K13)</f>
        <v>287092.56567500002</v>
      </c>
    </row>
    <row r="37" spans="1:4" x14ac:dyDescent="0.25">
      <c r="A37" s="3"/>
      <c r="B37" s="2" t="s">
        <v>36</v>
      </c>
      <c r="C37" s="56">
        <v>594936</v>
      </c>
      <c r="D37" s="5">
        <f>SUM(DataImport!I2:I13)</f>
        <v>537873.04052700009</v>
      </c>
    </row>
    <row r="38" spans="1:4" x14ac:dyDescent="0.25">
      <c r="A38" s="3"/>
      <c r="B38" s="2" t="s">
        <v>37</v>
      </c>
      <c r="C38" s="57">
        <v>0</v>
      </c>
      <c r="D38" s="5">
        <v>0</v>
      </c>
    </row>
    <row r="39" spans="1:4" x14ac:dyDescent="0.25">
      <c r="A39" s="3"/>
      <c r="B39" s="3" t="s">
        <v>34</v>
      </c>
      <c r="C39" s="56">
        <v>861497</v>
      </c>
      <c r="D39" s="47">
        <f>SUM(D36:D38)</f>
        <v>824965.60620200005</v>
      </c>
    </row>
    <row r="40" spans="1:4" x14ac:dyDescent="0.25">
      <c r="A40" s="4"/>
      <c r="B40" s="1"/>
      <c r="C40" s="55"/>
      <c r="D40" s="5"/>
    </row>
    <row r="41" spans="1:4" x14ac:dyDescent="0.25">
      <c r="A41" s="3" t="s">
        <v>40</v>
      </c>
      <c r="B41" s="2" t="s">
        <v>29</v>
      </c>
      <c r="C41" s="57">
        <v>28.8</v>
      </c>
      <c r="D41" s="6">
        <f>D5/D17</f>
        <v>28.992381296019047</v>
      </c>
    </row>
    <row r="42" spans="1:4" x14ac:dyDescent="0.25">
      <c r="A42" s="3"/>
      <c r="B42" s="2" t="s">
        <v>30</v>
      </c>
      <c r="C42" s="57">
        <v>27.8</v>
      </c>
      <c r="D42" s="6">
        <f t="shared" ref="D41:D46" si="0">D6/D18</f>
        <v>24.649896413018052</v>
      </c>
    </row>
    <row r="43" spans="1:4" x14ac:dyDescent="0.25">
      <c r="A43" s="3"/>
      <c r="B43" s="2" t="s">
        <v>31</v>
      </c>
      <c r="C43" s="57">
        <v>24.7</v>
      </c>
      <c r="D43" s="6">
        <f t="shared" si="0"/>
        <v>24.770025780038672</v>
      </c>
    </row>
    <row r="44" spans="1:4" x14ac:dyDescent="0.25">
      <c r="A44" s="3"/>
      <c r="B44" s="2" t="s">
        <v>32</v>
      </c>
      <c r="C44" s="57">
        <v>27.8</v>
      </c>
      <c r="D44" s="6">
        <f t="shared" si="0"/>
        <v>59.689580424677438</v>
      </c>
    </row>
    <row r="45" spans="1:4" x14ac:dyDescent="0.25">
      <c r="A45" s="3"/>
      <c r="B45" s="2" t="s">
        <v>33</v>
      </c>
      <c r="C45" s="57">
        <v>37.6</v>
      </c>
      <c r="D45" s="6">
        <f t="shared" si="0"/>
        <v>211.5200492528684</v>
      </c>
    </row>
    <row r="46" spans="1:4" x14ac:dyDescent="0.25">
      <c r="A46" s="3"/>
      <c r="B46" s="3" t="s">
        <v>34</v>
      </c>
      <c r="C46" s="57">
        <v>27.8</v>
      </c>
      <c r="D46" s="48">
        <f t="shared" si="0"/>
        <v>31.834772377157812</v>
      </c>
    </row>
    <row r="47" spans="1:4" x14ac:dyDescent="0.25">
      <c r="A47" s="4"/>
      <c r="B47" s="1"/>
      <c r="C47" s="55"/>
      <c r="D47" s="6"/>
    </row>
    <row r="48" spans="1:4" x14ac:dyDescent="0.25">
      <c r="A48" s="3" t="s">
        <v>40</v>
      </c>
      <c r="B48" s="2" t="s">
        <v>35</v>
      </c>
      <c r="C48" s="57">
        <v>40.4</v>
      </c>
      <c r="D48" s="6">
        <f>SUM(DataImport!E2:E4)/SUM(DataImport!H2:H4)</f>
        <v>39.875380923500543</v>
      </c>
    </row>
    <row r="49" spans="1:4" x14ac:dyDescent="0.25">
      <c r="A49" s="3" t="s">
        <v>29</v>
      </c>
      <c r="B49" s="2" t="s">
        <v>36</v>
      </c>
      <c r="C49" s="57">
        <v>23</v>
      </c>
      <c r="D49" s="6">
        <f>SUM(DataImport!C2:C4)/SUM(DataImport!F2:F4)</f>
        <v>23.218957245267553</v>
      </c>
    </row>
    <row r="50" spans="1:4" x14ac:dyDescent="0.25">
      <c r="A50" s="3"/>
      <c r="B50" s="2" t="s">
        <v>37</v>
      </c>
      <c r="C50" s="57">
        <v>15.7</v>
      </c>
      <c r="D50" s="6">
        <f>SUM(DataImport!D2:D4)/SUM(DataImport!G2:G4)</f>
        <v>15.071180788856507</v>
      </c>
    </row>
    <row r="51" spans="1:4" x14ac:dyDescent="0.25">
      <c r="A51" s="3"/>
      <c r="B51" s="3" t="s">
        <v>34</v>
      </c>
      <c r="C51" s="57">
        <v>28.8</v>
      </c>
      <c r="D51" s="48">
        <f>D41</f>
        <v>28.992381296019047</v>
      </c>
    </row>
    <row r="52" spans="1:4" x14ac:dyDescent="0.25">
      <c r="A52" s="4"/>
      <c r="B52" s="1"/>
      <c r="C52" s="55"/>
      <c r="D52" s="6"/>
    </row>
    <row r="53" spans="1:4" x14ac:dyDescent="0.25">
      <c r="A53" s="3" t="s">
        <v>40</v>
      </c>
      <c r="B53" s="2" t="s">
        <v>35</v>
      </c>
      <c r="C53" s="57">
        <v>33.799999999999997</v>
      </c>
      <c r="D53" s="6">
        <f>SUM(DataImport!E11:E13)/SUM(DataImport!H11:H13)</f>
        <v>33.287629597957817</v>
      </c>
    </row>
    <row r="54" spans="1:4" x14ac:dyDescent="0.25">
      <c r="A54" s="3" t="s">
        <v>31</v>
      </c>
      <c r="B54" s="2" t="s">
        <v>36</v>
      </c>
      <c r="C54" s="57">
        <v>20.6</v>
      </c>
      <c r="D54" s="6">
        <f>SUM(DataImport!C11:C13)/SUM(DataImport!F11:F13)</f>
        <v>20.97870473800176</v>
      </c>
    </row>
    <row r="55" spans="1:4" x14ac:dyDescent="0.25">
      <c r="A55" s="3"/>
      <c r="B55" s="2" t="s">
        <v>37</v>
      </c>
      <c r="C55" s="57">
        <v>15.6</v>
      </c>
      <c r="D55" s="6">
        <f>SUM(DataImport!D11:D13)/SUM(DataImport!G11:G13)</f>
        <v>15.038702669277543</v>
      </c>
    </row>
    <row r="56" spans="1:4" x14ac:dyDescent="0.25">
      <c r="A56" s="3"/>
      <c r="B56" s="3" t="s">
        <v>34</v>
      </c>
      <c r="C56" s="57">
        <v>24.7</v>
      </c>
      <c r="D56" s="48">
        <f>D43</f>
        <v>24.770025780038672</v>
      </c>
    </row>
    <row r="57" spans="1:4" x14ac:dyDescent="0.25">
      <c r="A57" s="4"/>
      <c r="B57" s="1"/>
      <c r="C57" s="55"/>
      <c r="D57" s="6"/>
    </row>
    <row r="58" spans="1:4" x14ac:dyDescent="0.25">
      <c r="A58" s="3" t="s">
        <v>40</v>
      </c>
      <c r="B58" s="2" t="s">
        <v>35</v>
      </c>
      <c r="C58" s="57">
        <v>40.799999999999997</v>
      </c>
      <c r="D58" s="6">
        <f>D12/D24</f>
        <v>39.946804603017981</v>
      </c>
    </row>
    <row r="59" spans="1:4" x14ac:dyDescent="0.25">
      <c r="A59" s="3" t="s">
        <v>41</v>
      </c>
      <c r="B59" s="2" t="s">
        <v>36</v>
      </c>
      <c r="C59" s="57">
        <v>22.3</v>
      </c>
      <c r="D59" s="6">
        <f t="shared" ref="D59:D60" si="1">D13/D25</f>
        <v>22.563944654108603</v>
      </c>
    </row>
    <row r="60" spans="1:4" x14ac:dyDescent="0.25">
      <c r="A60" s="2"/>
      <c r="B60" s="2" t="s">
        <v>37</v>
      </c>
      <c r="C60" s="57">
        <v>15.6</v>
      </c>
      <c r="D60" s="6">
        <f t="shared" si="1"/>
        <v>15.04690290522541</v>
      </c>
    </row>
    <row r="61" spans="1:4" x14ac:dyDescent="0.25">
      <c r="A61" s="2"/>
      <c r="B61" s="3" t="s">
        <v>34</v>
      </c>
      <c r="C61" s="57">
        <v>27.8</v>
      </c>
      <c r="D61" s="48">
        <f>D15/D27</f>
        <v>27.92608192482356</v>
      </c>
    </row>
    <row r="62" spans="1:4" x14ac:dyDescent="0.25">
      <c r="C62" s="55"/>
    </row>
    <row r="63" spans="1:4" x14ac:dyDescent="0.25">
      <c r="C63" s="56">
        <v>2726</v>
      </c>
    </row>
    <row r="64" spans="1:4" x14ac:dyDescent="0.25">
      <c r="C64" s="56">
        <v>10926</v>
      </c>
    </row>
    <row r="65" spans="3:3" x14ac:dyDescent="0.25">
      <c r="C65" s="56">
        <v>10069</v>
      </c>
    </row>
    <row r="66" spans="3:3" x14ac:dyDescent="0.25">
      <c r="C66" s="56">
        <v>23721</v>
      </c>
    </row>
    <row r="67" spans="3:3" x14ac:dyDescent="0.25">
      <c r="C67" s="55"/>
    </row>
    <row r="68" spans="3:3" x14ac:dyDescent="0.25">
      <c r="C68" s="56">
        <v>2728</v>
      </c>
    </row>
    <row r="69" spans="3:3" x14ac:dyDescent="0.25">
      <c r="C69" s="56">
        <v>10928</v>
      </c>
    </row>
    <row r="70" spans="3:3" x14ac:dyDescent="0.25">
      <c r="C70" s="56">
        <v>10069</v>
      </c>
    </row>
    <row r="71" spans="3:3" x14ac:dyDescent="0.25">
      <c r="C71" s="56">
        <v>23725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6"/>
  <sheetViews>
    <sheetView workbookViewId="0">
      <pane xSplit="2" topLeftCell="C1" activePane="topRight" state="frozen"/>
      <selection pane="topRight" activeCell="G24" sqref="G24"/>
    </sheetView>
  </sheetViews>
  <sheetFormatPr defaultRowHeight="15" x14ac:dyDescent="0.25"/>
  <cols>
    <col min="3" max="3" width="17" customWidth="1"/>
    <col min="4" max="4" width="15.140625" customWidth="1"/>
    <col min="5" max="5" width="14.42578125" customWidth="1"/>
    <col min="6" max="6" width="15" customWidth="1"/>
    <col min="7" max="7" width="23" customWidth="1"/>
    <col min="8" max="8" width="21" customWidth="1"/>
    <col min="9" max="9" width="22.85546875" customWidth="1"/>
    <col min="10" max="10" width="23.5703125" customWidth="1"/>
    <col min="11" max="11" width="31.140625" customWidth="1"/>
  </cols>
  <sheetData>
    <row r="1" spans="1:12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</row>
    <row r="2" spans="1:12" x14ac:dyDescent="0.25">
      <c r="A2" s="7" t="s">
        <v>18</v>
      </c>
      <c r="B2" s="7" t="s">
        <v>19</v>
      </c>
      <c r="C2" s="7">
        <v>1934668.125</v>
      </c>
      <c r="D2" s="7">
        <v>273699.375</v>
      </c>
      <c r="E2" s="7">
        <v>2451590.75</v>
      </c>
      <c r="F2" s="7">
        <v>86448.101561999996</v>
      </c>
      <c r="G2" s="7">
        <v>18170.857422000001</v>
      </c>
      <c r="H2" s="7">
        <v>66993.96875</v>
      </c>
      <c r="I2" s="7">
        <v>33183.152344000002</v>
      </c>
      <c r="J2" s="8">
        <v>-6.9999999999999999E-6</v>
      </c>
      <c r="K2" s="7">
        <v>23328.671875</v>
      </c>
      <c r="L2" s="7"/>
    </row>
    <row r="3" spans="1:12" x14ac:dyDescent="0.25">
      <c r="A3" s="7" t="s">
        <v>21</v>
      </c>
      <c r="B3" s="7" t="s">
        <v>19</v>
      </c>
      <c r="C3" s="7">
        <v>1564646.5</v>
      </c>
      <c r="D3" s="7">
        <v>235877.796875</v>
      </c>
      <c r="E3" s="7">
        <v>2163629.5</v>
      </c>
      <c r="F3" s="7">
        <v>66629.3125</v>
      </c>
      <c r="G3" s="7">
        <v>15649.509765999999</v>
      </c>
      <c r="H3" s="7">
        <v>51236.195312000003</v>
      </c>
      <c r="I3" s="7">
        <v>23556.013672000001</v>
      </c>
      <c r="J3" s="8">
        <v>-5.0000000000000004E-6</v>
      </c>
      <c r="K3" s="7">
        <v>12649.766602</v>
      </c>
      <c r="L3" s="7"/>
    </row>
    <row r="4" spans="1:12" x14ac:dyDescent="0.25">
      <c r="A4" s="7" t="s">
        <v>25</v>
      </c>
      <c r="B4" s="7" t="s">
        <v>19</v>
      </c>
      <c r="C4" s="7">
        <v>1360664</v>
      </c>
      <c r="D4" s="7">
        <v>177453.171875</v>
      </c>
      <c r="E4" s="7">
        <v>2137718.5</v>
      </c>
      <c r="F4" s="7">
        <v>56233.390625</v>
      </c>
      <c r="G4" s="7">
        <v>11765.333984000001</v>
      </c>
      <c r="H4" s="7">
        <v>51120.914062000003</v>
      </c>
      <c r="I4" s="7">
        <v>19233.404297000001</v>
      </c>
      <c r="J4" s="8">
        <v>-3.9999999999999998E-6</v>
      </c>
      <c r="K4" s="7">
        <v>13190.125977</v>
      </c>
      <c r="L4" s="7"/>
    </row>
    <row r="5" spans="1:12" x14ac:dyDescent="0.25">
      <c r="A5" s="7" t="s">
        <v>22</v>
      </c>
      <c r="B5" s="7" t="s">
        <v>23</v>
      </c>
      <c r="C5" s="7">
        <v>4078970.25</v>
      </c>
      <c r="D5" s="7">
        <v>671411.1875</v>
      </c>
      <c r="E5" s="7">
        <v>4313777</v>
      </c>
      <c r="F5" s="7">
        <v>187147.53125</v>
      </c>
      <c r="G5" s="7">
        <v>44712.6875</v>
      </c>
      <c r="H5" s="7">
        <v>107875.695312</v>
      </c>
      <c r="I5" s="7">
        <v>73838</v>
      </c>
      <c r="J5" s="8">
        <v>-1.1E-5</v>
      </c>
      <c r="K5" s="7">
        <v>30568.984375</v>
      </c>
      <c r="L5" s="7"/>
    </row>
    <row r="6" spans="1:12" x14ac:dyDescent="0.25">
      <c r="A6" s="7" t="s">
        <v>11</v>
      </c>
      <c r="B6" s="7" t="s">
        <v>12</v>
      </c>
      <c r="C6" s="7">
        <v>1718443.75</v>
      </c>
      <c r="D6" s="7">
        <v>258687.265625</v>
      </c>
      <c r="E6" s="7">
        <v>2314818.75</v>
      </c>
      <c r="F6" s="7">
        <v>73796.304688000004</v>
      </c>
      <c r="G6" s="7">
        <v>17094.683593999998</v>
      </c>
      <c r="H6" s="7">
        <v>60963.964844000002</v>
      </c>
      <c r="I6" s="7">
        <v>26508.818359000001</v>
      </c>
      <c r="J6" s="8">
        <v>-6.9999999999999999E-6</v>
      </c>
      <c r="K6" s="7">
        <v>19843.257812</v>
      </c>
      <c r="L6" s="7"/>
    </row>
    <row r="7" spans="1:12" x14ac:dyDescent="0.25">
      <c r="A7" s="7" t="s">
        <v>20</v>
      </c>
      <c r="B7" s="7" t="s">
        <v>12</v>
      </c>
      <c r="C7" s="7">
        <v>2074837.125</v>
      </c>
      <c r="D7" s="7">
        <v>339700.78125</v>
      </c>
      <c r="E7" s="7">
        <v>2516406.75</v>
      </c>
      <c r="F7" s="7">
        <v>91758.757811999996</v>
      </c>
      <c r="G7" s="7">
        <v>22560.390625</v>
      </c>
      <c r="H7" s="7">
        <v>63896.015625</v>
      </c>
      <c r="I7" s="7">
        <v>34204.40625</v>
      </c>
      <c r="J7" s="8">
        <v>-6.0000000000000002E-6</v>
      </c>
      <c r="K7" s="7">
        <v>18977.371093999998</v>
      </c>
      <c r="L7" s="7"/>
    </row>
    <row r="8" spans="1:12" x14ac:dyDescent="0.25">
      <c r="A8" s="7" t="s">
        <v>27</v>
      </c>
      <c r="B8" s="7" t="s">
        <v>12</v>
      </c>
      <c r="C8" s="7">
        <v>7514916.5</v>
      </c>
      <c r="D8" s="7">
        <v>1285067.125</v>
      </c>
      <c r="E8" s="7">
        <v>9286978</v>
      </c>
      <c r="F8" s="7">
        <v>327956.34375</v>
      </c>
      <c r="G8" s="7">
        <v>85412.328125</v>
      </c>
      <c r="H8" s="7">
        <v>219678.09375</v>
      </c>
      <c r="I8" s="7">
        <v>119388.445312</v>
      </c>
      <c r="J8" s="8">
        <v>-2.5000000000000001E-5</v>
      </c>
      <c r="K8" s="7">
        <v>53839.023437999997</v>
      </c>
      <c r="L8" s="7"/>
    </row>
    <row r="9" spans="1:12" x14ac:dyDescent="0.25">
      <c r="A9" s="7" t="s">
        <v>16</v>
      </c>
      <c r="B9" s="7" t="s">
        <v>17</v>
      </c>
      <c r="C9" s="7">
        <v>3723638.75</v>
      </c>
      <c r="D9" s="7">
        <v>602741.6875</v>
      </c>
      <c r="E9" s="7">
        <v>5243735.5</v>
      </c>
      <c r="F9" s="7">
        <v>150481.859375</v>
      </c>
      <c r="G9" s="7">
        <v>40104.550780999998</v>
      </c>
      <c r="H9" s="7">
        <v>106061.226562</v>
      </c>
      <c r="I9" s="7">
        <v>48567.855469000002</v>
      </c>
      <c r="J9" s="8">
        <v>-1.1E-5</v>
      </c>
      <c r="K9" s="7">
        <v>12689.320312</v>
      </c>
      <c r="L9" s="7"/>
    </row>
    <row r="10" spans="1:12" x14ac:dyDescent="0.25">
      <c r="A10" s="7" t="s">
        <v>26</v>
      </c>
      <c r="B10" s="7" t="s">
        <v>17</v>
      </c>
      <c r="C10" s="7">
        <v>648094.25</v>
      </c>
      <c r="D10" s="7">
        <v>97227.195311999996</v>
      </c>
      <c r="E10" s="7">
        <v>1222956</v>
      </c>
      <c r="F10" s="7">
        <v>25033.097656000002</v>
      </c>
      <c r="G10" s="7">
        <v>6460.2358400000003</v>
      </c>
      <c r="H10" s="7">
        <v>23056.546875</v>
      </c>
      <c r="I10" s="7">
        <v>7439.2729490000002</v>
      </c>
      <c r="J10" s="8">
        <v>-1.9999999999999999E-6</v>
      </c>
      <c r="K10" s="7">
        <v>1398.759033</v>
      </c>
      <c r="L10" s="7"/>
    </row>
    <row r="11" spans="1:12" x14ac:dyDescent="0.25">
      <c r="A11" s="7" t="s">
        <v>13</v>
      </c>
      <c r="B11" s="7" t="s">
        <v>14</v>
      </c>
      <c r="C11" s="7">
        <v>2365899</v>
      </c>
      <c r="D11" s="7">
        <v>347016.375</v>
      </c>
      <c r="E11" s="7">
        <v>2684685.75</v>
      </c>
      <c r="F11" s="7">
        <v>110076.929688</v>
      </c>
      <c r="G11" s="7">
        <v>23065.988281000002</v>
      </c>
      <c r="H11" s="7">
        <v>77922.117188000004</v>
      </c>
      <c r="I11" s="7">
        <v>44472.941405999998</v>
      </c>
      <c r="J11" s="8">
        <v>-6.0000000000000002E-6</v>
      </c>
      <c r="K11" s="7">
        <v>29929.685547000001</v>
      </c>
      <c r="L11" s="7"/>
    </row>
    <row r="12" spans="1:12" x14ac:dyDescent="0.25">
      <c r="A12" s="7" t="s">
        <v>15</v>
      </c>
      <c r="B12" s="7" t="s">
        <v>14</v>
      </c>
      <c r="C12" s="7">
        <v>2487118</v>
      </c>
      <c r="D12" s="7">
        <v>394659.1875</v>
      </c>
      <c r="E12" s="7">
        <v>2714946.5</v>
      </c>
      <c r="F12" s="7">
        <v>116013.4375</v>
      </c>
      <c r="G12" s="7">
        <v>26252.027343999998</v>
      </c>
      <c r="H12" s="7">
        <v>76264.90625</v>
      </c>
      <c r="I12" s="7">
        <v>46912.917969000002</v>
      </c>
      <c r="J12" s="8">
        <v>-6.9999999999999999E-6</v>
      </c>
      <c r="K12" s="7">
        <v>27655.806640999999</v>
      </c>
      <c r="L12" s="7"/>
    </row>
    <row r="13" spans="1:12" x14ac:dyDescent="0.25">
      <c r="A13" s="7" t="s">
        <v>24</v>
      </c>
      <c r="B13" s="7" t="s">
        <v>14</v>
      </c>
      <c r="C13" s="7">
        <v>2787388.75</v>
      </c>
      <c r="D13" s="7">
        <v>398328.59375</v>
      </c>
      <c r="E13" s="7">
        <v>2879564</v>
      </c>
      <c r="F13" s="7">
        <v>138107.796875</v>
      </c>
      <c r="G13" s="7">
        <v>26486.671875</v>
      </c>
      <c r="H13" s="7">
        <v>94529.882811999996</v>
      </c>
      <c r="I13" s="7">
        <v>60567.8125</v>
      </c>
      <c r="J13" s="8">
        <v>-6.9999999999999999E-6</v>
      </c>
      <c r="K13" s="7">
        <v>43021.792969000002</v>
      </c>
      <c r="L13" s="7"/>
    </row>
    <row r="16" spans="1:12" x14ac:dyDescent="0.25">
      <c r="C16">
        <f>SUM(C2:E4)</f>
        <v>12299947.71875</v>
      </c>
    </row>
  </sheetData>
  <sortState ref="B2:K13">
    <sortCondition ref="B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READ-ME</vt:lpstr>
      <vt:lpstr>NetworkSummaryStats</vt:lpstr>
      <vt:lpstr>DataImport</vt:lpstr>
      <vt:lpstr>copy_results</vt:lpstr>
      <vt:lpstr>current_results_handle</vt:lpstr>
      <vt:lpstr>file_name1</vt:lpstr>
      <vt:lpstr>msg_box_results</vt:lpstr>
      <vt:lpstr>past_results_handle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Coe</dc:creator>
  <cp:lastModifiedBy>Suzanne Childress</cp:lastModifiedBy>
  <dcterms:created xsi:type="dcterms:W3CDTF">2013-11-14T21:22:13Z</dcterms:created>
  <dcterms:modified xsi:type="dcterms:W3CDTF">2014-08-11T17:00:06Z</dcterms:modified>
</cp:coreProperties>
</file>